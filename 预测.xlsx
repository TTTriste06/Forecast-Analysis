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orecast\forecast2025年\2025年forecast汇总\2025-09-04\"/>
    </mc:Choice>
  </mc:AlternateContent>
  <xr:revisionPtr revIDLastSave="0" documentId="13_ncr:1_{A92ED9BD-9B1A-4FA7-9394-52329C2B91E6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预测" sheetId="2" r:id="rId1"/>
    <sheet name="赛卓微" sheetId="3" r:id="rId2"/>
  </sheets>
  <externalReferences>
    <externalReference r:id="rId3"/>
  </externalReferences>
  <definedNames>
    <definedName name="_xlnm._FilterDatabase" localSheetId="0" hidden="1">预测!$A$1:$BW$614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2" i="2"/>
  <c r="U233" i="2"/>
  <c r="U523" i="2"/>
  <c r="U5" i="2"/>
  <c r="U6" i="2"/>
  <c r="U7" i="2"/>
  <c r="U8" i="2"/>
  <c r="U9" i="2"/>
  <c r="U532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613" i="2"/>
  <c r="U40" i="2"/>
  <c r="U41" i="2"/>
  <c r="U42" i="2"/>
  <c r="U517" i="2"/>
  <c r="U243" i="2"/>
  <c r="U45" i="2"/>
  <c r="U46" i="2"/>
  <c r="U47" i="2"/>
  <c r="U48" i="2"/>
  <c r="U49" i="2"/>
  <c r="U50" i="2"/>
  <c r="U51" i="2"/>
  <c r="U52" i="2"/>
  <c r="U53" i="2"/>
  <c r="U54" i="2"/>
  <c r="U558" i="2"/>
  <c r="U56" i="2"/>
  <c r="U57" i="2"/>
  <c r="U58" i="2"/>
  <c r="U505" i="2"/>
  <c r="U60" i="2"/>
  <c r="U516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253" i="2"/>
  <c r="U185" i="2"/>
  <c r="U88" i="2"/>
  <c r="U89" i="2"/>
  <c r="U90" i="2"/>
  <c r="U91" i="2"/>
  <c r="U184" i="2"/>
  <c r="U93" i="2"/>
  <c r="U94" i="2"/>
  <c r="U95" i="2"/>
  <c r="U96" i="2"/>
  <c r="U97" i="2"/>
  <c r="U98" i="2"/>
  <c r="U99" i="2"/>
  <c r="U100" i="2"/>
  <c r="U101" i="2"/>
  <c r="U102" i="2"/>
  <c r="U195" i="2"/>
  <c r="U104" i="2"/>
  <c r="U186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365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367" i="2"/>
  <c r="U149" i="2"/>
  <c r="U150" i="2"/>
  <c r="U151" i="2"/>
  <c r="U152" i="2"/>
  <c r="U153" i="2"/>
  <c r="U154" i="2"/>
  <c r="U155" i="2"/>
  <c r="U156" i="2"/>
  <c r="U222" i="2"/>
  <c r="U286" i="2"/>
  <c r="U158" i="2"/>
  <c r="U293" i="2"/>
  <c r="U160" i="2"/>
  <c r="U161" i="2"/>
  <c r="U148" i="2"/>
  <c r="U163" i="2"/>
  <c r="U164" i="2"/>
  <c r="U165" i="2"/>
  <c r="U166" i="2"/>
  <c r="U167" i="2"/>
  <c r="U168" i="2"/>
  <c r="U44" i="2"/>
  <c r="U170" i="2"/>
  <c r="U171" i="2"/>
  <c r="U172" i="2"/>
  <c r="U173" i="2"/>
  <c r="U174" i="2"/>
  <c r="U175" i="2"/>
  <c r="U193" i="2"/>
  <c r="U177" i="2"/>
  <c r="U178" i="2"/>
  <c r="U179" i="2"/>
  <c r="U180" i="2"/>
  <c r="U614" i="2"/>
  <c r="U182" i="2"/>
  <c r="U194" i="2"/>
  <c r="U591" i="2"/>
  <c r="U565" i="2"/>
  <c r="U566" i="2"/>
  <c r="U567" i="2"/>
  <c r="U568" i="2"/>
  <c r="U570" i="2"/>
  <c r="U572" i="2"/>
  <c r="U573" i="2"/>
  <c r="U575" i="2"/>
  <c r="U578" i="2"/>
  <c r="U579" i="2"/>
  <c r="U581" i="2"/>
  <c r="U583" i="2"/>
  <c r="U584" i="2"/>
  <c r="U198" i="2"/>
  <c r="U199" i="2"/>
  <c r="U200" i="2"/>
  <c r="U201" i="2"/>
  <c r="U202" i="2"/>
  <c r="U203" i="2"/>
  <c r="U489" i="2"/>
  <c r="U205" i="2"/>
  <c r="U206" i="2"/>
  <c r="U207" i="2"/>
  <c r="U563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441" i="2"/>
  <c r="U223" i="2"/>
  <c r="U224" i="2"/>
  <c r="U225" i="2"/>
  <c r="U226" i="2"/>
  <c r="U227" i="2"/>
  <c r="U228" i="2"/>
  <c r="U229" i="2"/>
  <c r="U230" i="2"/>
  <c r="U231" i="2"/>
  <c r="U232" i="2"/>
  <c r="U364" i="2"/>
  <c r="U234" i="2"/>
  <c r="U235" i="2"/>
  <c r="U236" i="2"/>
  <c r="U237" i="2"/>
  <c r="U238" i="2"/>
  <c r="U239" i="2"/>
  <c r="U240" i="2"/>
  <c r="U241" i="2"/>
  <c r="U242" i="2"/>
  <c r="U537" i="2"/>
  <c r="U244" i="2"/>
  <c r="U245" i="2"/>
  <c r="U246" i="2"/>
  <c r="U247" i="2"/>
  <c r="U248" i="2"/>
  <c r="U249" i="2"/>
  <c r="U250" i="2"/>
  <c r="U251" i="2"/>
  <c r="U252" i="2"/>
  <c r="U192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556" i="2"/>
  <c r="U268" i="2"/>
  <c r="U269" i="2"/>
  <c r="U270" i="2"/>
  <c r="U271" i="2"/>
  <c r="U267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562" i="2"/>
  <c r="U564" i="2"/>
  <c r="U287" i="2"/>
  <c r="U288" i="2"/>
  <c r="U289" i="2"/>
  <c r="U290" i="2"/>
  <c r="U291" i="2"/>
  <c r="U292" i="2"/>
  <c r="U600" i="2"/>
  <c r="U368" i="2"/>
  <c r="U295" i="2"/>
  <c r="U296" i="2"/>
  <c r="U297" i="2"/>
  <c r="U298" i="2"/>
  <c r="U299" i="2"/>
  <c r="U300" i="2"/>
  <c r="U301" i="2"/>
  <c r="U302" i="2"/>
  <c r="U303" i="2"/>
  <c r="U188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208" i="2"/>
  <c r="U341" i="2"/>
  <c r="U347" i="2"/>
  <c r="U343" i="2"/>
  <c r="U344" i="2"/>
  <c r="U345" i="2"/>
  <c r="U346" i="2"/>
  <c r="U39" i="2"/>
  <c r="U348" i="2"/>
  <c r="U349" i="2"/>
  <c r="U356" i="2"/>
  <c r="U351" i="2"/>
  <c r="U352" i="2"/>
  <c r="U353" i="2"/>
  <c r="U354" i="2"/>
  <c r="U355" i="2"/>
  <c r="U342" i="2"/>
  <c r="U357" i="2"/>
  <c r="U358" i="2"/>
  <c r="U359" i="2"/>
  <c r="U360" i="2"/>
  <c r="U361" i="2"/>
  <c r="U362" i="2"/>
  <c r="U363" i="2"/>
  <c r="U500" i="2"/>
  <c r="U504" i="2"/>
  <c r="U366" i="2"/>
  <c r="U86" i="2"/>
  <c r="U87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6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3" i="2"/>
  <c r="U490" i="2"/>
  <c r="U491" i="2"/>
  <c r="U492" i="2"/>
  <c r="U493" i="2"/>
  <c r="U189" i="2"/>
  <c r="U495" i="2"/>
  <c r="U496" i="2"/>
  <c r="U497" i="2"/>
  <c r="U498" i="2"/>
  <c r="U499" i="2"/>
  <c r="U169" i="2"/>
  <c r="U501" i="2"/>
  <c r="U502" i="2"/>
  <c r="U503" i="2"/>
  <c r="U610" i="2"/>
  <c r="U611" i="2"/>
  <c r="U506" i="2"/>
  <c r="U507" i="2"/>
  <c r="U508" i="2"/>
  <c r="U509" i="2"/>
  <c r="U510" i="2"/>
  <c r="U511" i="2"/>
  <c r="U512" i="2"/>
  <c r="U513" i="2"/>
  <c r="U514" i="2"/>
  <c r="U515" i="2"/>
  <c r="U601" i="2"/>
  <c r="U607" i="2"/>
  <c r="U518" i="2"/>
  <c r="U519" i="2"/>
  <c r="U520" i="2"/>
  <c r="U521" i="2"/>
  <c r="U522" i="2"/>
  <c r="U157" i="2"/>
  <c r="U524" i="2"/>
  <c r="U525" i="2"/>
  <c r="U526" i="2"/>
  <c r="U527" i="2"/>
  <c r="U528" i="2"/>
  <c r="U529" i="2"/>
  <c r="U530" i="2"/>
  <c r="U531" i="2"/>
  <c r="U494" i="2"/>
  <c r="U533" i="2"/>
  <c r="U534" i="2"/>
  <c r="U535" i="2"/>
  <c r="U536" i="2"/>
  <c r="U612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187" i="2"/>
  <c r="U557" i="2"/>
  <c r="U190" i="2"/>
  <c r="U559" i="2"/>
  <c r="U560" i="2"/>
  <c r="U561" i="2"/>
  <c r="U191" i="2"/>
  <c r="U159" i="2"/>
  <c r="U4" i="2"/>
  <c r="U10" i="2"/>
  <c r="U43" i="2"/>
  <c r="U55" i="2"/>
  <c r="U59" i="2"/>
  <c r="U569" i="2"/>
  <c r="U128" i="2"/>
  <c r="U571" i="2"/>
  <c r="U272" i="2"/>
  <c r="U92" i="2"/>
  <c r="U574" i="2"/>
  <c r="U576" i="2"/>
  <c r="U577" i="2"/>
  <c r="U197" i="2"/>
  <c r="U204" i="2"/>
  <c r="U580" i="2"/>
  <c r="U294" i="2"/>
  <c r="U582" i="2"/>
  <c r="U285" i="2"/>
  <c r="U196" i="2"/>
  <c r="U585" i="2"/>
  <c r="U586" i="2"/>
  <c r="U587" i="2"/>
  <c r="U588" i="2"/>
  <c r="U589" i="2"/>
  <c r="U590" i="2"/>
  <c r="U176" i="2"/>
  <c r="U592" i="2"/>
  <c r="U593" i="2"/>
  <c r="U594" i="2"/>
  <c r="U595" i="2"/>
  <c r="U596" i="2"/>
  <c r="U597" i="2"/>
  <c r="U598" i="2"/>
  <c r="U599" i="2"/>
  <c r="U162" i="2"/>
  <c r="U181" i="2"/>
  <c r="U602" i="2"/>
  <c r="U603" i="2"/>
  <c r="U604" i="2"/>
  <c r="U605" i="2"/>
  <c r="U606" i="2"/>
  <c r="U183" i="2"/>
  <c r="U608" i="2"/>
  <c r="U609" i="2"/>
  <c r="U350" i="2"/>
  <c r="U304" i="2"/>
  <c r="U340" i="2"/>
  <c r="U103" i="2"/>
  <c r="U105" i="2"/>
  <c r="U2" i="2"/>
  <c r="AJ371" i="2" l="1"/>
  <c r="AJ369" i="2"/>
  <c r="AJ87" i="2"/>
  <c r="AJ86" i="2"/>
  <c r="AJ366" i="2"/>
  <c r="AJ504" i="2"/>
  <c r="AJ500" i="2"/>
  <c r="AJ359" i="2"/>
  <c r="AJ358" i="2"/>
  <c r="AJ357" i="2"/>
  <c r="AJ342" i="2"/>
  <c r="AJ355" i="2"/>
  <c r="AJ354" i="2"/>
  <c r="AJ352" i="2"/>
  <c r="AJ351" i="2"/>
  <c r="BW105" i="2"/>
  <c r="BV105" i="2"/>
  <c r="BU105" i="2"/>
  <c r="BW103" i="2"/>
  <c r="BV103" i="2"/>
  <c r="BU103" i="2"/>
  <c r="BW161" i="2"/>
  <c r="BV161" i="2"/>
  <c r="BU161" i="2"/>
  <c r="BT161" i="2"/>
  <c r="BS161" i="2"/>
  <c r="BR161" i="2"/>
  <c r="BQ161" i="2"/>
  <c r="BP161" i="2"/>
  <c r="S161" i="2"/>
  <c r="A161" i="2"/>
  <c r="BU233" i="2" l="1"/>
  <c r="BV233" i="2"/>
  <c r="BW233" i="2"/>
  <c r="BU523" i="2"/>
  <c r="BV523" i="2"/>
  <c r="BW523" i="2"/>
  <c r="BU5" i="2"/>
  <c r="BV5" i="2"/>
  <c r="BW5" i="2"/>
  <c r="BU6" i="2"/>
  <c r="BV6" i="2"/>
  <c r="BW6" i="2"/>
  <c r="BU7" i="2"/>
  <c r="BV7" i="2"/>
  <c r="BW7" i="2"/>
  <c r="BU8" i="2"/>
  <c r="BV8" i="2"/>
  <c r="BW8" i="2"/>
  <c r="BU9" i="2"/>
  <c r="BV9" i="2"/>
  <c r="BW9" i="2"/>
  <c r="BU532" i="2"/>
  <c r="BV532" i="2"/>
  <c r="BW532" i="2"/>
  <c r="BU11" i="2"/>
  <c r="BV11" i="2"/>
  <c r="BW11" i="2"/>
  <c r="BU12" i="2"/>
  <c r="BV12" i="2"/>
  <c r="BW12" i="2"/>
  <c r="BU13" i="2"/>
  <c r="BV13" i="2"/>
  <c r="BW13" i="2"/>
  <c r="BU14" i="2"/>
  <c r="BV14" i="2"/>
  <c r="BW14" i="2"/>
  <c r="BU15" i="2"/>
  <c r="BV15" i="2"/>
  <c r="BW15" i="2"/>
  <c r="BU16" i="2"/>
  <c r="BV16" i="2"/>
  <c r="BW16" i="2"/>
  <c r="BU17" i="2"/>
  <c r="BV17" i="2"/>
  <c r="BW17" i="2"/>
  <c r="BU18" i="2"/>
  <c r="BV18" i="2"/>
  <c r="BW18" i="2"/>
  <c r="BU19" i="2"/>
  <c r="BV19" i="2"/>
  <c r="BW19" i="2"/>
  <c r="BU20" i="2"/>
  <c r="BV20" i="2"/>
  <c r="BW20" i="2"/>
  <c r="BU21" i="2"/>
  <c r="BV21" i="2"/>
  <c r="BW21" i="2"/>
  <c r="BU22" i="2"/>
  <c r="BV22" i="2"/>
  <c r="BW22" i="2"/>
  <c r="BU23" i="2"/>
  <c r="BV23" i="2"/>
  <c r="BW23" i="2"/>
  <c r="BU24" i="2"/>
  <c r="BV24" i="2"/>
  <c r="BW24" i="2"/>
  <c r="BU25" i="2"/>
  <c r="BV25" i="2"/>
  <c r="BW25" i="2"/>
  <c r="BU26" i="2"/>
  <c r="BV26" i="2"/>
  <c r="BW26" i="2"/>
  <c r="BU27" i="2"/>
  <c r="BV27" i="2"/>
  <c r="BW27" i="2"/>
  <c r="BU28" i="2"/>
  <c r="BV28" i="2"/>
  <c r="BW28" i="2"/>
  <c r="BU29" i="2"/>
  <c r="BV29" i="2"/>
  <c r="BW29" i="2"/>
  <c r="BU30" i="2"/>
  <c r="BV30" i="2"/>
  <c r="BW30" i="2"/>
  <c r="BU31" i="2"/>
  <c r="BV31" i="2"/>
  <c r="BW31" i="2"/>
  <c r="BU32" i="2"/>
  <c r="BV32" i="2"/>
  <c r="BW32" i="2"/>
  <c r="BU33" i="2"/>
  <c r="BV33" i="2"/>
  <c r="BW33" i="2"/>
  <c r="BU34" i="2"/>
  <c r="BV34" i="2"/>
  <c r="BW34" i="2"/>
  <c r="BU35" i="2"/>
  <c r="BV35" i="2"/>
  <c r="BW35" i="2"/>
  <c r="BU36" i="2"/>
  <c r="BV36" i="2"/>
  <c r="BW36" i="2"/>
  <c r="BU37" i="2"/>
  <c r="BV37" i="2"/>
  <c r="BW37" i="2"/>
  <c r="BU38" i="2"/>
  <c r="BV38" i="2"/>
  <c r="BW38" i="2"/>
  <c r="BU613" i="2"/>
  <c r="BV613" i="2"/>
  <c r="BW613" i="2"/>
  <c r="BU40" i="2"/>
  <c r="BV40" i="2"/>
  <c r="BW40" i="2"/>
  <c r="BU41" i="2"/>
  <c r="BV41" i="2"/>
  <c r="BW41" i="2"/>
  <c r="BU42" i="2"/>
  <c r="BV42" i="2"/>
  <c r="BW42" i="2"/>
  <c r="BU517" i="2"/>
  <c r="BV517" i="2"/>
  <c r="BW517" i="2"/>
  <c r="BU243" i="2"/>
  <c r="BV243" i="2"/>
  <c r="BW243" i="2"/>
  <c r="BU45" i="2"/>
  <c r="BV45" i="2"/>
  <c r="BW45" i="2"/>
  <c r="BU46" i="2"/>
  <c r="BV46" i="2"/>
  <c r="BW46" i="2"/>
  <c r="BU47" i="2"/>
  <c r="BV47" i="2"/>
  <c r="BW47" i="2"/>
  <c r="BU48" i="2"/>
  <c r="BV48" i="2"/>
  <c r="BW48" i="2"/>
  <c r="BU49" i="2"/>
  <c r="BV49" i="2"/>
  <c r="BW49" i="2"/>
  <c r="BU50" i="2"/>
  <c r="BV50" i="2"/>
  <c r="BW50" i="2"/>
  <c r="BU51" i="2"/>
  <c r="BV51" i="2"/>
  <c r="BW51" i="2"/>
  <c r="BU52" i="2"/>
  <c r="BV52" i="2"/>
  <c r="BW52" i="2"/>
  <c r="BU53" i="2"/>
  <c r="BV53" i="2"/>
  <c r="BW53" i="2"/>
  <c r="BU54" i="2"/>
  <c r="BV54" i="2"/>
  <c r="BW54" i="2"/>
  <c r="BU558" i="2"/>
  <c r="BV558" i="2"/>
  <c r="BW558" i="2"/>
  <c r="BU56" i="2"/>
  <c r="BV56" i="2"/>
  <c r="BW56" i="2"/>
  <c r="BU57" i="2"/>
  <c r="BV57" i="2"/>
  <c r="BW57" i="2"/>
  <c r="BU58" i="2"/>
  <c r="BV58" i="2"/>
  <c r="BW58" i="2"/>
  <c r="BU505" i="2"/>
  <c r="BV505" i="2"/>
  <c r="BW505" i="2"/>
  <c r="BU60" i="2"/>
  <c r="BV60" i="2"/>
  <c r="BW60" i="2"/>
  <c r="BU516" i="2"/>
  <c r="BV516" i="2"/>
  <c r="BW516" i="2"/>
  <c r="BU62" i="2"/>
  <c r="BV62" i="2"/>
  <c r="BW62" i="2"/>
  <c r="BU63" i="2"/>
  <c r="BV63" i="2"/>
  <c r="BW63" i="2"/>
  <c r="BU64" i="2"/>
  <c r="BV64" i="2"/>
  <c r="BW64" i="2"/>
  <c r="BU65" i="2"/>
  <c r="BV65" i="2"/>
  <c r="BW65" i="2"/>
  <c r="BU66" i="2"/>
  <c r="BV66" i="2"/>
  <c r="BW66" i="2"/>
  <c r="BU67" i="2"/>
  <c r="BV67" i="2"/>
  <c r="BW67" i="2"/>
  <c r="BU68" i="2"/>
  <c r="BV68" i="2"/>
  <c r="BW68" i="2"/>
  <c r="BU69" i="2"/>
  <c r="BV69" i="2"/>
  <c r="BW69" i="2"/>
  <c r="BU70" i="2"/>
  <c r="BV70" i="2"/>
  <c r="BW70" i="2"/>
  <c r="BU71" i="2"/>
  <c r="BV71" i="2"/>
  <c r="BW71" i="2"/>
  <c r="BU72" i="2"/>
  <c r="BV72" i="2"/>
  <c r="BW72" i="2"/>
  <c r="BU73" i="2"/>
  <c r="BV73" i="2"/>
  <c r="BW73" i="2"/>
  <c r="BU74" i="2"/>
  <c r="BV74" i="2"/>
  <c r="BW74" i="2"/>
  <c r="BU75" i="2"/>
  <c r="BV75" i="2"/>
  <c r="BW75" i="2"/>
  <c r="BU76" i="2"/>
  <c r="BV76" i="2"/>
  <c r="BW76" i="2"/>
  <c r="BU77" i="2"/>
  <c r="BV77" i="2"/>
  <c r="BW77" i="2"/>
  <c r="BU78" i="2"/>
  <c r="BV78" i="2"/>
  <c r="BW78" i="2"/>
  <c r="BU79" i="2"/>
  <c r="BV79" i="2"/>
  <c r="BW79" i="2"/>
  <c r="BU80" i="2"/>
  <c r="BV80" i="2"/>
  <c r="BW80" i="2"/>
  <c r="BU81" i="2"/>
  <c r="BV81" i="2"/>
  <c r="BW81" i="2"/>
  <c r="BU82" i="2"/>
  <c r="BV82" i="2"/>
  <c r="BW82" i="2"/>
  <c r="BU83" i="2"/>
  <c r="BV83" i="2"/>
  <c r="BW83" i="2"/>
  <c r="BU84" i="2"/>
  <c r="BV84" i="2"/>
  <c r="BW84" i="2"/>
  <c r="BU85" i="2"/>
  <c r="BV85" i="2"/>
  <c r="BW85" i="2"/>
  <c r="BU253" i="2"/>
  <c r="BV253" i="2"/>
  <c r="BW253" i="2"/>
  <c r="BU185" i="2"/>
  <c r="BV185" i="2"/>
  <c r="BW185" i="2"/>
  <c r="BU88" i="2"/>
  <c r="BV88" i="2"/>
  <c r="BW88" i="2"/>
  <c r="BU89" i="2"/>
  <c r="BV89" i="2"/>
  <c r="BW89" i="2"/>
  <c r="BU90" i="2"/>
  <c r="BV90" i="2"/>
  <c r="BW90" i="2"/>
  <c r="BU91" i="2"/>
  <c r="BV91" i="2"/>
  <c r="BW91" i="2"/>
  <c r="BU184" i="2"/>
  <c r="BV184" i="2"/>
  <c r="BW184" i="2"/>
  <c r="BU93" i="2"/>
  <c r="BV93" i="2"/>
  <c r="BW93" i="2"/>
  <c r="BU94" i="2"/>
  <c r="BV94" i="2"/>
  <c r="BW94" i="2"/>
  <c r="BU95" i="2"/>
  <c r="BV95" i="2"/>
  <c r="BW95" i="2"/>
  <c r="BU96" i="2"/>
  <c r="BV96" i="2"/>
  <c r="BW96" i="2"/>
  <c r="BU97" i="2"/>
  <c r="BV97" i="2"/>
  <c r="BW97" i="2"/>
  <c r="BU98" i="2"/>
  <c r="BV98" i="2"/>
  <c r="BW98" i="2"/>
  <c r="BU99" i="2"/>
  <c r="BV99" i="2"/>
  <c r="BW99" i="2"/>
  <c r="BU100" i="2"/>
  <c r="BV100" i="2"/>
  <c r="BW100" i="2"/>
  <c r="BU101" i="2"/>
  <c r="BV101" i="2"/>
  <c r="BW101" i="2"/>
  <c r="BU102" i="2"/>
  <c r="BV102" i="2"/>
  <c r="BW102" i="2"/>
  <c r="BU195" i="2"/>
  <c r="BV195" i="2"/>
  <c r="BW195" i="2"/>
  <c r="BU104" i="2"/>
  <c r="BV104" i="2"/>
  <c r="BW104" i="2"/>
  <c r="BU186" i="2"/>
  <c r="BV186" i="2"/>
  <c r="BW186" i="2"/>
  <c r="BU106" i="2"/>
  <c r="BV106" i="2"/>
  <c r="BW106" i="2"/>
  <c r="BU107" i="2"/>
  <c r="BV107" i="2"/>
  <c r="BW107" i="2"/>
  <c r="BU108" i="2"/>
  <c r="BV108" i="2"/>
  <c r="BW108" i="2"/>
  <c r="BU109" i="2"/>
  <c r="BV109" i="2"/>
  <c r="BW109" i="2"/>
  <c r="BU110" i="2"/>
  <c r="BV110" i="2"/>
  <c r="BW110" i="2"/>
  <c r="BU111" i="2"/>
  <c r="BV111" i="2"/>
  <c r="BW111" i="2"/>
  <c r="BU112" i="2"/>
  <c r="BV112" i="2"/>
  <c r="BW112" i="2"/>
  <c r="BU113" i="2"/>
  <c r="BV113" i="2"/>
  <c r="BW113" i="2"/>
  <c r="BU114" i="2"/>
  <c r="BV114" i="2"/>
  <c r="BW114" i="2"/>
  <c r="BU115" i="2"/>
  <c r="BV115" i="2"/>
  <c r="BW115" i="2"/>
  <c r="BU116" i="2"/>
  <c r="BV116" i="2"/>
  <c r="BW116" i="2"/>
  <c r="BU117" i="2"/>
  <c r="BV117" i="2"/>
  <c r="BW117" i="2"/>
  <c r="BU118" i="2"/>
  <c r="BV118" i="2"/>
  <c r="BW118" i="2"/>
  <c r="BU119" i="2"/>
  <c r="BV119" i="2"/>
  <c r="BW119" i="2"/>
  <c r="BU120" i="2"/>
  <c r="BV120" i="2"/>
  <c r="BW120" i="2"/>
  <c r="BU121" i="2"/>
  <c r="BV121" i="2"/>
  <c r="BW121" i="2"/>
  <c r="BU122" i="2"/>
  <c r="BV122" i="2"/>
  <c r="BW122" i="2"/>
  <c r="BU123" i="2"/>
  <c r="BV123" i="2"/>
  <c r="BW123" i="2"/>
  <c r="BU124" i="2"/>
  <c r="BV124" i="2"/>
  <c r="BW124" i="2"/>
  <c r="BU125" i="2"/>
  <c r="BV125" i="2"/>
  <c r="BW125" i="2"/>
  <c r="BU126" i="2"/>
  <c r="BV126" i="2"/>
  <c r="BW126" i="2"/>
  <c r="BU127" i="2"/>
  <c r="BV127" i="2"/>
  <c r="BW127" i="2"/>
  <c r="BU365" i="2"/>
  <c r="BV365" i="2"/>
  <c r="BW365" i="2"/>
  <c r="BU129" i="2"/>
  <c r="BV129" i="2"/>
  <c r="BW129" i="2"/>
  <c r="BU130" i="2"/>
  <c r="BV130" i="2"/>
  <c r="BW130" i="2"/>
  <c r="BU131" i="2"/>
  <c r="BV131" i="2"/>
  <c r="BW131" i="2"/>
  <c r="BU132" i="2"/>
  <c r="BV132" i="2"/>
  <c r="BW132" i="2"/>
  <c r="BU133" i="2"/>
  <c r="BV133" i="2"/>
  <c r="BW133" i="2"/>
  <c r="BU134" i="2"/>
  <c r="BV134" i="2"/>
  <c r="BW134" i="2"/>
  <c r="BU135" i="2"/>
  <c r="BV135" i="2"/>
  <c r="BW135" i="2"/>
  <c r="BU136" i="2"/>
  <c r="BV136" i="2"/>
  <c r="BW136" i="2"/>
  <c r="BU137" i="2"/>
  <c r="BV137" i="2"/>
  <c r="BW137" i="2"/>
  <c r="BU138" i="2"/>
  <c r="BV138" i="2"/>
  <c r="BW138" i="2"/>
  <c r="BU139" i="2"/>
  <c r="BV139" i="2"/>
  <c r="BW139" i="2"/>
  <c r="BU140" i="2"/>
  <c r="BV140" i="2"/>
  <c r="BW140" i="2"/>
  <c r="BU141" i="2"/>
  <c r="BV141" i="2"/>
  <c r="BW141" i="2"/>
  <c r="BU142" i="2"/>
  <c r="BV142" i="2"/>
  <c r="BW142" i="2"/>
  <c r="BU143" i="2"/>
  <c r="BV143" i="2"/>
  <c r="BW143" i="2"/>
  <c r="BU144" i="2"/>
  <c r="BV144" i="2"/>
  <c r="BW144" i="2"/>
  <c r="BU145" i="2"/>
  <c r="BV145" i="2"/>
  <c r="BW145" i="2"/>
  <c r="BU146" i="2"/>
  <c r="BV146" i="2"/>
  <c r="BW146" i="2"/>
  <c r="BU147" i="2"/>
  <c r="BV147" i="2"/>
  <c r="BW147" i="2"/>
  <c r="BU367" i="2"/>
  <c r="BV367" i="2"/>
  <c r="BW367" i="2"/>
  <c r="BU149" i="2"/>
  <c r="BV149" i="2"/>
  <c r="BW149" i="2"/>
  <c r="BU150" i="2"/>
  <c r="BV150" i="2"/>
  <c r="BW150" i="2"/>
  <c r="BU151" i="2"/>
  <c r="BV151" i="2"/>
  <c r="BW151" i="2"/>
  <c r="BU152" i="2"/>
  <c r="BV152" i="2"/>
  <c r="BW152" i="2"/>
  <c r="BU153" i="2"/>
  <c r="BV153" i="2"/>
  <c r="BW153" i="2"/>
  <c r="BU154" i="2"/>
  <c r="BV154" i="2"/>
  <c r="BW154" i="2"/>
  <c r="BU155" i="2"/>
  <c r="BV155" i="2"/>
  <c r="BW155" i="2"/>
  <c r="BU156" i="2"/>
  <c r="BV156" i="2"/>
  <c r="BW156" i="2"/>
  <c r="BU222" i="2"/>
  <c r="BV222" i="2"/>
  <c r="BW222" i="2"/>
  <c r="BU286" i="2"/>
  <c r="BV286" i="2"/>
  <c r="BW286" i="2"/>
  <c r="BU158" i="2"/>
  <c r="BV158" i="2"/>
  <c r="BW158" i="2"/>
  <c r="BU293" i="2"/>
  <c r="BV293" i="2"/>
  <c r="BW293" i="2"/>
  <c r="BU160" i="2"/>
  <c r="BV160" i="2"/>
  <c r="BW160" i="2"/>
  <c r="BU148" i="2"/>
  <c r="BV148" i="2"/>
  <c r="BW148" i="2"/>
  <c r="BU163" i="2"/>
  <c r="BV163" i="2"/>
  <c r="BW163" i="2"/>
  <c r="BU164" i="2"/>
  <c r="BV164" i="2"/>
  <c r="BW164" i="2"/>
  <c r="BU165" i="2"/>
  <c r="BV165" i="2"/>
  <c r="BW165" i="2"/>
  <c r="BU166" i="2"/>
  <c r="BV166" i="2"/>
  <c r="BW166" i="2"/>
  <c r="BU167" i="2"/>
  <c r="BV167" i="2"/>
  <c r="BW167" i="2"/>
  <c r="BU168" i="2"/>
  <c r="BV168" i="2"/>
  <c r="BW168" i="2"/>
  <c r="BU44" i="2"/>
  <c r="BV44" i="2"/>
  <c r="BW44" i="2"/>
  <c r="BU170" i="2"/>
  <c r="BV170" i="2"/>
  <c r="BW170" i="2"/>
  <c r="BU171" i="2"/>
  <c r="BV171" i="2"/>
  <c r="BW171" i="2"/>
  <c r="BU172" i="2"/>
  <c r="BV172" i="2"/>
  <c r="BW172" i="2"/>
  <c r="BU173" i="2"/>
  <c r="BV173" i="2"/>
  <c r="BW173" i="2"/>
  <c r="BU174" i="2"/>
  <c r="BV174" i="2"/>
  <c r="BW174" i="2"/>
  <c r="BU175" i="2"/>
  <c r="BV175" i="2"/>
  <c r="BW175" i="2"/>
  <c r="BU193" i="2"/>
  <c r="BV193" i="2"/>
  <c r="BW193" i="2"/>
  <c r="BU177" i="2"/>
  <c r="BV177" i="2"/>
  <c r="BW177" i="2"/>
  <c r="BU178" i="2"/>
  <c r="BV178" i="2"/>
  <c r="BW178" i="2"/>
  <c r="BU179" i="2"/>
  <c r="BV179" i="2"/>
  <c r="BW179" i="2"/>
  <c r="BU180" i="2"/>
  <c r="BV180" i="2"/>
  <c r="BW180" i="2"/>
  <c r="BU614" i="2"/>
  <c r="BV614" i="2"/>
  <c r="BW614" i="2"/>
  <c r="BU182" i="2"/>
  <c r="BV182" i="2"/>
  <c r="BW182" i="2"/>
  <c r="BU194" i="2"/>
  <c r="BV194" i="2"/>
  <c r="BW194" i="2"/>
  <c r="BU591" i="2"/>
  <c r="BV591" i="2"/>
  <c r="BW591" i="2"/>
  <c r="BU565" i="2"/>
  <c r="BV565" i="2"/>
  <c r="BW565" i="2"/>
  <c r="BU566" i="2"/>
  <c r="BV566" i="2"/>
  <c r="BW566" i="2"/>
  <c r="BU567" i="2"/>
  <c r="BV567" i="2"/>
  <c r="BW567" i="2"/>
  <c r="BU568" i="2"/>
  <c r="BV568" i="2"/>
  <c r="BW568" i="2"/>
  <c r="BU570" i="2"/>
  <c r="BV570" i="2"/>
  <c r="BW570" i="2"/>
  <c r="BU572" i="2"/>
  <c r="BV572" i="2"/>
  <c r="BW572" i="2"/>
  <c r="BU573" i="2"/>
  <c r="BV573" i="2"/>
  <c r="BW573" i="2"/>
  <c r="BU575" i="2"/>
  <c r="BV575" i="2"/>
  <c r="BW575" i="2"/>
  <c r="BU578" i="2"/>
  <c r="BV578" i="2"/>
  <c r="BW578" i="2"/>
  <c r="BU579" i="2"/>
  <c r="BV579" i="2"/>
  <c r="BW579" i="2"/>
  <c r="BU581" i="2"/>
  <c r="BV581" i="2"/>
  <c r="BW581" i="2"/>
  <c r="BU583" i="2"/>
  <c r="BV583" i="2"/>
  <c r="BW583" i="2"/>
  <c r="BU584" i="2"/>
  <c r="BV584" i="2"/>
  <c r="BW584" i="2"/>
  <c r="BU198" i="2"/>
  <c r="BV198" i="2"/>
  <c r="BW198" i="2"/>
  <c r="BU199" i="2"/>
  <c r="BV199" i="2"/>
  <c r="BW199" i="2"/>
  <c r="BU200" i="2"/>
  <c r="BV200" i="2"/>
  <c r="BW200" i="2"/>
  <c r="BU201" i="2"/>
  <c r="BV201" i="2"/>
  <c r="BW201" i="2"/>
  <c r="BU202" i="2"/>
  <c r="BV202" i="2"/>
  <c r="BW202" i="2"/>
  <c r="BU203" i="2"/>
  <c r="BV203" i="2"/>
  <c r="BW203" i="2"/>
  <c r="BU489" i="2"/>
  <c r="BV489" i="2"/>
  <c r="BW489" i="2"/>
  <c r="BU205" i="2"/>
  <c r="BV205" i="2"/>
  <c r="BW205" i="2"/>
  <c r="BU206" i="2"/>
  <c r="BV206" i="2"/>
  <c r="BW206" i="2"/>
  <c r="BU207" i="2"/>
  <c r="BV207" i="2"/>
  <c r="BW207" i="2"/>
  <c r="BU563" i="2"/>
  <c r="BV563" i="2"/>
  <c r="BW563" i="2"/>
  <c r="BU209" i="2"/>
  <c r="BV209" i="2"/>
  <c r="BW209" i="2"/>
  <c r="BU210" i="2"/>
  <c r="BV210" i="2"/>
  <c r="BW210" i="2"/>
  <c r="BU211" i="2"/>
  <c r="BV211" i="2"/>
  <c r="BW211" i="2"/>
  <c r="BU212" i="2"/>
  <c r="BV212" i="2"/>
  <c r="BW212" i="2"/>
  <c r="BU213" i="2"/>
  <c r="BV213" i="2"/>
  <c r="BW213" i="2"/>
  <c r="BU214" i="2"/>
  <c r="BV214" i="2"/>
  <c r="BW214" i="2"/>
  <c r="BU215" i="2"/>
  <c r="BV215" i="2"/>
  <c r="BW215" i="2"/>
  <c r="BU216" i="2"/>
  <c r="BV216" i="2"/>
  <c r="BW216" i="2"/>
  <c r="BU217" i="2"/>
  <c r="BV217" i="2"/>
  <c r="BW217" i="2"/>
  <c r="BU218" i="2"/>
  <c r="BV218" i="2"/>
  <c r="BW218" i="2"/>
  <c r="BU219" i="2"/>
  <c r="BV219" i="2"/>
  <c r="BW219" i="2"/>
  <c r="BU220" i="2"/>
  <c r="BV220" i="2"/>
  <c r="BW220" i="2"/>
  <c r="BU221" i="2"/>
  <c r="BV221" i="2"/>
  <c r="BW221" i="2"/>
  <c r="BU441" i="2"/>
  <c r="BV441" i="2"/>
  <c r="BW441" i="2"/>
  <c r="BU223" i="2"/>
  <c r="BV223" i="2"/>
  <c r="BW223" i="2"/>
  <c r="BU224" i="2"/>
  <c r="BV224" i="2"/>
  <c r="BW224" i="2"/>
  <c r="BU225" i="2"/>
  <c r="BV225" i="2"/>
  <c r="BW225" i="2"/>
  <c r="BU226" i="2"/>
  <c r="BV226" i="2"/>
  <c r="BW226" i="2"/>
  <c r="BU227" i="2"/>
  <c r="BV227" i="2"/>
  <c r="BW227" i="2"/>
  <c r="BU228" i="2"/>
  <c r="BV228" i="2"/>
  <c r="BW228" i="2"/>
  <c r="BU229" i="2"/>
  <c r="BV229" i="2"/>
  <c r="BW229" i="2"/>
  <c r="BU230" i="2"/>
  <c r="BV230" i="2"/>
  <c r="BW230" i="2"/>
  <c r="BU231" i="2"/>
  <c r="BV231" i="2"/>
  <c r="BW231" i="2"/>
  <c r="BU232" i="2"/>
  <c r="BV232" i="2"/>
  <c r="BW232" i="2"/>
  <c r="BU364" i="2"/>
  <c r="BV364" i="2"/>
  <c r="BW364" i="2"/>
  <c r="BU234" i="2"/>
  <c r="BV234" i="2"/>
  <c r="BW234" i="2"/>
  <c r="BU235" i="2"/>
  <c r="BV235" i="2"/>
  <c r="BW235" i="2"/>
  <c r="BU236" i="2"/>
  <c r="BV236" i="2"/>
  <c r="BW236" i="2"/>
  <c r="BU237" i="2"/>
  <c r="BV237" i="2"/>
  <c r="BW237" i="2"/>
  <c r="BU238" i="2"/>
  <c r="BV238" i="2"/>
  <c r="BW238" i="2"/>
  <c r="BU239" i="2"/>
  <c r="BV239" i="2"/>
  <c r="BW239" i="2"/>
  <c r="BU240" i="2"/>
  <c r="BV240" i="2"/>
  <c r="BW240" i="2"/>
  <c r="BU241" i="2"/>
  <c r="BV241" i="2"/>
  <c r="BW241" i="2"/>
  <c r="BU242" i="2"/>
  <c r="BV242" i="2"/>
  <c r="BW242" i="2"/>
  <c r="BU537" i="2"/>
  <c r="BV537" i="2"/>
  <c r="BW537" i="2"/>
  <c r="BU244" i="2"/>
  <c r="BV244" i="2"/>
  <c r="BW244" i="2"/>
  <c r="BU245" i="2"/>
  <c r="BV245" i="2"/>
  <c r="BW245" i="2"/>
  <c r="BU246" i="2"/>
  <c r="BV246" i="2"/>
  <c r="BW246" i="2"/>
  <c r="BU247" i="2"/>
  <c r="BV247" i="2"/>
  <c r="BW247" i="2"/>
  <c r="BU248" i="2"/>
  <c r="BV248" i="2"/>
  <c r="BW248" i="2"/>
  <c r="BU249" i="2"/>
  <c r="BV249" i="2"/>
  <c r="BW249" i="2"/>
  <c r="BU250" i="2"/>
  <c r="BV250" i="2"/>
  <c r="BW250" i="2"/>
  <c r="BU251" i="2"/>
  <c r="BV251" i="2"/>
  <c r="BW251" i="2"/>
  <c r="BU252" i="2"/>
  <c r="BV252" i="2"/>
  <c r="BW252" i="2"/>
  <c r="BU192" i="2"/>
  <c r="BV192" i="2"/>
  <c r="BW192" i="2"/>
  <c r="BU254" i="2"/>
  <c r="BV254" i="2"/>
  <c r="BW254" i="2"/>
  <c r="BU255" i="2"/>
  <c r="BV255" i="2"/>
  <c r="BW255" i="2"/>
  <c r="BU256" i="2"/>
  <c r="BV256" i="2"/>
  <c r="BW256" i="2"/>
  <c r="BU257" i="2"/>
  <c r="BV257" i="2"/>
  <c r="BW257" i="2"/>
  <c r="BU258" i="2"/>
  <c r="BV258" i="2"/>
  <c r="BW258" i="2"/>
  <c r="BU259" i="2"/>
  <c r="BV259" i="2"/>
  <c r="BW259" i="2"/>
  <c r="BU260" i="2"/>
  <c r="BV260" i="2"/>
  <c r="BW260" i="2"/>
  <c r="BU261" i="2"/>
  <c r="BV261" i="2"/>
  <c r="BW261" i="2"/>
  <c r="BU262" i="2"/>
  <c r="BV262" i="2"/>
  <c r="BW262" i="2"/>
  <c r="BU263" i="2"/>
  <c r="BV263" i="2"/>
  <c r="BW263" i="2"/>
  <c r="BU264" i="2"/>
  <c r="BV264" i="2"/>
  <c r="BW264" i="2"/>
  <c r="BU265" i="2"/>
  <c r="BV265" i="2"/>
  <c r="BW265" i="2"/>
  <c r="BU266" i="2"/>
  <c r="BV266" i="2"/>
  <c r="BW266" i="2"/>
  <c r="BU556" i="2"/>
  <c r="BV556" i="2"/>
  <c r="BW556" i="2"/>
  <c r="BU268" i="2"/>
  <c r="BV268" i="2"/>
  <c r="BW268" i="2"/>
  <c r="BU269" i="2"/>
  <c r="BV269" i="2"/>
  <c r="BW269" i="2"/>
  <c r="BU270" i="2"/>
  <c r="BV270" i="2"/>
  <c r="BW270" i="2"/>
  <c r="BU271" i="2"/>
  <c r="BV271" i="2"/>
  <c r="BW271" i="2"/>
  <c r="BU267" i="2"/>
  <c r="BV267" i="2"/>
  <c r="BW267" i="2"/>
  <c r="BU273" i="2"/>
  <c r="BV273" i="2"/>
  <c r="BW273" i="2"/>
  <c r="BU274" i="2"/>
  <c r="BV274" i="2"/>
  <c r="BW274" i="2"/>
  <c r="BU275" i="2"/>
  <c r="BV275" i="2"/>
  <c r="BW275" i="2"/>
  <c r="BU276" i="2"/>
  <c r="BV276" i="2"/>
  <c r="BW276" i="2"/>
  <c r="BU277" i="2"/>
  <c r="BV277" i="2"/>
  <c r="BW277" i="2"/>
  <c r="BU278" i="2"/>
  <c r="BV278" i="2"/>
  <c r="BW278" i="2"/>
  <c r="BU279" i="2"/>
  <c r="BV279" i="2"/>
  <c r="BW279" i="2"/>
  <c r="BU280" i="2"/>
  <c r="BV280" i="2"/>
  <c r="BW280" i="2"/>
  <c r="BU281" i="2"/>
  <c r="BV281" i="2"/>
  <c r="BW281" i="2"/>
  <c r="BU282" i="2"/>
  <c r="BV282" i="2"/>
  <c r="BW282" i="2"/>
  <c r="BU283" i="2"/>
  <c r="BV283" i="2"/>
  <c r="BW283" i="2"/>
  <c r="BU284" i="2"/>
  <c r="BV284" i="2"/>
  <c r="BW284" i="2"/>
  <c r="BU562" i="2"/>
  <c r="BV562" i="2"/>
  <c r="BW562" i="2"/>
  <c r="BU564" i="2"/>
  <c r="BV564" i="2"/>
  <c r="BW564" i="2"/>
  <c r="BU287" i="2"/>
  <c r="BV287" i="2"/>
  <c r="BW287" i="2"/>
  <c r="BU288" i="2"/>
  <c r="BV288" i="2"/>
  <c r="BW288" i="2"/>
  <c r="BU289" i="2"/>
  <c r="BV289" i="2"/>
  <c r="BW289" i="2"/>
  <c r="BU290" i="2"/>
  <c r="BV290" i="2"/>
  <c r="BW290" i="2"/>
  <c r="BU291" i="2"/>
  <c r="BV291" i="2"/>
  <c r="BW291" i="2"/>
  <c r="BU292" i="2"/>
  <c r="BV292" i="2"/>
  <c r="BW292" i="2"/>
  <c r="BU600" i="2"/>
  <c r="BV600" i="2"/>
  <c r="BW600" i="2"/>
  <c r="BU368" i="2"/>
  <c r="BV368" i="2"/>
  <c r="BW368" i="2"/>
  <c r="BU295" i="2"/>
  <c r="BV295" i="2"/>
  <c r="BW295" i="2"/>
  <c r="BU296" i="2"/>
  <c r="BV296" i="2"/>
  <c r="BW296" i="2"/>
  <c r="BU297" i="2"/>
  <c r="BV297" i="2"/>
  <c r="BW297" i="2"/>
  <c r="BU298" i="2"/>
  <c r="BV298" i="2"/>
  <c r="BW298" i="2"/>
  <c r="BU299" i="2"/>
  <c r="BV299" i="2"/>
  <c r="BW299" i="2"/>
  <c r="BU300" i="2"/>
  <c r="BV300" i="2"/>
  <c r="BW300" i="2"/>
  <c r="BU301" i="2"/>
  <c r="BV301" i="2"/>
  <c r="BW301" i="2"/>
  <c r="BU302" i="2"/>
  <c r="BV302" i="2"/>
  <c r="BW302" i="2"/>
  <c r="BU303" i="2"/>
  <c r="BV303" i="2"/>
  <c r="BW303" i="2"/>
  <c r="BU188" i="2"/>
  <c r="BV188" i="2"/>
  <c r="BW188" i="2"/>
  <c r="BU305" i="2"/>
  <c r="BV305" i="2"/>
  <c r="BW305" i="2"/>
  <c r="BU306" i="2"/>
  <c r="BV306" i="2"/>
  <c r="BW306" i="2"/>
  <c r="BU307" i="2"/>
  <c r="BV307" i="2"/>
  <c r="BW307" i="2"/>
  <c r="BU308" i="2"/>
  <c r="BV308" i="2"/>
  <c r="BW308" i="2"/>
  <c r="BU309" i="2"/>
  <c r="BV309" i="2"/>
  <c r="BW309" i="2"/>
  <c r="BU310" i="2"/>
  <c r="BV310" i="2"/>
  <c r="BW310" i="2"/>
  <c r="BU311" i="2"/>
  <c r="BV311" i="2"/>
  <c r="BW311" i="2"/>
  <c r="BU312" i="2"/>
  <c r="BV312" i="2"/>
  <c r="BW312" i="2"/>
  <c r="BU313" i="2"/>
  <c r="BV313" i="2"/>
  <c r="BW313" i="2"/>
  <c r="BU314" i="2"/>
  <c r="BV314" i="2"/>
  <c r="BW314" i="2"/>
  <c r="BU315" i="2"/>
  <c r="BV315" i="2"/>
  <c r="BW315" i="2"/>
  <c r="BU316" i="2"/>
  <c r="BV316" i="2"/>
  <c r="BW316" i="2"/>
  <c r="BU317" i="2"/>
  <c r="BV317" i="2"/>
  <c r="BW317" i="2"/>
  <c r="BU318" i="2"/>
  <c r="BV318" i="2"/>
  <c r="BW318" i="2"/>
  <c r="BU319" i="2"/>
  <c r="BV319" i="2"/>
  <c r="BW319" i="2"/>
  <c r="BU320" i="2"/>
  <c r="BV320" i="2"/>
  <c r="BW320" i="2"/>
  <c r="BU321" i="2"/>
  <c r="BV321" i="2"/>
  <c r="BW321" i="2"/>
  <c r="BU322" i="2"/>
  <c r="BV322" i="2"/>
  <c r="BW322" i="2"/>
  <c r="BU323" i="2"/>
  <c r="BV323" i="2"/>
  <c r="BW323" i="2"/>
  <c r="BU324" i="2"/>
  <c r="BV324" i="2"/>
  <c r="BW324" i="2"/>
  <c r="BU325" i="2"/>
  <c r="BV325" i="2"/>
  <c r="BW325" i="2"/>
  <c r="BU326" i="2"/>
  <c r="BV326" i="2"/>
  <c r="BW326" i="2"/>
  <c r="BU327" i="2"/>
  <c r="BV327" i="2"/>
  <c r="BW327" i="2"/>
  <c r="BU328" i="2"/>
  <c r="BV328" i="2"/>
  <c r="BW328" i="2"/>
  <c r="BU329" i="2"/>
  <c r="BV329" i="2"/>
  <c r="BW329" i="2"/>
  <c r="BU330" i="2"/>
  <c r="BV330" i="2"/>
  <c r="BW330" i="2"/>
  <c r="BU331" i="2"/>
  <c r="BV331" i="2"/>
  <c r="BW331" i="2"/>
  <c r="BU332" i="2"/>
  <c r="BV332" i="2"/>
  <c r="BW332" i="2"/>
  <c r="BU333" i="2"/>
  <c r="BV333" i="2"/>
  <c r="BW333" i="2"/>
  <c r="BU334" i="2"/>
  <c r="BV334" i="2"/>
  <c r="BW334" i="2"/>
  <c r="BU335" i="2"/>
  <c r="BV335" i="2"/>
  <c r="BW335" i="2"/>
  <c r="BU336" i="2"/>
  <c r="BV336" i="2"/>
  <c r="BW336" i="2"/>
  <c r="BU337" i="2"/>
  <c r="BV337" i="2"/>
  <c r="BW337" i="2"/>
  <c r="BU338" i="2"/>
  <c r="BV338" i="2"/>
  <c r="BW338" i="2"/>
  <c r="BU339" i="2"/>
  <c r="BV339" i="2"/>
  <c r="BW339" i="2"/>
  <c r="BU208" i="2"/>
  <c r="BV208" i="2"/>
  <c r="BW208" i="2"/>
  <c r="BU341" i="2"/>
  <c r="BV341" i="2"/>
  <c r="BW341" i="2"/>
  <c r="BU347" i="2"/>
  <c r="BV347" i="2"/>
  <c r="BW347" i="2"/>
  <c r="BU343" i="2"/>
  <c r="BV343" i="2"/>
  <c r="BW343" i="2"/>
  <c r="BU344" i="2"/>
  <c r="BV344" i="2"/>
  <c r="BW344" i="2"/>
  <c r="BU345" i="2"/>
  <c r="BV345" i="2"/>
  <c r="BW345" i="2"/>
  <c r="BU346" i="2"/>
  <c r="BV346" i="2"/>
  <c r="BW346" i="2"/>
  <c r="BU39" i="2"/>
  <c r="BV39" i="2"/>
  <c r="BW39" i="2"/>
  <c r="BU348" i="2"/>
  <c r="BV348" i="2"/>
  <c r="BW348" i="2"/>
  <c r="BU349" i="2"/>
  <c r="BV349" i="2"/>
  <c r="BW349" i="2"/>
  <c r="BU356" i="2"/>
  <c r="BV356" i="2"/>
  <c r="BW356" i="2"/>
  <c r="BU351" i="2"/>
  <c r="BV351" i="2"/>
  <c r="BW351" i="2"/>
  <c r="BU352" i="2"/>
  <c r="BV352" i="2"/>
  <c r="BW352" i="2"/>
  <c r="BU353" i="2"/>
  <c r="BV353" i="2"/>
  <c r="BW353" i="2"/>
  <c r="BU354" i="2"/>
  <c r="BV354" i="2"/>
  <c r="BW354" i="2"/>
  <c r="BU355" i="2"/>
  <c r="BV355" i="2"/>
  <c r="BW355" i="2"/>
  <c r="BU342" i="2"/>
  <c r="BV342" i="2"/>
  <c r="BW342" i="2"/>
  <c r="BU357" i="2"/>
  <c r="BV357" i="2"/>
  <c r="BW357" i="2"/>
  <c r="BU358" i="2"/>
  <c r="BV358" i="2"/>
  <c r="BW358" i="2"/>
  <c r="BU359" i="2"/>
  <c r="BV359" i="2"/>
  <c r="BW359" i="2"/>
  <c r="BU360" i="2"/>
  <c r="BV360" i="2"/>
  <c r="BW360" i="2"/>
  <c r="BU361" i="2"/>
  <c r="BV361" i="2"/>
  <c r="BW361" i="2"/>
  <c r="BU362" i="2"/>
  <c r="BV362" i="2"/>
  <c r="BW362" i="2"/>
  <c r="BU363" i="2"/>
  <c r="BV363" i="2"/>
  <c r="BW363" i="2"/>
  <c r="BU500" i="2"/>
  <c r="BV500" i="2"/>
  <c r="BW500" i="2"/>
  <c r="BU504" i="2"/>
  <c r="BV504" i="2"/>
  <c r="BW504" i="2"/>
  <c r="BU366" i="2"/>
  <c r="BV366" i="2"/>
  <c r="BW366" i="2"/>
  <c r="BU86" i="2"/>
  <c r="BV86" i="2"/>
  <c r="BW86" i="2"/>
  <c r="BU87" i="2"/>
  <c r="BV87" i="2"/>
  <c r="BW87" i="2"/>
  <c r="BU369" i="2"/>
  <c r="BV369" i="2"/>
  <c r="BW369" i="2"/>
  <c r="BU370" i="2"/>
  <c r="BV370" i="2"/>
  <c r="BW370" i="2"/>
  <c r="BU371" i="2"/>
  <c r="BV371" i="2"/>
  <c r="BW371" i="2"/>
  <c r="BU372" i="2"/>
  <c r="BV372" i="2"/>
  <c r="BW372" i="2"/>
  <c r="BU373" i="2"/>
  <c r="BV373" i="2"/>
  <c r="BW373" i="2"/>
  <c r="BU374" i="2"/>
  <c r="BV374" i="2"/>
  <c r="BW374" i="2"/>
  <c r="BU375" i="2"/>
  <c r="BV375" i="2"/>
  <c r="BW375" i="2"/>
  <c r="BU376" i="2"/>
  <c r="BV376" i="2"/>
  <c r="BW376" i="2"/>
  <c r="BU377" i="2"/>
  <c r="BV377" i="2"/>
  <c r="BW377" i="2"/>
  <c r="BU378" i="2"/>
  <c r="BV378" i="2"/>
  <c r="BW378" i="2"/>
  <c r="BU379" i="2"/>
  <c r="BV379" i="2"/>
  <c r="BW379" i="2"/>
  <c r="BU380" i="2"/>
  <c r="BV380" i="2"/>
  <c r="BW380" i="2"/>
  <c r="BU381" i="2"/>
  <c r="BV381" i="2"/>
  <c r="BW381" i="2"/>
  <c r="BU382" i="2"/>
  <c r="BV382" i="2"/>
  <c r="BW382" i="2"/>
  <c r="BU383" i="2"/>
  <c r="BV383" i="2"/>
  <c r="BW383" i="2"/>
  <c r="BU384" i="2"/>
  <c r="BV384" i="2"/>
  <c r="BW384" i="2"/>
  <c r="BU385" i="2"/>
  <c r="BV385" i="2"/>
  <c r="BW385" i="2"/>
  <c r="BU386" i="2"/>
  <c r="BV386" i="2"/>
  <c r="BW386" i="2"/>
  <c r="BU387" i="2"/>
  <c r="BV387" i="2"/>
  <c r="BW387" i="2"/>
  <c r="BU388" i="2"/>
  <c r="BV388" i="2"/>
  <c r="BW388" i="2"/>
  <c r="BU389" i="2"/>
  <c r="BV389" i="2"/>
  <c r="BW389" i="2"/>
  <c r="BU390" i="2"/>
  <c r="BV390" i="2"/>
  <c r="BW390" i="2"/>
  <c r="BU391" i="2"/>
  <c r="BV391" i="2"/>
  <c r="BW391" i="2"/>
  <c r="BU392" i="2"/>
  <c r="BV392" i="2"/>
  <c r="BW392" i="2"/>
  <c r="BU393" i="2"/>
  <c r="BV393" i="2"/>
  <c r="BW393" i="2"/>
  <c r="BU394" i="2"/>
  <c r="BV394" i="2"/>
  <c r="BW394" i="2"/>
  <c r="BU395" i="2"/>
  <c r="BV395" i="2"/>
  <c r="BW395" i="2"/>
  <c r="BU396" i="2"/>
  <c r="BV396" i="2"/>
  <c r="BW396" i="2"/>
  <c r="BU397" i="2"/>
  <c r="BV397" i="2"/>
  <c r="BW397" i="2"/>
  <c r="BU398" i="2"/>
  <c r="BV398" i="2"/>
  <c r="BW398" i="2"/>
  <c r="BU399" i="2"/>
  <c r="BV399" i="2"/>
  <c r="BW399" i="2"/>
  <c r="BU400" i="2"/>
  <c r="BV400" i="2"/>
  <c r="BW400" i="2"/>
  <c r="BU401" i="2"/>
  <c r="BV401" i="2"/>
  <c r="BW401" i="2"/>
  <c r="BU402" i="2"/>
  <c r="BV402" i="2"/>
  <c r="BW402" i="2"/>
  <c r="BU403" i="2"/>
  <c r="BV403" i="2"/>
  <c r="BW403" i="2"/>
  <c r="BU404" i="2"/>
  <c r="BV404" i="2"/>
  <c r="BW404" i="2"/>
  <c r="BU405" i="2"/>
  <c r="BV405" i="2"/>
  <c r="BW405" i="2"/>
  <c r="BU406" i="2"/>
  <c r="BV406" i="2"/>
  <c r="BW406" i="2"/>
  <c r="BU407" i="2"/>
  <c r="BV407" i="2"/>
  <c r="BW407" i="2"/>
  <c r="BU408" i="2"/>
  <c r="BV408" i="2"/>
  <c r="BW408" i="2"/>
  <c r="BU409" i="2"/>
  <c r="BV409" i="2"/>
  <c r="BW409" i="2"/>
  <c r="BU410" i="2"/>
  <c r="BV410" i="2"/>
  <c r="BW410" i="2"/>
  <c r="BU411" i="2"/>
  <c r="BV411" i="2"/>
  <c r="BW411" i="2"/>
  <c r="BU412" i="2"/>
  <c r="BV412" i="2"/>
  <c r="BW412" i="2"/>
  <c r="BU413" i="2"/>
  <c r="BV413" i="2"/>
  <c r="BW413" i="2"/>
  <c r="BU414" i="2"/>
  <c r="BV414" i="2"/>
  <c r="BW414" i="2"/>
  <c r="BU415" i="2"/>
  <c r="BV415" i="2"/>
  <c r="BW415" i="2"/>
  <c r="BU416" i="2"/>
  <c r="BV416" i="2"/>
  <c r="BW416" i="2"/>
  <c r="BU417" i="2"/>
  <c r="BV417" i="2"/>
  <c r="BW417" i="2"/>
  <c r="BU418" i="2"/>
  <c r="BV418" i="2"/>
  <c r="BW418" i="2"/>
  <c r="BU419" i="2"/>
  <c r="BV419" i="2"/>
  <c r="BW419" i="2"/>
  <c r="BU420" i="2"/>
  <c r="BV420" i="2"/>
  <c r="BW420" i="2"/>
  <c r="BU421" i="2"/>
  <c r="BV421" i="2"/>
  <c r="BW421" i="2"/>
  <c r="BU422" i="2"/>
  <c r="BV422" i="2"/>
  <c r="BW422" i="2"/>
  <c r="BU423" i="2"/>
  <c r="BV423" i="2"/>
  <c r="BW423" i="2"/>
  <c r="BU424" i="2"/>
  <c r="BV424" i="2"/>
  <c r="BW424" i="2"/>
  <c r="BU425" i="2"/>
  <c r="BV425" i="2"/>
  <c r="BW425" i="2"/>
  <c r="BU426" i="2"/>
  <c r="BV426" i="2"/>
  <c r="BW426" i="2"/>
  <c r="BU427" i="2"/>
  <c r="BV427" i="2"/>
  <c r="BW427" i="2"/>
  <c r="BU428" i="2"/>
  <c r="BV428" i="2"/>
  <c r="BW428" i="2"/>
  <c r="BU429" i="2"/>
  <c r="BV429" i="2"/>
  <c r="BW429" i="2"/>
  <c r="BU430" i="2"/>
  <c r="BV430" i="2"/>
  <c r="BW430" i="2"/>
  <c r="BU431" i="2"/>
  <c r="BV431" i="2"/>
  <c r="BW431" i="2"/>
  <c r="BU432" i="2"/>
  <c r="BV432" i="2"/>
  <c r="BW432" i="2"/>
  <c r="BU433" i="2"/>
  <c r="BV433" i="2"/>
  <c r="BW433" i="2"/>
  <c r="BU434" i="2"/>
  <c r="BV434" i="2"/>
  <c r="BW434" i="2"/>
  <c r="BU435" i="2"/>
  <c r="BV435" i="2"/>
  <c r="BW435" i="2"/>
  <c r="BU436" i="2"/>
  <c r="BV436" i="2"/>
  <c r="BW436" i="2"/>
  <c r="BU437" i="2"/>
  <c r="BV437" i="2"/>
  <c r="BW437" i="2"/>
  <c r="BU438" i="2"/>
  <c r="BV438" i="2"/>
  <c r="BW438" i="2"/>
  <c r="BU439" i="2"/>
  <c r="BV439" i="2"/>
  <c r="BW439" i="2"/>
  <c r="BU440" i="2"/>
  <c r="BV440" i="2"/>
  <c r="BW440" i="2"/>
  <c r="BU61" i="2"/>
  <c r="BV61" i="2"/>
  <c r="BW61" i="2"/>
  <c r="BU442" i="2"/>
  <c r="BV442" i="2"/>
  <c r="BW442" i="2"/>
  <c r="BU443" i="2"/>
  <c r="BV443" i="2"/>
  <c r="BW443" i="2"/>
  <c r="BU444" i="2"/>
  <c r="BV444" i="2"/>
  <c r="BW444" i="2"/>
  <c r="BU445" i="2"/>
  <c r="BV445" i="2"/>
  <c r="BW445" i="2"/>
  <c r="BU446" i="2"/>
  <c r="BV446" i="2"/>
  <c r="BW446" i="2"/>
  <c r="BU447" i="2"/>
  <c r="BV447" i="2"/>
  <c r="BW447" i="2"/>
  <c r="BU448" i="2"/>
  <c r="BV448" i="2"/>
  <c r="BW448" i="2"/>
  <c r="BU449" i="2"/>
  <c r="BV449" i="2"/>
  <c r="BW449" i="2"/>
  <c r="BU450" i="2"/>
  <c r="BV450" i="2"/>
  <c r="BW450" i="2"/>
  <c r="BU451" i="2"/>
  <c r="BV451" i="2"/>
  <c r="BW451" i="2"/>
  <c r="BU452" i="2"/>
  <c r="BV452" i="2"/>
  <c r="BW452" i="2"/>
  <c r="BU453" i="2"/>
  <c r="BV453" i="2"/>
  <c r="BW453" i="2"/>
  <c r="BU454" i="2"/>
  <c r="BV454" i="2"/>
  <c r="BW454" i="2"/>
  <c r="BU455" i="2"/>
  <c r="BV455" i="2"/>
  <c r="BW455" i="2"/>
  <c r="BU456" i="2"/>
  <c r="BV456" i="2"/>
  <c r="BW456" i="2"/>
  <c r="BU457" i="2"/>
  <c r="BV457" i="2"/>
  <c r="BW457" i="2"/>
  <c r="BU458" i="2"/>
  <c r="BV458" i="2"/>
  <c r="BW458" i="2"/>
  <c r="BU459" i="2"/>
  <c r="BV459" i="2"/>
  <c r="BW459" i="2"/>
  <c r="BU460" i="2"/>
  <c r="BV460" i="2"/>
  <c r="BW460" i="2"/>
  <c r="BU461" i="2"/>
  <c r="BV461" i="2"/>
  <c r="BW461" i="2"/>
  <c r="BU462" i="2"/>
  <c r="BV462" i="2"/>
  <c r="BW462" i="2"/>
  <c r="BU463" i="2"/>
  <c r="BV463" i="2"/>
  <c r="BW463" i="2"/>
  <c r="BU464" i="2"/>
  <c r="BV464" i="2"/>
  <c r="BW464" i="2"/>
  <c r="BU465" i="2"/>
  <c r="BV465" i="2"/>
  <c r="BW465" i="2"/>
  <c r="BU466" i="2"/>
  <c r="BV466" i="2"/>
  <c r="BW466" i="2"/>
  <c r="BU467" i="2"/>
  <c r="BV467" i="2"/>
  <c r="BW467" i="2"/>
  <c r="BU468" i="2"/>
  <c r="BV468" i="2"/>
  <c r="BW468" i="2"/>
  <c r="BU469" i="2"/>
  <c r="BV469" i="2"/>
  <c r="BW469" i="2"/>
  <c r="BU470" i="2"/>
  <c r="BV470" i="2"/>
  <c r="BW470" i="2"/>
  <c r="BU471" i="2"/>
  <c r="BV471" i="2"/>
  <c r="BW471" i="2"/>
  <c r="BU472" i="2"/>
  <c r="BV472" i="2"/>
  <c r="BW472" i="2"/>
  <c r="BU473" i="2"/>
  <c r="BV473" i="2"/>
  <c r="BW473" i="2"/>
  <c r="BU474" i="2"/>
  <c r="BV474" i="2"/>
  <c r="BW474" i="2"/>
  <c r="BU475" i="2"/>
  <c r="BV475" i="2"/>
  <c r="BW475" i="2"/>
  <c r="BU476" i="2"/>
  <c r="BV476" i="2"/>
  <c r="BW476" i="2"/>
  <c r="BU477" i="2"/>
  <c r="BV477" i="2"/>
  <c r="BW477" i="2"/>
  <c r="BU478" i="2"/>
  <c r="BV478" i="2"/>
  <c r="BW478" i="2"/>
  <c r="BU479" i="2"/>
  <c r="BV479" i="2"/>
  <c r="BW479" i="2"/>
  <c r="BU480" i="2"/>
  <c r="BV480" i="2"/>
  <c r="BW480" i="2"/>
  <c r="BU481" i="2"/>
  <c r="BV481" i="2"/>
  <c r="BW481" i="2"/>
  <c r="BU482" i="2"/>
  <c r="BV482" i="2"/>
  <c r="BW482" i="2"/>
  <c r="BU483" i="2"/>
  <c r="BV483" i="2"/>
  <c r="BW483" i="2"/>
  <c r="BU484" i="2"/>
  <c r="BV484" i="2"/>
  <c r="BW484" i="2"/>
  <c r="BU485" i="2"/>
  <c r="BV485" i="2"/>
  <c r="BW485" i="2"/>
  <c r="BU486" i="2"/>
  <c r="BV486" i="2"/>
  <c r="BW486" i="2"/>
  <c r="BU487" i="2"/>
  <c r="BV487" i="2"/>
  <c r="BW487" i="2"/>
  <c r="BU488" i="2"/>
  <c r="BV488" i="2"/>
  <c r="BW488" i="2"/>
  <c r="BU3" i="2"/>
  <c r="BV3" i="2"/>
  <c r="BW3" i="2"/>
  <c r="BU490" i="2"/>
  <c r="BV490" i="2"/>
  <c r="BW490" i="2"/>
  <c r="BU491" i="2"/>
  <c r="BV491" i="2"/>
  <c r="BW491" i="2"/>
  <c r="BU492" i="2"/>
  <c r="BV492" i="2"/>
  <c r="BW492" i="2"/>
  <c r="BU493" i="2"/>
  <c r="BV493" i="2"/>
  <c r="BW493" i="2"/>
  <c r="BU189" i="2"/>
  <c r="BV189" i="2"/>
  <c r="BW189" i="2"/>
  <c r="BU495" i="2"/>
  <c r="BV495" i="2"/>
  <c r="BW495" i="2"/>
  <c r="BU496" i="2"/>
  <c r="BV496" i="2"/>
  <c r="BW496" i="2"/>
  <c r="BU497" i="2"/>
  <c r="BV497" i="2"/>
  <c r="BW497" i="2"/>
  <c r="BU498" i="2"/>
  <c r="BV498" i="2"/>
  <c r="BW498" i="2"/>
  <c r="BU499" i="2"/>
  <c r="BV499" i="2"/>
  <c r="BW499" i="2"/>
  <c r="BU169" i="2"/>
  <c r="BV169" i="2"/>
  <c r="BW169" i="2"/>
  <c r="BU501" i="2"/>
  <c r="BV501" i="2"/>
  <c r="BW501" i="2"/>
  <c r="BU502" i="2"/>
  <c r="BV502" i="2"/>
  <c r="BW502" i="2"/>
  <c r="BU503" i="2"/>
  <c r="BV503" i="2"/>
  <c r="BW503" i="2"/>
  <c r="BU610" i="2"/>
  <c r="BV610" i="2"/>
  <c r="BW610" i="2"/>
  <c r="BU611" i="2"/>
  <c r="BV611" i="2"/>
  <c r="BW611" i="2"/>
  <c r="BU506" i="2"/>
  <c r="BV506" i="2"/>
  <c r="BW506" i="2"/>
  <c r="BU507" i="2"/>
  <c r="BV507" i="2"/>
  <c r="BW507" i="2"/>
  <c r="BU508" i="2"/>
  <c r="BV508" i="2"/>
  <c r="BW508" i="2"/>
  <c r="BU509" i="2"/>
  <c r="BV509" i="2"/>
  <c r="BW509" i="2"/>
  <c r="BU510" i="2"/>
  <c r="BV510" i="2"/>
  <c r="BW510" i="2"/>
  <c r="BU511" i="2"/>
  <c r="BV511" i="2"/>
  <c r="BW511" i="2"/>
  <c r="BU512" i="2"/>
  <c r="BV512" i="2"/>
  <c r="BW512" i="2"/>
  <c r="BU513" i="2"/>
  <c r="BV513" i="2"/>
  <c r="BW513" i="2"/>
  <c r="BU514" i="2"/>
  <c r="BV514" i="2"/>
  <c r="BW514" i="2"/>
  <c r="BU515" i="2"/>
  <c r="BV515" i="2"/>
  <c r="BW515" i="2"/>
  <c r="BU601" i="2"/>
  <c r="BV601" i="2"/>
  <c r="BW601" i="2"/>
  <c r="BU607" i="2"/>
  <c r="BV607" i="2"/>
  <c r="BW607" i="2"/>
  <c r="BU518" i="2"/>
  <c r="BV518" i="2"/>
  <c r="BW518" i="2"/>
  <c r="BU519" i="2"/>
  <c r="BV519" i="2"/>
  <c r="BW519" i="2"/>
  <c r="BU520" i="2"/>
  <c r="BV520" i="2"/>
  <c r="BW520" i="2"/>
  <c r="BU521" i="2"/>
  <c r="BV521" i="2"/>
  <c r="BW521" i="2"/>
  <c r="BU522" i="2"/>
  <c r="BV522" i="2"/>
  <c r="BW522" i="2"/>
  <c r="BU157" i="2"/>
  <c r="BV157" i="2"/>
  <c r="BW157" i="2"/>
  <c r="BU524" i="2"/>
  <c r="BV524" i="2"/>
  <c r="BW524" i="2"/>
  <c r="BU525" i="2"/>
  <c r="BV525" i="2"/>
  <c r="BW525" i="2"/>
  <c r="BU526" i="2"/>
  <c r="BV526" i="2"/>
  <c r="BW526" i="2"/>
  <c r="BU527" i="2"/>
  <c r="BV527" i="2"/>
  <c r="BW527" i="2"/>
  <c r="BU528" i="2"/>
  <c r="BV528" i="2"/>
  <c r="BW528" i="2"/>
  <c r="BU529" i="2"/>
  <c r="BV529" i="2"/>
  <c r="BW529" i="2"/>
  <c r="BU530" i="2"/>
  <c r="BV530" i="2"/>
  <c r="BW530" i="2"/>
  <c r="BU531" i="2"/>
  <c r="BV531" i="2"/>
  <c r="BW531" i="2"/>
  <c r="BU494" i="2"/>
  <c r="BV494" i="2"/>
  <c r="BW494" i="2"/>
  <c r="BU533" i="2"/>
  <c r="BV533" i="2"/>
  <c r="BW533" i="2"/>
  <c r="BU534" i="2"/>
  <c r="BV534" i="2"/>
  <c r="BW534" i="2"/>
  <c r="BU535" i="2"/>
  <c r="BV535" i="2"/>
  <c r="BW535" i="2"/>
  <c r="BU536" i="2"/>
  <c r="BV536" i="2"/>
  <c r="BW536" i="2"/>
  <c r="BU612" i="2"/>
  <c r="BV612" i="2"/>
  <c r="BW612" i="2"/>
  <c r="BU538" i="2"/>
  <c r="BV538" i="2"/>
  <c r="BW538" i="2"/>
  <c r="BU539" i="2"/>
  <c r="BV539" i="2"/>
  <c r="BW539" i="2"/>
  <c r="BU540" i="2"/>
  <c r="BV540" i="2"/>
  <c r="BW540" i="2"/>
  <c r="BU541" i="2"/>
  <c r="BV541" i="2"/>
  <c r="BW541" i="2"/>
  <c r="BU542" i="2"/>
  <c r="BV542" i="2"/>
  <c r="BW542" i="2"/>
  <c r="BU543" i="2"/>
  <c r="BV543" i="2"/>
  <c r="BW543" i="2"/>
  <c r="BU544" i="2"/>
  <c r="BV544" i="2"/>
  <c r="BW544" i="2"/>
  <c r="BU545" i="2"/>
  <c r="BV545" i="2"/>
  <c r="BW545" i="2"/>
  <c r="BU546" i="2"/>
  <c r="BV546" i="2"/>
  <c r="BW546" i="2"/>
  <c r="BU547" i="2"/>
  <c r="BV547" i="2"/>
  <c r="BW547" i="2"/>
  <c r="BU548" i="2"/>
  <c r="BV548" i="2"/>
  <c r="BW548" i="2"/>
  <c r="BU549" i="2"/>
  <c r="BV549" i="2"/>
  <c r="BW549" i="2"/>
  <c r="BU550" i="2"/>
  <c r="BV550" i="2"/>
  <c r="BW550" i="2"/>
  <c r="BU551" i="2"/>
  <c r="BV551" i="2"/>
  <c r="BW551" i="2"/>
  <c r="BU552" i="2"/>
  <c r="BV552" i="2"/>
  <c r="BW552" i="2"/>
  <c r="BU553" i="2"/>
  <c r="BV553" i="2"/>
  <c r="BW553" i="2"/>
  <c r="BU554" i="2"/>
  <c r="BV554" i="2"/>
  <c r="BW554" i="2"/>
  <c r="BU555" i="2"/>
  <c r="BV555" i="2"/>
  <c r="BW555" i="2"/>
  <c r="BU187" i="2"/>
  <c r="BV187" i="2"/>
  <c r="BW187" i="2"/>
  <c r="BU557" i="2"/>
  <c r="BV557" i="2"/>
  <c r="BW557" i="2"/>
  <c r="BU190" i="2"/>
  <c r="BV190" i="2"/>
  <c r="BW190" i="2"/>
  <c r="BU559" i="2"/>
  <c r="BV559" i="2"/>
  <c r="BW559" i="2"/>
  <c r="BU560" i="2"/>
  <c r="BV560" i="2"/>
  <c r="BW560" i="2"/>
  <c r="BU561" i="2"/>
  <c r="BV561" i="2"/>
  <c r="BW561" i="2"/>
  <c r="BU191" i="2"/>
  <c r="BV191" i="2"/>
  <c r="BW191" i="2"/>
  <c r="BU159" i="2"/>
  <c r="BV159" i="2"/>
  <c r="BW159" i="2"/>
  <c r="BU4" i="2"/>
  <c r="BV4" i="2"/>
  <c r="BW4" i="2"/>
  <c r="BU10" i="2"/>
  <c r="BV10" i="2"/>
  <c r="BW10" i="2"/>
  <c r="BU43" i="2"/>
  <c r="BV43" i="2"/>
  <c r="BW43" i="2"/>
  <c r="BU55" i="2"/>
  <c r="BV55" i="2"/>
  <c r="BW55" i="2"/>
  <c r="BU59" i="2"/>
  <c r="BV59" i="2"/>
  <c r="BW59" i="2"/>
  <c r="BU569" i="2"/>
  <c r="BV569" i="2"/>
  <c r="BW569" i="2"/>
  <c r="BU128" i="2"/>
  <c r="BV128" i="2"/>
  <c r="BW128" i="2"/>
  <c r="BU571" i="2"/>
  <c r="BV571" i="2"/>
  <c r="BW571" i="2"/>
  <c r="BU272" i="2"/>
  <c r="BV272" i="2"/>
  <c r="BW272" i="2"/>
  <c r="BU92" i="2"/>
  <c r="BV92" i="2"/>
  <c r="BW92" i="2"/>
  <c r="BU574" i="2"/>
  <c r="BV574" i="2"/>
  <c r="BW574" i="2"/>
  <c r="BU576" i="2"/>
  <c r="BV576" i="2"/>
  <c r="BW576" i="2"/>
  <c r="BU577" i="2"/>
  <c r="BV577" i="2"/>
  <c r="BW577" i="2"/>
  <c r="BU197" i="2"/>
  <c r="BV197" i="2"/>
  <c r="BW197" i="2"/>
  <c r="BU204" i="2"/>
  <c r="BV204" i="2"/>
  <c r="BW204" i="2"/>
  <c r="BU580" i="2"/>
  <c r="BV580" i="2"/>
  <c r="BW580" i="2"/>
  <c r="BU294" i="2"/>
  <c r="BV294" i="2"/>
  <c r="BW294" i="2"/>
  <c r="BU582" i="2"/>
  <c r="BV582" i="2"/>
  <c r="BW582" i="2"/>
  <c r="BU285" i="2"/>
  <c r="BV285" i="2"/>
  <c r="BW285" i="2"/>
  <c r="BU196" i="2"/>
  <c r="BV196" i="2"/>
  <c r="BW196" i="2"/>
  <c r="BU585" i="2"/>
  <c r="BV585" i="2"/>
  <c r="BW585" i="2"/>
  <c r="BU586" i="2"/>
  <c r="BV586" i="2"/>
  <c r="BW586" i="2"/>
  <c r="BU587" i="2"/>
  <c r="BV587" i="2"/>
  <c r="BW587" i="2"/>
  <c r="BU588" i="2"/>
  <c r="BV588" i="2"/>
  <c r="BW588" i="2"/>
  <c r="BU589" i="2"/>
  <c r="BV589" i="2"/>
  <c r="BW589" i="2"/>
  <c r="BU590" i="2"/>
  <c r="BV590" i="2"/>
  <c r="BW590" i="2"/>
  <c r="BU176" i="2"/>
  <c r="BV176" i="2"/>
  <c r="BW176" i="2"/>
  <c r="BU592" i="2"/>
  <c r="BV592" i="2"/>
  <c r="BW592" i="2"/>
  <c r="BU593" i="2"/>
  <c r="BV593" i="2"/>
  <c r="BW593" i="2"/>
  <c r="BU594" i="2"/>
  <c r="BV594" i="2"/>
  <c r="BW594" i="2"/>
  <c r="BU595" i="2"/>
  <c r="BV595" i="2"/>
  <c r="BW595" i="2"/>
  <c r="BU596" i="2"/>
  <c r="BV596" i="2"/>
  <c r="BW596" i="2"/>
  <c r="BU597" i="2"/>
  <c r="BV597" i="2"/>
  <c r="BW597" i="2"/>
  <c r="BU598" i="2"/>
  <c r="BV598" i="2"/>
  <c r="BW598" i="2"/>
  <c r="BU599" i="2"/>
  <c r="BV599" i="2"/>
  <c r="BW599" i="2"/>
  <c r="BU162" i="2"/>
  <c r="BV162" i="2"/>
  <c r="BW162" i="2"/>
  <c r="BU181" i="2"/>
  <c r="BV181" i="2"/>
  <c r="BW181" i="2"/>
  <c r="BU602" i="2"/>
  <c r="BV602" i="2"/>
  <c r="BW602" i="2"/>
  <c r="BU603" i="2"/>
  <c r="BV603" i="2"/>
  <c r="BW603" i="2"/>
  <c r="BU604" i="2"/>
  <c r="BV604" i="2"/>
  <c r="BW604" i="2"/>
  <c r="BU605" i="2"/>
  <c r="BV605" i="2"/>
  <c r="BW605" i="2"/>
  <c r="BU606" i="2"/>
  <c r="BV606" i="2"/>
  <c r="BW606" i="2"/>
  <c r="BU183" i="2"/>
  <c r="BV183" i="2"/>
  <c r="BW183" i="2"/>
  <c r="BU608" i="2"/>
  <c r="BV608" i="2"/>
  <c r="BW608" i="2"/>
  <c r="BU609" i="2"/>
  <c r="BV609" i="2"/>
  <c r="BW609" i="2"/>
  <c r="BU350" i="2"/>
  <c r="BV350" i="2"/>
  <c r="BW350" i="2"/>
  <c r="BU304" i="2"/>
  <c r="BV304" i="2"/>
  <c r="BW304" i="2"/>
  <c r="BU340" i="2"/>
  <c r="BV340" i="2"/>
  <c r="BW340" i="2"/>
  <c r="A576" i="2" l="1"/>
  <c r="A577" i="2"/>
  <c r="A197" i="2"/>
  <c r="A204" i="2"/>
  <c r="A580" i="2"/>
  <c r="A294" i="2"/>
  <c r="A582" i="2"/>
  <c r="A285" i="2"/>
  <c r="A196" i="2"/>
  <c r="A585" i="2"/>
  <c r="A586" i="2"/>
  <c r="A587" i="2"/>
  <c r="A588" i="2"/>
  <c r="A589" i="2"/>
  <c r="A590" i="2"/>
  <c r="A176" i="2"/>
  <c r="A592" i="2"/>
  <c r="A593" i="2"/>
  <c r="A594" i="2"/>
  <c r="A595" i="2"/>
  <c r="A596" i="2"/>
  <c r="A597" i="2"/>
  <c r="A598" i="2"/>
  <c r="A599" i="2"/>
  <c r="A162" i="2"/>
  <c r="A181" i="2"/>
  <c r="A602" i="2"/>
  <c r="A603" i="2"/>
  <c r="A604" i="2"/>
  <c r="A605" i="2"/>
  <c r="A606" i="2"/>
  <c r="A183" i="2"/>
  <c r="A608" i="2"/>
  <c r="A609" i="2"/>
  <c r="A350" i="2"/>
  <c r="A304" i="2"/>
  <c r="A340" i="2"/>
  <c r="BT195" i="2" l="1"/>
  <c r="BS195" i="2"/>
  <c r="BR195" i="2"/>
  <c r="BQ195" i="2"/>
  <c r="S195" i="2"/>
  <c r="A195" i="2"/>
  <c r="A190" i="2"/>
  <c r="A559" i="2"/>
  <c r="A560" i="2"/>
  <c r="A561" i="2"/>
  <c r="A191" i="2"/>
  <c r="A159" i="2"/>
  <c r="A4" i="2"/>
  <c r="A10" i="2"/>
  <c r="A43" i="2"/>
  <c r="A55" i="2"/>
  <c r="A59" i="2"/>
  <c r="A569" i="2"/>
  <c r="A128" i="2"/>
  <c r="A571" i="2"/>
  <c r="A272" i="2"/>
  <c r="A92" i="2"/>
  <c r="A574" i="2"/>
  <c r="A264" i="2" l="1"/>
  <c r="A263" i="2"/>
  <c r="A262" i="2"/>
  <c r="A261" i="2"/>
  <c r="A260" i="2"/>
  <c r="A259" i="2"/>
  <c r="A258" i="2"/>
  <c r="A257" i="2"/>
  <c r="A256" i="2"/>
  <c r="A255" i="2"/>
  <c r="A254" i="2"/>
  <c r="A192" i="2"/>
  <c r="A252" i="2"/>
  <c r="A251" i="2"/>
  <c r="A250" i="2"/>
  <c r="A249" i="2"/>
  <c r="A248" i="2"/>
  <c r="A247" i="2"/>
  <c r="A246" i="2"/>
  <c r="A245" i="2"/>
  <c r="A464" i="2"/>
  <c r="A557" i="2"/>
  <c r="A155" i="2"/>
  <c r="BT530" i="2"/>
  <c r="A530" i="2"/>
  <c r="BT356" i="2"/>
  <c r="A356" i="2"/>
  <c r="BT371" i="2"/>
  <c r="A371" i="2"/>
  <c r="BT370" i="2"/>
  <c r="A370" i="2"/>
  <c r="BT369" i="2"/>
  <c r="A369" i="2"/>
  <c r="BT87" i="2"/>
  <c r="A87" i="2"/>
  <c r="BT86" i="2"/>
  <c r="A86" i="2"/>
  <c r="BT366" i="2"/>
  <c r="A366" i="2"/>
  <c r="BT244" i="2"/>
  <c r="BS244" i="2"/>
  <c r="A244" i="2"/>
  <c r="BT537" i="2"/>
  <c r="BS537" i="2"/>
  <c r="A537" i="2"/>
  <c r="BT312" i="2"/>
  <c r="BS312" i="2"/>
  <c r="S312" i="2"/>
  <c r="T312" i="2"/>
  <c r="A312" i="2"/>
  <c r="BT242" i="2"/>
  <c r="BS242" i="2"/>
  <c r="S242" i="2"/>
  <c r="T242" i="2"/>
  <c r="A242" i="2"/>
  <c r="BT349" i="2"/>
  <c r="BS349" i="2"/>
  <c r="A349" i="2"/>
  <c r="BT311" i="2"/>
  <c r="BS311" i="2"/>
  <c r="S311" i="2"/>
  <c r="A311" i="2"/>
  <c r="BT529" i="2"/>
  <c r="BS529" i="2"/>
  <c r="A529" i="2"/>
  <c r="BT528" i="2"/>
  <c r="BS528" i="2"/>
  <c r="A528" i="2"/>
  <c r="BT527" i="2"/>
  <c r="BS527" i="2"/>
  <c r="S527" i="2"/>
  <c r="A527" i="2"/>
  <c r="BT526" i="2"/>
  <c r="BS526" i="2"/>
  <c r="A526" i="2"/>
  <c r="BT504" i="2"/>
  <c r="BS504" i="2"/>
  <c r="A504" i="2"/>
  <c r="BT500" i="2"/>
  <c r="BS500" i="2"/>
  <c r="A500" i="2"/>
  <c r="BT525" i="2"/>
  <c r="BS525" i="2"/>
  <c r="A525" i="2"/>
  <c r="BT194" i="2"/>
  <c r="BS194" i="2"/>
  <c r="A194" i="2"/>
  <c r="BT348" i="2"/>
  <c r="BS348" i="2"/>
  <c r="A348" i="2"/>
  <c r="BT182" i="2"/>
  <c r="BS182" i="2"/>
  <c r="A182" i="2"/>
  <c r="BT39" i="2"/>
  <c r="BS39" i="2"/>
  <c r="A39" i="2"/>
  <c r="BT363" i="2"/>
  <c r="BS363" i="2"/>
  <c r="A363" i="2"/>
  <c r="BT362" i="2"/>
  <c r="BS362" i="2"/>
  <c r="S362" i="2"/>
  <c r="A362" i="2"/>
  <c r="BT24" i="2"/>
  <c r="BS24" i="2"/>
  <c r="S24" i="2"/>
  <c r="A24" i="2"/>
  <c r="BT23" i="2"/>
  <c r="BS23" i="2"/>
  <c r="S23" i="2"/>
  <c r="A23" i="2"/>
  <c r="BT22" i="2"/>
  <c r="BS22" i="2"/>
  <c r="S22" i="2"/>
  <c r="A22" i="2"/>
  <c r="BT21" i="2"/>
  <c r="BS21" i="2"/>
  <c r="S21" i="2"/>
  <c r="A21" i="2"/>
  <c r="BT20" i="2"/>
  <c r="BS20" i="2"/>
  <c r="S20" i="2"/>
  <c r="A20" i="2"/>
  <c r="BT19" i="2"/>
  <c r="BS19" i="2"/>
  <c r="S19" i="2"/>
  <c r="A19" i="2"/>
  <c r="BT241" i="2"/>
  <c r="BS241" i="2"/>
  <c r="S241" i="2"/>
  <c r="A241" i="2"/>
  <c r="BT240" i="2"/>
  <c r="BS240" i="2"/>
  <c r="BR240" i="2"/>
  <c r="BQ240" i="2"/>
  <c r="S240" i="2"/>
  <c r="A240" i="2"/>
  <c r="BT463" i="2"/>
  <c r="BS463" i="2"/>
  <c r="S463" i="2"/>
  <c r="A463" i="2"/>
  <c r="BT462" i="2"/>
  <c r="BS462" i="2"/>
  <c r="S462" i="2"/>
  <c r="A462" i="2"/>
  <c r="BT461" i="2"/>
  <c r="BS461" i="2"/>
  <c r="S461" i="2"/>
  <c r="A461" i="2"/>
  <c r="BT460" i="2"/>
  <c r="BS460" i="2"/>
  <c r="S460" i="2"/>
  <c r="A460" i="2"/>
  <c r="BT459" i="2"/>
  <c r="BS459" i="2"/>
  <c r="S459" i="2"/>
  <c r="A459" i="2"/>
  <c r="BT458" i="2"/>
  <c r="BS458" i="2"/>
  <c r="S458" i="2"/>
  <c r="A458" i="2"/>
  <c r="BT457" i="2"/>
  <c r="BS457" i="2"/>
  <c r="S457" i="2"/>
  <c r="A457" i="2"/>
  <c r="BT239" i="2"/>
  <c r="BS239" i="2"/>
  <c r="S239" i="2"/>
  <c r="A239" i="2"/>
  <c r="BT238" i="2"/>
  <c r="BS238" i="2"/>
  <c r="S238" i="2"/>
  <c r="A238" i="2"/>
  <c r="BT456" i="2"/>
  <c r="BS456" i="2"/>
  <c r="S456" i="2"/>
  <c r="A456" i="2"/>
  <c r="BT237" i="2"/>
  <c r="BS237" i="2"/>
  <c r="BR237" i="2"/>
  <c r="BQ237" i="2"/>
  <c r="BP237" i="2"/>
  <c r="S237" i="2"/>
  <c r="A237" i="2"/>
  <c r="BT109" i="2"/>
  <c r="BS109" i="2"/>
  <c r="S109" i="2"/>
  <c r="A109" i="2"/>
  <c r="BT108" i="2"/>
  <c r="BS108" i="2"/>
  <c r="S108" i="2"/>
  <c r="A108" i="2"/>
  <c r="BT346" i="2"/>
  <c r="BS346" i="2"/>
  <c r="BR346" i="2"/>
  <c r="BQ346" i="2"/>
  <c r="S346" i="2"/>
  <c r="A346" i="2"/>
  <c r="BT345" i="2"/>
  <c r="BS345" i="2"/>
  <c r="BR345" i="2"/>
  <c r="BQ345" i="2"/>
  <c r="S345" i="2"/>
  <c r="A345" i="2"/>
  <c r="BT344" i="2"/>
  <c r="BS344" i="2"/>
  <c r="BR344" i="2"/>
  <c r="BQ344" i="2"/>
  <c r="S344" i="2"/>
  <c r="A344" i="2"/>
  <c r="BT343" i="2"/>
  <c r="BS343" i="2"/>
  <c r="BR343" i="2"/>
  <c r="BQ343" i="2"/>
  <c r="S343" i="2"/>
  <c r="A343" i="2"/>
  <c r="BT347" i="2"/>
  <c r="BS347" i="2"/>
  <c r="BR347" i="2"/>
  <c r="BQ347" i="2"/>
  <c r="S347" i="2"/>
  <c r="A347" i="2"/>
  <c r="BT341" i="2"/>
  <c r="BS341" i="2"/>
  <c r="BR341" i="2"/>
  <c r="BQ341" i="2"/>
  <c r="S341" i="2"/>
  <c r="A341" i="2"/>
  <c r="BT361" i="2"/>
  <c r="BS361" i="2"/>
  <c r="BR361" i="2"/>
  <c r="BQ361" i="2"/>
  <c r="S361" i="2"/>
  <c r="A361" i="2"/>
  <c r="BT360" i="2"/>
  <c r="BS360" i="2"/>
  <c r="BR360" i="2"/>
  <c r="BQ360" i="2"/>
  <c r="S360" i="2"/>
  <c r="A360" i="2"/>
  <c r="BT359" i="2"/>
  <c r="BS359" i="2"/>
  <c r="BR359" i="2"/>
  <c r="BQ359" i="2"/>
  <c r="S359" i="2"/>
  <c r="A359" i="2"/>
  <c r="BT358" i="2"/>
  <c r="BS358" i="2"/>
  <c r="BR358" i="2"/>
  <c r="BQ358" i="2"/>
  <c r="S358" i="2"/>
  <c r="A358" i="2"/>
  <c r="BT357" i="2"/>
  <c r="BS357" i="2"/>
  <c r="BR357" i="2"/>
  <c r="BQ357" i="2"/>
  <c r="S357" i="2"/>
  <c r="A357" i="2"/>
  <c r="BT208" i="2"/>
  <c r="BS208" i="2"/>
  <c r="BR208" i="2"/>
  <c r="BQ208" i="2"/>
  <c r="S208" i="2"/>
  <c r="A208" i="2"/>
  <c r="BT455" i="2"/>
  <c r="BS455" i="2"/>
  <c r="BR455" i="2"/>
  <c r="BQ455" i="2"/>
  <c r="S455" i="2"/>
  <c r="A455" i="2"/>
  <c r="BT454" i="2"/>
  <c r="BS454" i="2"/>
  <c r="BR454" i="2"/>
  <c r="BQ454" i="2"/>
  <c r="S454" i="2"/>
  <c r="A454" i="2"/>
  <c r="BT453" i="2"/>
  <c r="BS453" i="2"/>
  <c r="BR453" i="2"/>
  <c r="BQ453" i="2"/>
  <c r="S453" i="2"/>
  <c r="A453" i="2"/>
  <c r="BT452" i="2"/>
  <c r="BS452" i="2"/>
  <c r="BR452" i="2"/>
  <c r="BQ452" i="2"/>
  <c r="S452" i="2"/>
  <c r="A452" i="2"/>
  <c r="BT451" i="2"/>
  <c r="BS451" i="2"/>
  <c r="BR451" i="2"/>
  <c r="BQ451" i="2"/>
  <c r="S451" i="2"/>
  <c r="A451" i="2"/>
  <c r="BT450" i="2"/>
  <c r="BS450" i="2"/>
  <c r="BR450" i="2"/>
  <c r="BQ450" i="2"/>
  <c r="S450" i="2"/>
  <c r="A450" i="2"/>
  <c r="BT236" i="2"/>
  <c r="BS236" i="2"/>
  <c r="BR236" i="2"/>
  <c r="BQ236" i="2"/>
  <c r="S236" i="2"/>
  <c r="A236" i="2"/>
  <c r="BT449" i="2"/>
  <c r="BS449" i="2"/>
  <c r="BR449" i="2"/>
  <c r="BQ449" i="2"/>
  <c r="S449" i="2"/>
  <c r="A449" i="2"/>
  <c r="BT235" i="2"/>
  <c r="BS235" i="2"/>
  <c r="BR235" i="2"/>
  <c r="BQ235" i="2"/>
  <c r="S235" i="2"/>
  <c r="A235" i="2"/>
  <c r="BT107" i="2"/>
  <c r="BS107" i="2"/>
  <c r="BR107" i="2"/>
  <c r="BQ107" i="2"/>
  <c r="BP107" i="2"/>
  <c r="S107" i="2"/>
  <c r="A107" i="2"/>
  <c r="BT106" i="2"/>
  <c r="BS106" i="2"/>
  <c r="BR106" i="2"/>
  <c r="BQ106" i="2"/>
  <c r="BP106" i="2"/>
  <c r="S106" i="2"/>
  <c r="A106" i="2"/>
  <c r="BT186" i="2"/>
  <c r="BS186" i="2"/>
  <c r="BR186" i="2"/>
  <c r="BQ186" i="2"/>
  <c r="BP186" i="2"/>
  <c r="S186" i="2"/>
  <c r="A186" i="2"/>
  <c r="BT104" i="2"/>
  <c r="BS104" i="2"/>
  <c r="BR104" i="2"/>
  <c r="BQ104" i="2"/>
  <c r="S104" i="2"/>
  <c r="A104" i="2"/>
  <c r="BT102" i="2"/>
  <c r="BS102" i="2"/>
  <c r="BR102" i="2"/>
  <c r="BQ102" i="2"/>
  <c r="S102" i="2"/>
  <c r="A102" i="2"/>
  <c r="BT101" i="2"/>
  <c r="BS101" i="2"/>
  <c r="BR101" i="2"/>
  <c r="BQ101" i="2"/>
  <c r="S101" i="2"/>
  <c r="A101" i="2"/>
  <c r="BT100" i="2"/>
  <c r="BS100" i="2"/>
  <c r="BR100" i="2"/>
  <c r="BQ100" i="2"/>
  <c r="BP100" i="2"/>
  <c r="S100" i="2"/>
  <c r="A100" i="2"/>
  <c r="BT99" i="2"/>
  <c r="BS99" i="2"/>
  <c r="BR99" i="2"/>
  <c r="BQ99" i="2"/>
  <c r="BP99" i="2"/>
  <c r="S99" i="2"/>
  <c r="A99" i="2"/>
  <c r="BT98" i="2"/>
  <c r="BS98" i="2"/>
  <c r="BR98" i="2"/>
  <c r="BQ98" i="2"/>
  <c r="BP98" i="2"/>
  <c r="S98" i="2"/>
  <c r="A98" i="2"/>
  <c r="BT97" i="2"/>
  <c r="BS97" i="2"/>
  <c r="BR97" i="2"/>
  <c r="BQ97" i="2"/>
  <c r="BP97" i="2"/>
  <c r="S97" i="2"/>
  <c r="A97" i="2"/>
  <c r="BT96" i="2"/>
  <c r="BS96" i="2"/>
  <c r="BR96" i="2"/>
  <c r="BQ96" i="2"/>
  <c r="BP96" i="2"/>
  <c r="S96" i="2"/>
  <c r="A96" i="2"/>
  <c r="BT95" i="2"/>
  <c r="BS95" i="2"/>
  <c r="S95" i="2"/>
  <c r="A95" i="2"/>
  <c r="BT94" i="2"/>
  <c r="BS94" i="2"/>
  <c r="BR94" i="2"/>
  <c r="BQ94" i="2"/>
  <c r="BP94" i="2"/>
  <c r="S94" i="2"/>
  <c r="A94" i="2"/>
  <c r="BT93" i="2"/>
  <c r="BS93" i="2"/>
  <c r="BR93" i="2"/>
  <c r="BQ93" i="2"/>
  <c r="BP93" i="2"/>
  <c r="S93" i="2"/>
  <c r="A93" i="2"/>
  <c r="BT184" i="2"/>
  <c r="BS184" i="2"/>
  <c r="BR184" i="2"/>
  <c r="BQ184" i="2"/>
  <c r="BP184" i="2"/>
  <c r="S184" i="2"/>
  <c r="A184" i="2"/>
  <c r="BT91" i="2"/>
  <c r="BS91" i="2"/>
  <c r="BR91" i="2"/>
  <c r="BQ91" i="2"/>
  <c r="BP91" i="2"/>
  <c r="S91" i="2"/>
  <c r="A91" i="2"/>
  <c r="BT90" i="2"/>
  <c r="BS90" i="2"/>
  <c r="BR90" i="2"/>
  <c r="BQ90" i="2"/>
  <c r="BP90" i="2"/>
  <c r="S90" i="2"/>
  <c r="A90" i="2"/>
  <c r="BT89" i="2"/>
  <c r="BS89" i="2"/>
  <c r="BR89" i="2"/>
  <c r="BQ89" i="2"/>
  <c r="BP89" i="2"/>
  <c r="S89" i="2"/>
  <c r="A89" i="2"/>
  <c r="BT88" i="2"/>
  <c r="BS88" i="2"/>
  <c r="BR88" i="2"/>
  <c r="BQ88" i="2"/>
  <c r="BP88" i="2"/>
  <c r="S88" i="2"/>
  <c r="A88" i="2"/>
  <c r="BT185" i="2"/>
  <c r="BS185" i="2"/>
  <c r="BR185" i="2"/>
  <c r="BQ185" i="2"/>
  <c r="BP185" i="2"/>
  <c r="S185" i="2"/>
  <c r="A185" i="2"/>
  <c r="BT253" i="2"/>
  <c r="BS253" i="2"/>
  <c r="BR253" i="2"/>
  <c r="BQ253" i="2"/>
  <c r="BP253" i="2"/>
  <c r="S253" i="2"/>
  <c r="A253" i="2"/>
  <c r="BT85" i="2"/>
  <c r="BS85" i="2"/>
  <c r="BR85" i="2"/>
  <c r="BQ85" i="2"/>
  <c r="BP85" i="2"/>
  <c r="S85" i="2"/>
  <c r="A85" i="2"/>
  <c r="BT84" i="2"/>
  <c r="BS84" i="2"/>
  <c r="BR84" i="2"/>
  <c r="BQ84" i="2"/>
  <c r="BP84" i="2"/>
  <c r="S84" i="2"/>
  <c r="A84" i="2"/>
  <c r="BT83" i="2"/>
  <c r="BS83" i="2"/>
  <c r="BR83" i="2"/>
  <c r="BQ83" i="2"/>
  <c r="BP83" i="2"/>
  <c r="S83" i="2"/>
  <c r="A83" i="2"/>
  <c r="BT82" i="2"/>
  <c r="BS82" i="2"/>
  <c r="BR82" i="2"/>
  <c r="BQ82" i="2"/>
  <c r="BP82" i="2"/>
  <c r="S82" i="2"/>
  <c r="A82" i="2"/>
  <c r="BT81" i="2"/>
  <c r="BS81" i="2"/>
  <c r="BR81" i="2"/>
  <c r="BQ81" i="2"/>
  <c r="BP81" i="2"/>
  <c r="S81" i="2"/>
  <c r="A81" i="2"/>
  <c r="BT80" i="2"/>
  <c r="BS80" i="2"/>
  <c r="BR80" i="2"/>
  <c r="BQ80" i="2"/>
  <c r="BP80" i="2"/>
  <c r="S80" i="2"/>
  <c r="A80" i="2"/>
  <c r="BT79" i="2"/>
  <c r="BS79" i="2"/>
  <c r="BR79" i="2"/>
  <c r="BQ79" i="2"/>
  <c r="BP79" i="2"/>
  <c r="S79" i="2"/>
  <c r="A79" i="2"/>
  <c r="BT78" i="2"/>
  <c r="BS78" i="2"/>
  <c r="BR78" i="2"/>
  <c r="BQ78" i="2"/>
  <c r="BP78" i="2"/>
  <c r="S78" i="2"/>
  <c r="A78" i="2"/>
  <c r="BT77" i="2"/>
  <c r="BS77" i="2"/>
  <c r="BR77" i="2"/>
  <c r="BQ77" i="2"/>
  <c r="BP77" i="2"/>
  <c r="S77" i="2"/>
  <c r="A77" i="2"/>
  <c r="BT76" i="2"/>
  <c r="BS76" i="2"/>
  <c r="BR76" i="2"/>
  <c r="BQ76" i="2"/>
  <c r="BP76" i="2"/>
  <c r="S76" i="2"/>
  <c r="A76" i="2"/>
  <c r="BT75" i="2"/>
  <c r="BS75" i="2"/>
  <c r="BR75" i="2"/>
  <c r="BQ75" i="2"/>
  <c r="BP75" i="2"/>
  <c r="S75" i="2"/>
  <c r="A75" i="2"/>
  <c r="BT74" i="2"/>
  <c r="BS74" i="2"/>
  <c r="BR74" i="2"/>
  <c r="BQ74" i="2"/>
  <c r="BP74" i="2"/>
  <c r="S74" i="2"/>
  <c r="A74" i="2"/>
  <c r="BT73" i="2"/>
  <c r="BS73" i="2"/>
  <c r="BR73" i="2"/>
  <c r="BQ73" i="2"/>
  <c r="BP73" i="2"/>
  <c r="S73" i="2"/>
  <c r="A73" i="2"/>
  <c r="BT72" i="2"/>
  <c r="BS72" i="2"/>
  <c r="BR72" i="2"/>
  <c r="BQ72" i="2"/>
  <c r="BP72" i="2"/>
  <c r="S72" i="2"/>
  <c r="A72" i="2"/>
  <c r="BT71" i="2"/>
  <c r="BS71" i="2"/>
  <c r="BR71" i="2"/>
  <c r="BQ71" i="2"/>
  <c r="BP71" i="2"/>
  <c r="S71" i="2"/>
  <c r="A71" i="2"/>
  <c r="BT70" i="2"/>
  <c r="BS70" i="2"/>
  <c r="BR70" i="2"/>
  <c r="BQ70" i="2"/>
  <c r="BP70" i="2"/>
  <c r="S70" i="2"/>
  <c r="A70" i="2"/>
  <c r="BT69" i="2"/>
  <c r="BS69" i="2"/>
  <c r="BR69" i="2"/>
  <c r="BQ69" i="2"/>
  <c r="BP69" i="2"/>
  <c r="S69" i="2"/>
  <c r="A69" i="2"/>
  <c r="BT68" i="2"/>
  <c r="BS68" i="2"/>
  <c r="BR68" i="2"/>
  <c r="BQ68" i="2"/>
  <c r="BP68" i="2"/>
  <c r="S68" i="2"/>
  <c r="A68" i="2"/>
  <c r="BT67" i="2"/>
  <c r="BS67" i="2"/>
  <c r="BR67" i="2"/>
  <c r="BQ67" i="2"/>
  <c r="BP67" i="2"/>
  <c r="S67" i="2"/>
  <c r="A67" i="2"/>
  <c r="BT66" i="2"/>
  <c r="BS66" i="2"/>
  <c r="BR66" i="2"/>
  <c r="BQ66" i="2"/>
  <c r="BP66" i="2"/>
  <c r="S66" i="2"/>
  <c r="A66" i="2"/>
  <c r="BT65" i="2"/>
  <c r="BS65" i="2"/>
  <c r="BR65" i="2"/>
  <c r="BQ65" i="2"/>
  <c r="BP65" i="2"/>
  <c r="S65" i="2"/>
  <c r="A65" i="2"/>
  <c r="BT64" i="2"/>
  <c r="BS64" i="2"/>
  <c r="BR64" i="2"/>
  <c r="BQ64" i="2"/>
  <c r="BP64" i="2"/>
  <c r="S64" i="2"/>
  <c r="A64" i="2"/>
  <c r="BT63" i="2"/>
  <c r="BS63" i="2"/>
  <c r="BR63" i="2"/>
  <c r="BQ63" i="2"/>
  <c r="BP63" i="2"/>
  <c r="S63" i="2"/>
  <c r="A63" i="2"/>
  <c r="BT62" i="2"/>
  <c r="BS62" i="2"/>
  <c r="BR62" i="2"/>
  <c r="BQ62" i="2"/>
  <c r="BP62" i="2"/>
  <c r="S62" i="2"/>
  <c r="A62" i="2"/>
  <c r="BT516" i="2"/>
  <c r="BS516" i="2"/>
  <c r="BR516" i="2"/>
  <c r="BQ516" i="2"/>
  <c r="BP516" i="2"/>
  <c r="S516" i="2"/>
  <c r="A516" i="2"/>
  <c r="BT60" i="2"/>
  <c r="BS60" i="2"/>
  <c r="BR60" i="2"/>
  <c r="BQ60" i="2"/>
  <c r="BP60" i="2"/>
  <c r="S60" i="2"/>
  <c r="A60" i="2"/>
  <c r="BT505" i="2"/>
  <c r="BS505" i="2"/>
  <c r="BR505" i="2"/>
  <c r="BQ505" i="2"/>
  <c r="BP505" i="2"/>
  <c r="S505" i="2"/>
  <c r="A505" i="2"/>
  <c r="BT58" i="2"/>
  <c r="BS58" i="2"/>
  <c r="BR58" i="2"/>
  <c r="BQ58" i="2"/>
  <c r="BP58" i="2"/>
  <c r="S58" i="2"/>
  <c r="A58" i="2"/>
  <c r="BT57" i="2"/>
  <c r="BS57" i="2"/>
  <c r="BR57" i="2"/>
  <c r="BQ57" i="2"/>
  <c r="BP57" i="2"/>
  <c r="S57" i="2"/>
  <c r="A57" i="2"/>
  <c r="BT56" i="2"/>
  <c r="BS56" i="2"/>
  <c r="BR56" i="2"/>
  <c r="BQ56" i="2"/>
  <c r="BP56" i="2"/>
  <c r="S56" i="2"/>
  <c r="A56" i="2"/>
  <c r="BT558" i="2"/>
  <c r="BS558" i="2"/>
  <c r="BR558" i="2"/>
  <c r="BQ558" i="2"/>
  <c r="BP558" i="2"/>
  <c r="S558" i="2"/>
  <c r="A558" i="2"/>
  <c r="BT54" i="2"/>
  <c r="BS54" i="2"/>
  <c r="BR54" i="2"/>
  <c r="BQ54" i="2"/>
  <c r="BP54" i="2"/>
  <c r="S54" i="2"/>
  <c r="A54" i="2"/>
  <c r="BT53" i="2"/>
  <c r="BS53" i="2"/>
  <c r="BR53" i="2"/>
  <c r="BQ53" i="2"/>
  <c r="BP53" i="2"/>
  <c r="S53" i="2"/>
  <c r="A53" i="2"/>
  <c r="BT52" i="2"/>
  <c r="BS52" i="2"/>
  <c r="BR52" i="2"/>
  <c r="BQ52" i="2"/>
  <c r="BP52" i="2"/>
  <c r="S52" i="2"/>
  <c r="A52" i="2"/>
  <c r="BT51" i="2"/>
  <c r="BS51" i="2"/>
  <c r="BR51" i="2"/>
  <c r="BQ51" i="2"/>
  <c r="BP51" i="2"/>
  <c r="S51" i="2"/>
  <c r="A51" i="2"/>
  <c r="BT50" i="2"/>
  <c r="BS50" i="2"/>
  <c r="BR50" i="2"/>
  <c r="BQ50" i="2"/>
  <c r="BP50" i="2"/>
  <c r="S50" i="2"/>
  <c r="A50" i="2"/>
  <c r="BT49" i="2"/>
  <c r="BS49" i="2"/>
  <c r="BR49" i="2"/>
  <c r="BQ49" i="2"/>
  <c r="BP49" i="2"/>
  <c r="S49" i="2"/>
  <c r="A49" i="2"/>
  <c r="BT48" i="2"/>
  <c r="BS48" i="2"/>
  <c r="BR48" i="2"/>
  <c r="BQ48" i="2"/>
  <c r="BP48" i="2"/>
  <c r="S48" i="2"/>
  <c r="A48" i="2"/>
  <c r="BT47" i="2"/>
  <c r="BS47" i="2"/>
  <c r="BR47" i="2"/>
  <c r="BQ47" i="2"/>
  <c r="BP47" i="2"/>
  <c r="S47" i="2"/>
  <c r="A47" i="2"/>
  <c r="BT46" i="2"/>
  <c r="BS46" i="2"/>
  <c r="BR46" i="2"/>
  <c r="BQ46" i="2"/>
  <c r="BP46" i="2"/>
  <c r="S46" i="2"/>
  <c r="A46" i="2"/>
  <c r="BT45" i="2"/>
  <c r="BS45" i="2"/>
  <c r="BR45" i="2"/>
  <c r="BQ45" i="2"/>
  <c r="BP45" i="2"/>
  <c r="S45" i="2"/>
  <c r="A45" i="2"/>
  <c r="BT243" i="2"/>
  <c r="BS243" i="2"/>
  <c r="BR243" i="2"/>
  <c r="BQ243" i="2"/>
  <c r="BP243" i="2"/>
  <c r="S243" i="2"/>
  <c r="A243" i="2"/>
  <c r="BT517" i="2"/>
  <c r="BS517" i="2"/>
  <c r="BR517" i="2"/>
  <c r="BQ517" i="2"/>
  <c r="BP517" i="2"/>
  <c r="S517" i="2"/>
  <c r="A517" i="2"/>
  <c r="BT42" i="2"/>
  <c r="BS42" i="2"/>
  <c r="BR42" i="2"/>
  <c r="BQ42" i="2"/>
  <c r="BP42" i="2"/>
  <c r="S42" i="2"/>
  <c r="A42" i="2"/>
  <c r="BT41" i="2"/>
  <c r="BS41" i="2"/>
  <c r="BR41" i="2"/>
  <c r="BQ41" i="2"/>
  <c r="BP41" i="2"/>
  <c r="S41" i="2"/>
  <c r="A41" i="2"/>
  <c r="BT40" i="2"/>
  <c r="BS40" i="2"/>
  <c r="BR40" i="2"/>
  <c r="BQ40" i="2"/>
  <c r="S40" i="2"/>
  <c r="A40" i="2"/>
  <c r="BT613" i="2"/>
  <c r="BS613" i="2"/>
  <c r="BR613" i="2"/>
  <c r="BQ613" i="2"/>
  <c r="BP613" i="2"/>
  <c r="S613" i="2"/>
  <c r="A613" i="2"/>
  <c r="BT38" i="2"/>
  <c r="BS38" i="2"/>
  <c r="BR38" i="2"/>
  <c r="BQ38" i="2"/>
  <c r="BP38" i="2"/>
  <c r="S38" i="2"/>
  <c r="A38" i="2"/>
  <c r="BT37" i="2"/>
  <c r="BS37" i="2"/>
  <c r="S37" i="2"/>
  <c r="A37" i="2"/>
  <c r="BT36" i="2"/>
  <c r="BS36" i="2"/>
  <c r="BR36" i="2"/>
  <c r="BQ36" i="2"/>
  <c r="BP36" i="2"/>
  <c r="S36" i="2"/>
  <c r="A36" i="2"/>
  <c r="BT35" i="2"/>
  <c r="BS35" i="2"/>
  <c r="BR35" i="2"/>
  <c r="BQ35" i="2"/>
  <c r="BP35" i="2"/>
  <c r="S35" i="2"/>
  <c r="A35" i="2"/>
  <c r="BT34" i="2"/>
  <c r="BS34" i="2"/>
  <c r="BR34" i="2"/>
  <c r="BQ34" i="2"/>
  <c r="BP34" i="2"/>
  <c r="S34" i="2"/>
  <c r="A34" i="2"/>
  <c r="BT33" i="2"/>
  <c r="BS33" i="2"/>
  <c r="BR33" i="2"/>
  <c r="BQ33" i="2"/>
  <c r="S33" i="2"/>
  <c r="A33" i="2"/>
  <c r="BT32" i="2"/>
  <c r="BS32" i="2"/>
  <c r="BR32" i="2"/>
  <c r="BQ32" i="2"/>
  <c r="BP32" i="2"/>
  <c r="S32" i="2"/>
  <c r="A32" i="2"/>
  <c r="BT31" i="2"/>
  <c r="BS31" i="2"/>
  <c r="BR31" i="2"/>
  <c r="BQ31" i="2"/>
  <c r="BP31" i="2"/>
  <c r="S31" i="2"/>
  <c r="A31" i="2"/>
  <c r="BT30" i="2"/>
  <c r="BS30" i="2"/>
  <c r="BR30" i="2"/>
  <c r="BQ30" i="2"/>
  <c r="BP30" i="2"/>
  <c r="S30" i="2"/>
  <c r="A30" i="2"/>
  <c r="BT29" i="2"/>
  <c r="BS29" i="2"/>
  <c r="BR29" i="2"/>
  <c r="BQ29" i="2"/>
  <c r="BP29" i="2"/>
  <c r="S29" i="2"/>
  <c r="A29" i="2"/>
  <c r="BT28" i="2"/>
  <c r="BS28" i="2"/>
  <c r="BR28" i="2"/>
  <c r="BQ28" i="2"/>
  <c r="BP28" i="2"/>
  <c r="S28" i="2"/>
  <c r="A28" i="2"/>
  <c r="BT27" i="2"/>
  <c r="BS27" i="2"/>
  <c r="BR27" i="2"/>
  <c r="BQ27" i="2"/>
  <c r="BP27" i="2"/>
  <c r="S27" i="2"/>
  <c r="A27" i="2"/>
  <c r="BT26" i="2"/>
  <c r="BS26" i="2"/>
  <c r="BR26" i="2"/>
  <c r="BQ26" i="2"/>
  <c r="BP26" i="2"/>
  <c r="S26" i="2"/>
  <c r="A26" i="2"/>
  <c r="BT25" i="2"/>
  <c r="BS25" i="2"/>
  <c r="BR25" i="2"/>
  <c r="BQ25" i="2"/>
  <c r="BP25" i="2"/>
  <c r="S25" i="2"/>
  <c r="A25" i="2"/>
  <c r="BT524" i="2"/>
  <c r="BS524" i="2"/>
  <c r="BR524" i="2"/>
  <c r="BQ524" i="2"/>
  <c r="BP524" i="2"/>
  <c r="S524" i="2"/>
  <c r="A524" i="2"/>
  <c r="BT157" i="2"/>
  <c r="BS157" i="2"/>
  <c r="BR157" i="2"/>
  <c r="BQ157" i="2"/>
  <c r="BP157" i="2"/>
  <c r="S157" i="2"/>
  <c r="A157" i="2"/>
  <c r="BT522" i="2"/>
  <c r="BS522" i="2"/>
  <c r="BR522" i="2"/>
  <c r="BQ522" i="2"/>
  <c r="BP522" i="2"/>
  <c r="S522" i="2"/>
  <c r="A522" i="2"/>
  <c r="BT521" i="2"/>
  <c r="BS521" i="2"/>
  <c r="BR521" i="2"/>
  <c r="BQ521" i="2"/>
  <c r="BP521" i="2"/>
  <c r="S521" i="2"/>
  <c r="A521" i="2"/>
  <c r="BT520" i="2"/>
  <c r="BS520" i="2"/>
  <c r="BR520" i="2"/>
  <c r="BQ520" i="2"/>
  <c r="BP520" i="2"/>
  <c r="S520" i="2"/>
  <c r="A520" i="2"/>
  <c r="BT310" i="2"/>
  <c r="BS310" i="2"/>
  <c r="BR310" i="2"/>
  <c r="BQ310" i="2"/>
  <c r="BP310" i="2"/>
  <c r="S310" i="2"/>
  <c r="A310" i="2"/>
  <c r="BT309" i="2"/>
  <c r="BS309" i="2"/>
  <c r="BR309" i="2"/>
  <c r="BQ309" i="2"/>
  <c r="BP309" i="2"/>
  <c r="S309" i="2"/>
  <c r="A309" i="2"/>
  <c r="BT308" i="2"/>
  <c r="BS308" i="2"/>
  <c r="BR308" i="2"/>
  <c r="BQ308" i="2"/>
  <c r="BP308" i="2"/>
  <c r="S308" i="2"/>
  <c r="A308" i="2"/>
  <c r="BT307" i="2"/>
  <c r="BS307" i="2"/>
  <c r="S307" i="2"/>
  <c r="T307" i="2"/>
  <c r="A307" i="2"/>
  <c r="BT306" i="2"/>
  <c r="BS306" i="2"/>
  <c r="BR306" i="2"/>
  <c r="BQ306" i="2"/>
  <c r="BP306" i="2"/>
  <c r="S306" i="2"/>
  <c r="T306" i="2"/>
  <c r="A306" i="2"/>
  <c r="BT305" i="2"/>
  <c r="BS305" i="2"/>
  <c r="BR305" i="2"/>
  <c r="BQ305" i="2"/>
  <c r="BP305" i="2"/>
  <c r="S305" i="2"/>
  <c r="T305" i="2"/>
  <c r="A305" i="2"/>
  <c r="BT188" i="2"/>
  <c r="BS188" i="2"/>
  <c r="BR188" i="2"/>
  <c r="BQ188" i="2"/>
  <c r="BP188" i="2"/>
  <c r="S188" i="2"/>
  <c r="T188" i="2"/>
  <c r="A188" i="2"/>
  <c r="BT303" i="2"/>
  <c r="BS303" i="2"/>
  <c r="BR303" i="2"/>
  <c r="BQ303" i="2"/>
  <c r="BP303" i="2"/>
  <c r="S303" i="2"/>
  <c r="T303" i="2"/>
  <c r="A303" i="2"/>
  <c r="BT302" i="2"/>
  <c r="BS302" i="2"/>
  <c r="BR302" i="2"/>
  <c r="BQ302" i="2"/>
  <c r="BP302" i="2"/>
  <c r="S302" i="2"/>
  <c r="T302" i="2"/>
  <c r="A302" i="2"/>
  <c r="BT301" i="2"/>
  <c r="BS301" i="2"/>
  <c r="BR301" i="2"/>
  <c r="BQ301" i="2"/>
  <c r="BP301" i="2"/>
  <c r="S301" i="2"/>
  <c r="T301" i="2"/>
  <c r="A301" i="2"/>
  <c r="BT300" i="2"/>
  <c r="BS300" i="2"/>
  <c r="BR300" i="2"/>
  <c r="BQ300" i="2"/>
  <c r="BP300" i="2"/>
  <c r="S300" i="2"/>
  <c r="T300" i="2"/>
  <c r="A300" i="2"/>
  <c r="BT299" i="2"/>
  <c r="BS299" i="2"/>
  <c r="BR299" i="2"/>
  <c r="BQ299" i="2"/>
  <c r="BP299" i="2"/>
  <c r="S299" i="2"/>
  <c r="T299" i="2"/>
  <c r="A299" i="2"/>
  <c r="BT298" i="2"/>
  <c r="BS298" i="2"/>
  <c r="BR298" i="2"/>
  <c r="BQ298" i="2"/>
  <c r="BP298" i="2"/>
  <c r="S298" i="2"/>
  <c r="T298" i="2"/>
  <c r="A298" i="2"/>
  <c r="BT297" i="2"/>
  <c r="BS297" i="2"/>
  <c r="BR297" i="2"/>
  <c r="BQ297" i="2"/>
  <c r="BP297" i="2"/>
  <c r="S297" i="2"/>
  <c r="T297" i="2"/>
  <c r="A297" i="2"/>
  <c r="BT296" i="2"/>
  <c r="BS296" i="2"/>
  <c r="BR296" i="2"/>
  <c r="BQ296" i="2"/>
  <c r="BP296" i="2"/>
  <c r="S296" i="2"/>
  <c r="A296" i="2"/>
  <c r="BT295" i="2"/>
  <c r="BS295" i="2"/>
  <c r="BR295" i="2"/>
  <c r="BQ295" i="2"/>
  <c r="BP295" i="2"/>
  <c r="S295" i="2"/>
  <c r="A295" i="2"/>
  <c r="BT368" i="2"/>
  <c r="BS368" i="2"/>
  <c r="BR368" i="2"/>
  <c r="BQ368" i="2"/>
  <c r="BP368" i="2"/>
  <c r="S368" i="2"/>
  <c r="T368" i="2"/>
  <c r="A368" i="2"/>
  <c r="BT600" i="2"/>
  <c r="S600" i="2"/>
  <c r="T600" i="2"/>
  <c r="A600" i="2"/>
  <c r="BT292" i="2"/>
  <c r="BS292" i="2"/>
  <c r="BR292" i="2"/>
  <c r="BQ292" i="2"/>
  <c r="BP292" i="2"/>
  <c r="S292" i="2"/>
  <c r="T292" i="2"/>
  <c r="A292" i="2"/>
  <c r="BT291" i="2"/>
  <c r="BS291" i="2"/>
  <c r="BR291" i="2"/>
  <c r="BQ291" i="2"/>
  <c r="BP291" i="2"/>
  <c r="S291" i="2"/>
  <c r="T291" i="2"/>
  <c r="A291" i="2"/>
  <c r="BT290" i="2"/>
  <c r="BS290" i="2"/>
  <c r="BR290" i="2"/>
  <c r="BQ290" i="2"/>
  <c r="BP290" i="2"/>
  <c r="S290" i="2"/>
  <c r="T290" i="2"/>
  <c r="A290" i="2"/>
  <c r="BT289" i="2"/>
  <c r="BS289" i="2"/>
  <c r="BR289" i="2"/>
  <c r="BQ289" i="2"/>
  <c r="BP289" i="2"/>
  <c r="S289" i="2"/>
  <c r="T289" i="2"/>
  <c r="A289" i="2"/>
  <c r="BT288" i="2"/>
  <c r="BS288" i="2"/>
  <c r="BR288" i="2"/>
  <c r="BQ288" i="2"/>
  <c r="BP288" i="2"/>
  <c r="S288" i="2"/>
  <c r="T288" i="2"/>
  <c r="A288" i="2"/>
  <c r="BT287" i="2"/>
  <c r="BS287" i="2"/>
  <c r="BR287" i="2"/>
  <c r="BQ287" i="2"/>
  <c r="BP287" i="2"/>
  <c r="S287" i="2"/>
  <c r="T287" i="2"/>
  <c r="A287" i="2"/>
  <c r="BT564" i="2"/>
  <c r="BS564" i="2"/>
  <c r="BR564" i="2"/>
  <c r="BQ564" i="2"/>
  <c r="BP564" i="2"/>
  <c r="S564" i="2"/>
  <c r="T564" i="2"/>
  <c r="A564" i="2"/>
  <c r="BT562" i="2"/>
  <c r="BS562" i="2"/>
  <c r="BR562" i="2"/>
  <c r="BQ562" i="2"/>
  <c r="BP562" i="2"/>
  <c r="S562" i="2"/>
  <c r="T562" i="2"/>
  <c r="A562" i="2"/>
  <c r="BT284" i="2"/>
  <c r="BS284" i="2"/>
  <c r="BR284" i="2"/>
  <c r="BQ284" i="2"/>
  <c r="BP284" i="2"/>
  <c r="S284" i="2"/>
  <c r="T284" i="2"/>
  <c r="A284" i="2"/>
  <c r="BT283" i="2"/>
  <c r="BS283" i="2"/>
  <c r="BR283" i="2"/>
  <c r="BQ283" i="2"/>
  <c r="BP283" i="2"/>
  <c r="S283" i="2"/>
  <c r="T283" i="2"/>
  <c r="A283" i="2"/>
  <c r="BT282" i="2"/>
  <c r="BS282" i="2"/>
  <c r="BR282" i="2"/>
  <c r="BQ282" i="2"/>
  <c r="BP282" i="2"/>
  <c r="S282" i="2"/>
  <c r="T282" i="2"/>
  <c r="A282" i="2"/>
  <c r="BT281" i="2"/>
  <c r="BS281" i="2"/>
  <c r="BR281" i="2"/>
  <c r="BQ281" i="2"/>
  <c r="BP281" i="2"/>
  <c r="S281" i="2"/>
  <c r="T281" i="2"/>
  <c r="A281" i="2"/>
  <c r="BT280" i="2"/>
  <c r="BS280" i="2"/>
  <c r="BR280" i="2"/>
  <c r="BQ280" i="2"/>
  <c r="BP280" i="2"/>
  <c r="S280" i="2"/>
  <c r="T280" i="2"/>
  <c r="A280" i="2"/>
  <c r="BT279" i="2"/>
  <c r="BS279" i="2"/>
  <c r="BR279" i="2"/>
  <c r="BQ279" i="2"/>
  <c r="BP279" i="2"/>
  <c r="S279" i="2"/>
  <c r="T279" i="2"/>
  <c r="A279" i="2"/>
  <c r="BT278" i="2"/>
  <c r="BS278" i="2"/>
  <c r="BR278" i="2"/>
  <c r="BQ278" i="2"/>
  <c r="BP278" i="2"/>
  <c r="S278" i="2"/>
  <c r="T278" i="2"/>
  <c r="A278" i="2"/>
  <c r="BT277" i="2"/>
  <c r="BS277" i="2"/>
  <c r="BR277" i="2"/>
  <c r="BQ277" i="2"/>
  <c r="BP277" i="2"/>
  <c r="S277" i="2"/>
  <c r="T277" i="2"/>
  <c r="A277" i="2"/>
  <c r="BT276" i="2"/>
  <c r="BS276" i="2"/>
  <c r="BR276" i="2"/>
  <c r="BQ276" i="2"/>
  <c r="BP276" i="2"/>
  <c r="S276" i="2"/>
  <c r="T276" i="2"/>
  <c r="A276" i="2"/>
  <c r="BT275" i="2"/>
  <c r="BS275" i="2"/>
  <c r="BR275" i="2"/>
  <c r="BQ275" i="2"/>
  <c r="BP275" i="2"/>
  <c r="S275" i="2"/>
  <c r="T275" i="2"/>
  <c r="A275" i="2"/>
  <c r="BT274" i="2"/>
  <c r="BS274" i="2"/>
  <c r="BR274" i="2"/>
  <c r="BQ274" i="2"/>
  <c r="BP274" i="2"/>
  <c r="S274" i="2"/>
  <c r="T274" i="2"/>
  <c r="A274" i="2"/>
  <c r="BT273" i="2"/>
  <c r="BS273" i="2"/>
  <c r="BR273" i="2"/>
  <c r="BQ273" i="2"/>
  <c r="BP273" i="2"/>
  <c r="S273" i="2"/>
  <c r="T273" i="2"/>
  <c r="A273" i="2"/>
  <c r="BT267" i="2"/>
  <c r="BS267" i="2"/>
  <c r="BR267" i="2"/>
  <c r="BQ267" i="2"/>
  <c r="BP267" i="2"/>
  <c r="S267" i="2"/>
  <c r="A267" i="2"/>
  <c r="BT271" i="2"/>
  <c r="BS271" i="2"/>
  <c r="BR271" i="2"/>
  <c r="BQ271" i="2"/>
  <c r="BP271" i="2"/>
  <c r="S271" i="2"/>
  <c r="T271" i="2"/>
  <c r="A271" i="2"/>
  <c r="BT270" i="2"/>
  <c r="BS270" i="2"/>
  <c r="BR270" i="2"/>
  <c r="BQ270" i="2"/>
  <c r="BP270" i="2"/>
  <c r="S270" i="2"/>
  <c r="T270" i="2"/>
  <c r="A270" i="2"/>
  <c r="BT269" i="2"/>
  <c r="BS269" i="2"/>
  <c r="BR269" i="2"/>
  <c r="BQ269" i="2"/>
  <c r="BP269" i="2"/>
  <c r="S269" i="2"/>
  <c r="T269" i="2"/>
  <c r="A269" i="2"/>
  <c r="BT268" i="2"/>
  <c r="BS268" i="2"/>
  <c r="BR268" i="2"/>
  <c r="BQ268" i="2"/>
  <c r="BP268" i="2"/>
  <c r="S268" i="2"/>
  <c r="T268" i="2"/>
  <c r="A268" i="2"/>
  <c r="BT556" i="2"/>
  <c r="BS556" i="2"/>
  <c r="BR556" i="2"/>
  <c r="BQ556" i="2"/>
  <c r="BP556" i="2"/>
  <c r="S556" i="2"/>
  <c r="T556" i="2"/>
  <c r="A556" i="2"/>
  <c r="BT266" i="2"/>
  <c r="BS266" i="2"/>
  <c r="BR266" i="2"/>
  <c r="BQ266" i="2"/>
  <c r="BP266" i="2"/>
  <c r="S266" i="2"/>
  <c r="T266" i="2"/>
  <c r="A266" i="2"/>
  <c r="BT265" i="2"/>
  <c r="S265" i="2"/>
  <c r="T265" i="2"/>
  <c r="A265" i="2"/>
  <c r="BT519" i="2"/>
  <c r="BS519" i="2"/>
  <c r="BR519" i="2"/>
  <c r="BQ519" i="2"/>
  <c r="BP519" i="2"/>
  <c r="S519" i="2"/>
  <c r="A519" i="2"/>
  <c r="BT518" i="2"/>
  <c r="BS518" i="2"/>
  <c r="BR518" i="2"/>
  <c r="BQ518" i="2"/>
  <c r="BP518" i="2"/>
  <c r="S518" i="2"/>
  <c r="A518" i="2"/>
  <c r="BT607" i="2"/>
  <c r="BS607" i="2"/>
  <c r="BR607" i="2"/>
  <c r="BQ607" i="2"/>
  <c r="BP607" i="2"/>
  <c r="S607" i="2"/>
  <c r="A607" i="2"/>
  <c r="BT601" i="2"/>
  <c r="BS601" i="2"/>
  <c r="BR601" i="2"/>
  <c r="BQ601" i="2"/>
  <c r="BP601" i="2"/>
  <c r="S601" i="2"/>
  <c r="A601" i="2"/>
  <c r="BT515" i="2"/>
  <c r="BS515" i="2"/>
  <c r="BR515" i="2"/>
  <c r="BQ515" i="2"/>
  <c r="BP515" i="2"/>
  <c r="S515" i="2"/>
  <c r="A515" i="2"/>
  <c r="BT514" i="2"/>
  <c r="BS514" i="2"/>
  <c r="BR514" i="2"/>
  <c r="BQ514" i="2"/>
  <c r="BP514" i="2"/>
  <c r="S514" i="2"/>
  <c r="A514" i="2"/>
  <c r="BT513" i="2"/>
  <c r="BS513" i="2"/>
  <c r="BR513" i="2"/>
  <c r="BQ513" i="2"/>
  <c r="BP513" i="2"/>
  <c r="S513" i="2"/>
  <c r="A513" i="2"/>
  <c r="BT512" i="2"/>
  <c r="BS512" i="2"/>
  <c r="BR512" i="2"/>
  <c r="BQ512" i="2"/>
  <c r="BP512" i="2"/>
  <c r="S512" i="2"/>
  <c r="A512" i="2"/>
  <c r="BT511" i="2"/>
  <c r="BS511" i="2"/>
  <c r="BR511" i="2"/>
  <c r="BQ511" i="2"/>
  <c r="BP511" i="2"/>
  <c r="S511" i="2"/>
  <c r="A511" i="2"/>
  <c r="BT510" i="2"/>
  <c r="BS510" i="2"/>
  <c r="BR510" i="2"/>
  <c r="BQ510" i="2"/>
  <c r="BP510" i="2"/>
  <c r="S510" i="2"/>
  <c r="A510" i="2"/>
  <c r="BT509" i="2"/>
  <c r="BS509" i="2"/>
  <c r="BR509" i="2"/>
  <c r="BQ509" i="2"/>
  <c r="BP509" i="2"/>
  <c r="S509" i="2"/>
  <c r="A509" i="2"/>
  <c r="BT508" i="2"/>
  <c r="BS508" i="2"/>
  <c r="BR508" i="2"/>
  <c r="BQ508" i="2"/>
  <c r="BP508" i="2"/>
  <c r="S508" i="2"/>
  <c r="A508" i="2"/>
  <c r="BT507" i="2"/>
  <c r="BS507" i="2"/>
  <c r="BR507" i="2"/>
  <c r="BQ507" i="2"/>
  <c r="BP507" i="2"/>
  <c r="S507" i="2"/>
  <c r="A507" i="2"/>
  <c r="BT506" i="2"/>
  <c r="BS506" i="2"/>
  <c r="BR506" i="2"/>
  <c r="BQ506" i="2"/>
  <c r="BP506" i="2"/>
  <c r="S506" i="2"/>
  <c r="A506" i="2"/>
  <c r="BT611" i="2"/>
  <c r="BS611" i="2"/>
  <c r="BR611" i="2"/>
  <c r="BQ611" i="2"/>
  <c r="BP611" i="2"/>
  <c r="S611" i="2"/>
  <c r="A611" i="2"/>
  <c r="BT610" i="2"/>
  <c r="BS610" i="2"/>
  <c r="BR610" i="2"/>
  <c r="BQ610" i="2"/>
  <c r="BP610" i="2"/>
  <c r="S610" i="2"/>
  <c r="A610" i="2"/>
  <c r="BT503" i="2"/>
  <c r="BS503" i="2"/>
  <c r="BR503" i="2"/>
  <c r="BQ503" i="2"/>
  <c r="BP503" i="2"/>
  <c r="S503" i="2"/>
  <c r="A503" i="2"/>
  <c r="BT502" i="2"/>
  <c r="BS502" i="2"/>
  <c r="BR502" i="2"/>
  <c r="BQ502" i="2"/>
  <c r="BP502" i="2"/>
  <c r="S502" i="2"/>
  <c r="A502" i="2"/>
  <c r="BT501" i="2"/>
  <c r="BS501" i="2"/>
  <c r="BR501" i="2"/>
  <c r="BQ501" i="2"/>
  <c r="BP501" i="2"/>
  <c r="S501" i="2"/>
  <c r="A501" i="2"/>
  <c r="BT169" i="2"/>
  <c r="BS169" i="2"/>
  <c r="BR169" i="2"/>
  <c r="BQ169" i="2"/>
  <c r="BP169" i="2"/>
  <c r="S169" i="2"/>
  <c r="A169" i="2"/>
  <c r="BT499" i="2"/>
  <c r="BS499" i="2"/>
  <c r="BR499" i="2"/>
  <c r="BQ499" i="2"/>
  <c r="BP499" i="2"/>
  <c r="S499" i="2"/>
  <c r="A499" i="2"/>
  <c r="BT498" i="2"/>
  <c r="BS498" i="2"/>
  <c r="BR498" i="2"/>
  <c r="BQ498" i="2"/>
  <c r="BP498" i="2"/>
  <c r="S498" i="2"/>
  <c r="A498" i="2"/>
  <c r="BT497" i="2"/>
  <c r="BS497" i="2"/>
  <c r="BR497" i="2"/>
  <c r="BQ497" i="2"/>
  <c r="BP497" i="2"/>
  <c r="S497" i="2"/>
  <c r="A497" i="2"/>
  <c r="BT496" i="2"/>
  <c r="BS496" i="2"/>
  <c r="BR496" i="2"/>
  <c r="BQ496" i="2"/>
  <c r="BP496" i="2"/>
  <c r="S496" i="2"/>
  <c r="A496" i="2"/>
  <c r="BT495" i="2"/>
  <c r="BS495" i="2"/>
  <c r="BR495" i="2"/>
  <c r="BQ495" i="2"/>
  <c r="BP495" i="2"/>
  <c r="S495" i="2"/>
  <c r="A495" i="2"/>
  <c r="BT189" i="2"/>
  <c r="BS189" i="2"/>
  <c r="BR189" i="2"/>
  <c r="BQ189" i="2"/>
  <c r="BP189" i="2"/>
  <c r="S189" i="2"/>
  <c r="A189" i="2"/>
  <c r="BT493" i="2"/>
  <c r="BS493" i="2"/>
  <c r="BR493" i="2"/>
  <c r="BQ493" i="2"/>
  <c r="BP493" i="2"/>
  <c r="S493" i="2"/>
  <c r="A493" i="2"/>
  <c r="BT492" i="2"/>
  <c r="BS492" i="2"/>
  <c r="BR492" i="2"/>
  <c r="BQ492" i="2"/>
  <c r="BP492" i="2"/>
  <c r="S492" i="2"/>
  <c r="A492" i="2"/>
  <c r="BT491" i="2"/>
  <c r="BS491" i="2"/>
  <c r="BR491" i="2"/>
  <c r="BQ491" i="2"/>
  <c r="BP491" i="2"/>
  <c r="S491" i="2"/>
  <c r="A491" i="2"/>
  <c r="BT490" i="2"/>
  <c r="BS490" i="2"/>
  <c r="BR490" i="2"/>
  <c r="BQ490" i="2"/>
  <c r="BP490" i="2"/>
  <c r="S490" i="2"/>
  <c r="A490" i="2"/>
  <c r="BT3" i="2"/>
  <c r="BS3" i="2"/>
  <c r="BR3" i="2"/>
  <c r="BQ3" i="2"/>
  <c r="BP3" i="2"/>
  <c r="S3" i="2"/>
  <c r="A3" i="2"/>
  <c r="BT488" i="2"/>
  <c r="BS488" i="2"/>
  <c r="BR488" i="2"/>
  <c r="BQ488" i="2"/>
  <c r="BP488" i="2"/>
  <c r="S488" i="2"/>
  <c r="A488" i="2"/>
  <c r="BT487" i="2"/>
  <c r="BS487" i="2"/>
  <c r="BR487" i="2"/>
  <c r="BQ487" i="2"/>
  <c r="BP487" i="2"/>
  <c r="S487" i="2"/>
  <c r="A487" i="2"/>
  <c r="BT486" i="2"/>
  <c r="BS486" i="2"/>
  <c r="BR486" i="2"/>
  <c r="BQ486" i="2"/>
  <c r="BP486" i="2"/>
  <c r="S486" i="2"/>
  <c r="A486" i="2"/>
  <c r="BT485" i="2"/>
  <c r="BS485" i="2"/>
  <c r="BR485" i="2"/>
  <c r="BQ485" i="2"/>
  <c r="BP485" i="2"/>
  <c r="S485" i="2"/>
  <c r="A485" i="2"/>
  <c r="BT484" i="2"/>
  <c r="BS484" i="2"/>
  <c r="BR484" i="2"/>
  <c r="BQ484" i="2"/>
  <c r="BP484" i="2"/>
  <c r="S484" i="2"/>
  <c r="A484" i="2"/>
  <c r="BT483" i="2"/>
  <c r="BS483" i="2"/>
  <c r="BR483" i="2"/>
  <c r="BQ483" i="2"/>
  <c r="BP483" i="2"/>
  <c r="S483" i="2"/>
  <c r="A483" i="2"/>
  <c r="BT482" i="2"/>
  <c r="BS482" i="2"/>
  <c r="BR482" i="2"/>
  <c r="BQ482" i="2"/>
  <c r="BP482" i="2"/>
  <c r="S482" i="2"/>
  <c r="A482" i="2"/>
  <c r="BT481" i="2"/>
  <c r="BS481" i="2"/>
  <c r="BR481" i="2"/>
  <c r="BQ481" i="2"/>
  <c r="BP481" i="2"/>
  <c r="S481" i="2"/>
  <c r="A481" i="2"/>
  <c r="BT480" i="2"/>
  <c r="BS480" i="2"/>
  <c r="BR480" i="2"/>
  <c r="BQ480" i="2"/>
  <c r="BP480" i="2"/>
  <c r="S480" i="2"/>
  <c r="A480" i="2"/>
  <c r="BT479" i="2"/>
  <c r="BS479" i="2"/>
  <c r="BR479" i="2"/>
  <c r="BQ479" i="2"/>
  <c r="BP479" i="2"/>
  <c r="S479" i="2"/>
  <c r="A479" i="2"/>
  <c r="BT478" i="2"/>
  <c r="BS478" i="2"/>
  <c r="BR478" i="2"/>
  <c r="BQ478" i="2"/>
  <c r="BP478" i="2"/>
  <c r="S478" i="2"/>
  <c r="A478" i="2"/>
  <c r="BT477" i="2"/>
  <c r="BS477" i="2"/>
  <c r="BR477" i="2"/>
  <c r="BQ477" i="2"/>
  <c r="BP477" i="2"/>
  <c r="S477" i="2"/>
  <c r="A477" i="2"/>
  <c r="BT476" i="2"/>
  <c r="BS476" i="2"/>
  <c r="BR476" i="2"/>
  <c r="BQ476" i="2"/>
  <c r="BP476" i="2"/>
  <c r="S476" i="2"/>
  <c r="A476" i="2"/>
  <c r="BT475" i="2"/>
  <c r="BS475" i="2"/>
  <c r="BR475" i="2"/>
  <c r="BQ475" i="2"/>
  <c r="BP475" i="2"/>
  <c r="S475" i="2"/>
  <c r="A475" i="2"/>
  <c r="BT474" i="2"/>
  <c r="BS474" i="2"/>
  <c r="BR474" i="2"/>
  <c r="BQ474" i="2"/>
  <c r="BP474" i="2"/>
  <c r="S474" i="2"/>
  <c r="A474" i="2"/>
  <c r="BT473" i="2"/>
  <c r="BS473" i="2"/>
  <c r="BR473" i="2"/>
  <c r="BQ473" i="2"/>
  <c r="BP473" i="2"/>
  <c r="S473" i="2"/>
  <c r="A473" i="2"/>
  <c r="BT472" i="2"/>
  <c r="BS472" i="2"/>
  <c r="BR472" i="2"/>
  <c r="BQ472" i="2"/>
  <c r="BP472" i="2"/>
  <c r="S472" i="2"/>
  <c r="A472" i="2"/>
  <c r="BT471" i="2"/>
  <c r="BS471" i="2"/>
  <c r="BR471" i="2"/>
  <c r="BQ471" i="2"/>
  <c r="BP471" i="2"/>
  <c r="S471" i="2"/>
  <c r="A471" i="2"/>
  <c r="BT470" i="2"/>
  <c r="BS470" i="2"/>
  <c r="BR470" i="2"/>
  <c r="BQ470" i="2"/>
  <c r="BP470" i="2"/>
  <c r="S470" i="2"/>
  <c r="A470" i="2"/>
  <c r="BT469" i="2"/>
  <c r="BS469" i="2"/>
  <c r="BR469" i="2"/>
  <c r="BQ469" i="2"/>
  <c r="BP469" i="2"/>
  <c r="S469" i="2"/>
  <c r="A469" i="2"/>
  <c r="BT468" i="2"/>
  <c r="BS468" i="2"/>
  <c r="BR468" i="2"/>
  <c r="BQ468" i="2"/>
  <c r="BP468" i="2"/>
  <c r="S468" i="2"/>
  <c r="A468" i="2"/>
  <c r="BT467" i="2"/>
  <c r="BS467" i="2"/>
  <c r="BR467" i="2"/>
  <c r="BQ467" i="2"/>
  <c r="BP467" i="2"/>
  <c r="S467" i="2"/>
  <c r="A467" i="2"/>
  <c r="BT342" i="2"/>
  <c r="BS342" i="2"/>
  <c r="BR342" i="2"/>
  <c r="BQ342" i="2"/>
  <c r="BP342" i="2"/>
  <c r="S342" i="2"/>
  <c r="A342" i="2"/>
  <c r="BT355" i="2"/>
  <c r="BS355" i="2"/>
  <c r="BR355" i="2"/>
  <c r="BQ355" i="2"/>
  <c r="BP355" i="2"/>
  <c r="S355" i="2"/>
  <c r="A355" i="2"/>
  <c r="BT354" i="2"/>
  <c r="BS354" i="2"/>
  <c r="BR354" i="2"/>
  <c r="BQ354" i="2"/>
  <c r="BP354" i="2"/>
  <c r="S354" i="2"/>
  <c r="A354" i="2"/>
  <c r="BT353" i="2"/>
  <c r="BS353" i="2"/>
  <c r="BR353" i="2"/>
  <c r="BQ353" i="2"/>
  <c r="BP353" i="2"/>
  <c r="S353" i="2"/>
  <c r="A353" i="2"/>
  <c r="BT352" i="2"/>
  <c r="BS352" i="2"/>
  <c r="BR352" i="2"/>
  <c r="BQ352" i="2"/>
  <c r="BP352" i="2"/>
  <c r="S352" i="2"/>
  <c r="A352" i="2"/>
  <c r="BT351" i="2"/>
  <c r="BS351" i="2"/>
  <c r="BR351" i="2"/>
  <c r="BQ351" i="2"/>
  <c r="BP351" i="2"/>
  <c r="S351" i="2"/>
  <c r="A351" i="2"/>
  <c r="BT466" i="2"/>
  <c r="BS466" i="2"/>
  <c r="BR466" i="2"/>
  <c r="BQ466" i="2"/>
  <c r="BP466" i="2"/>
  <c r="S466" i="2"/>
  <c r="A466" i="2"/>
  <c r="BT465" i="2"/>
  <c r="BS465" i="2"/>
  <c r="BR465" i="2"/>
  <c r="BQ465" i="2"/>
  <c r="BP465" i="2"/>
  <c r="S465" i="2"/>
  <c r="A465" i="2"/>
  <c r="BT18" i="2"/>
  <c r="BS18" i="2"/>
  <c r="BR18" i="2"/>
  <c r="BQ18" i="2"/>
  <c r="BP18" i="2"/>
  <c r="S18" i="2"/>
  <c r="A18" i="2"/>
  <c r="BT17" i="2"/>
  <c r="BS17" i="2"/>
  <c r="BR17" i="2"/>
  <c r="BQ17" i="2"/>
  <c r="BP17" i="2"/>
  <c r="S17" i="2"/>
  <c r="A17" i="2"/>
  <c r="BT339" i="2"/>
  <c r="BS339" i="2"/>
  <c r="BR339" i="2"/>
  <c r="BQ339" i="2"/>
  <c r="BP339" i="2"/>
  <c r="S339" i="2"/>
  <c r="A339" i="2"/>
  <c r="BT16" i="2"/>
  <c r="BS16" i="2"/>
  <c r="BR16" i="2"/>
  <c r="BQ16" i="2"/>
  <c r="BP16" i="2"/>
  <c r="S16" i="2"/>
  <c r="A16" i="2"/>
  <c r="BT234" i="2"/>
  <c r="BS234" i="2"/>
  <c r="BR234" i="2"/>
  <c r="BQ234" i="2"/>
  <c r="BP234" i="2"/>
  <c r="S234" i="2"/>
  <c r="A234" i="2"/>
  <c r="BT364" i="2"/>
  <c r="BS364" i="2"/>
  <c r="BR364" i="2"/>
  <c r="BQ364" i="2"/>
  <c r="BP364" i="2"/>
  <c r="S364" i="2"/>
  <c r="A364" i="2"/>
  <c r="BT15" i="2"/>
  <c r="BS15" i="2"/>
  <c r="BR15" i="2"/>
  <c r="BQ15" i="2"/>
  <c r="BP15" i="2"/>
  <c r="S15" i="2"/>
  <c r="A15" i="2"/>
  <c r="BT14" i="2"/>
  <c r="BS14" i="2"/>
  <c r="BR14" i="2"/>
  <c r="BQ14" i="2"/>
  <c r="BP14" i="2"/>
  <c r="S14" i="2"/>
  <c r="A14" i="2"/>
  <c r="BT13" i="2"/>
  <c r="BS13" i="2"/>
  <c r="BR13" i="2"/>
  <c r="BQ13" i="2"/>
  <c r="BP13" i="2"/>
  <c r="S13" i="2"/>
  <c r="A13" i="2"/>
  <c r="BT12" i="2"/>
  <c r="BS12" i="2"/>
  <c r="BR12" i="2"/>
  <c r="BQ12" i="2"/>
  <c r="BP12" i="2"/>
  <c r="S12" i="2"/>
  <c r="A12" i="2"/>
  <c r="BT11" i="2"/>
  <c r="BS11" i="2"/>
  <c r="BR11" i="2"/>
  <c r="BQ11" i="2"/>
  <c r="BP11" i="2"/>
  <c r="S11" i="2"/>
  <c r="A11" i="2"/>
  <c r="BT532" i="2"/>
  <c r="BS532" i="2"/>
  <c r="BR532" i="2"/>
  <c r="BQ532" i="2"/>
  <c r="BP532" i="2"/>
  <c r="S532" i="2"/>
  <c r="A532" i="2"/>
  <c r="BT9" i="2"/>
  <c r="BS9" i="2"/>
  <c r="BR9" i="2"/>
  <c r="BQ9" i="2"/>
  <c r="BP9" i="2"/>
  <c r="S9" i="2"/>
  <c r="A9" i="2"/>
  <c r="BT8" i="2"/>
  <c r="BS8" i="2"/>
  <c r="BR8" i="2"/>
  <c r="BQ8" i="2"/>
  <c r="BP8" i="2"/>
  <c r="S8" i="2"/>
  <c r="A8" i="2"/>
  <c r="BT7" i="2"/>
  <c r="BS7" i="2"/>
  <c r="BR7" i="2"/>
  <c r="BQ7" i="2"/>
  <c r="BP7" i="2"/>
  <c r="S7" i="2"/>
  <c r="A7" i="2"/>
  <c r="BT6" i="2"/>
  <c r="BS6" i="2"/>
  <c r="BR6" i="2"/>
  <c r="BQ6" i="2"/>
  <c r="BP6" i="2"/>
  <c r="S6" i="2"/>
  <c r="A6" i="2"/>
  <c r="BT5" i="2"/>
  <c r="BS5" i="2"/>
  <c r="BR5" i="2"/>
  <c r="BQ5" i="2"/>
  <c r="BP5" i="2"/>
  <c r="S5" i="2"/>
  <c r="A5" i="2"/>
  <c r="BT523" i="2"/>
  <c r="BS523" i="2"/>
  <c r="BR523" i="2"/>
  <c r="BQ523" i="2"/>
  <c r="BP523" i="2"/>
  <c r="S523" i="2"/>
  <c r="A523" i="2"/>
  <c r="BT233" i="2"/>
  <c r="BS233" i="2"/>
  <c r="BR233" i="2"/>
  <c r="BQ233" i="2"/>
  <c r="BP233" i="2"/>
  <c r="S233" i="2"/>
  <c r="A233" i="2"/>
  <c r="BW2" i="2"/>
  <c r="BV2" i="2"/>
  <c r="BU2" i="2"/>
  <c r="BT2" i="2"/>
  <c r="BS2" i="2"/>
  <c r="BR2" i="2"/>
  <c r="BQ2" i="2"/>
  <c r="BP2" i="2"/>
  <c r="S2" i="2"/>
  <c r="A2" i="2"/>
  <c r="BT614" i="2"/>
  <c r="BS614" i="2"/>
  <c r="BR614" i="2"/>
  <c r="BQ614" i="2"/>
  <c r="BP614" i="2"/>
  <c r="S614" i="2"/>
  <c r="A614" i="2"/>
  <c r="BT180" i="2"/>
  <c r="BS180" i="2"/>
  <c r="BR180" i="2"/>
  <c r="BQ180" i="2"/>
  <c r="BP180" i="2"/>
  <c r="S180" i="2"/>
  <c r="A180" i="2"/>
  <c r="BT179" i="2"/>
  <c r="BS179" i="2"/>
  <c r="BR179" i="2"/>
  <c r="BQ179" i="2"/>
  <c r="BP179" i="2"/>
  <c r="S179" i="2"/>
  <c r="A179" i="2"/>
  <c r="BT178" i="2"/>
  <c r="BS178" i="2"/>
  <c r="BR178" i="2"/>
  <c r="BQ178" i="2"/>
  <c r="BP178" i="2"/>
  <c r="S178" i="2"/>
  <c r="A178" i="2"/>
  <c r="BT177" i="2"/>
  <c r="BS177" i="2"/>
  <c r="BR177" i="2"/>
  <c r="BQ177" i="2"/>
  <c r="BP177" i="2"/>
  <c r="S177" i="2"/>
  <c r="A177" i="2"/>
  <c r="BT193" i="2"/>
  <c r="BS193" i="2"/>
  <c r="BR193" i="2"/>
  <c r="BQ193" i="2"/>
  <c r="BP193" i="2"/>
  <c r="S193" i="2"/>
  <c r="A193" i="2"/>
  <c r="BT175" i="2"/>
  <c r="BS175" i="2"/>
  <c r="BR175" i="2"/>
  <c r="BQ175" i="2"/>
  <c r="BP175" i="2"/>
  <c r="S175" i="2"/>
  <c r="A175" i="2"/>
  <c r="BT174" i="2"/>
  <c r="BS174" i="2"/>
  <c r="BR174" i="2"/>
  <c r="BQ174" i="2"/>
  <c r="BP174" i="2"/>
  <c r="S174" i="2"/>
  <c r="A174" i="2"/>
  <c r="BT173" i="2"/>
  <c r="BS173" i="2"/>
  <c r="BR173" i="2"/>
  <c r="BQ173" i="2"/>
  <c r="BP173" i="2"/>
  <c r="S173" i="2"/>
  <c r="A173" i="2"/>
  <c r="BT172" i="2"/>
  <c r="BS172" i="2"/>
  <c r="BR172" i="2"/>
  <c r="BQ172" i="2"/>
  <c r="BP172" i="2"/>
  <c r="S172" i="2"/>
  <c r="A172" i="2"/>
  <c r="BT171" i="2"/>
  <c r="BS171" i="2"/>
  <c r="BR171" i="2"/>
  <c r="BQ171" i="2"/>
  <c r="BP171" i="2"/>
  <c r="S171" i="2"/>
  <c r="A171" i="2"/>
  <c r="BT170" i="2"/>
  <c r="BS170" i="2"/>
  <c r="BR170" i="2"/>
  <c r="BQ170" i="2"/>
  <c r="BP170" i="2"/>
  <c r="S170" i="2"/>
  <c r="A170" i="2"/>
  <c r="BT44" i="2"/>
  <c r="BS44" i="2"/>
  <c r="BR44" i="2"/>
  <c r="BQ44" i="2"/>
  <c r="BP44" i="2"/>
  <c r="S44" i="2"/>
  <c r="A44" i="2"/>
  <c r="BT168" i="2"/>
  <c r="BS168" i="2"/>
  <c r="BR168" i="2"/>
  <c r="BQ168" i="2"/>
  <c r="BP168" i="2"/>
  <c r="S168" i="2"/>
  <c r="A168" i="2"/>
  <c r="BT167" i="2"/>
  <c r="BS167" i="2"/>
  <c r="BR167" i="2"/>
  <c r="BQ167" i="2"/>
  <c r="BP167" i="2"/>
  <c r="S167" i="2"/>
  <c r="A167" i="2"/>
  <c r="BT166" i="2"/>
  <c r="BS166" i="2"/>
  <c r="BR166" i="2"/>
  <c r="BQ166" i="2"/>
  <c r="BP166" i="2"/>
  <c r="S166" i="2"/>
  <c r="A166" i="2"/>
  <c r="BT165" i="2"/>
  <c r="BS165" i="2"/>
  <c r="BR165" i="2"/>
  <c r="BQ165" i="2"/>
  <c r="BP165" i="2"/>
  <c r="S165" i="2"/>
  <c r="A165" i="2"/>
  <c r="BT164" i="2"/>
  <c r="BS164" i="2"/>
  <c r="BR164" i="2"/>
  <c r="BQ164" i="2"/>
  <c r="BP164" i="2"/>
  <c r="S164" i="2"/>
  <c r="A164" i="2"/>
  <c r="BT163" i="2"/>
  <c r="BS163" i="2"/>
  <c r="BR163" i="2"/>
  <c r="BQ163" i="2"/>
  <c r="BP163" i="2"/>
  <c r="S163" i="2"/>
  <c r="A163" i="2"/>
  <c r="BT148" i="2"/>
  <c r="BS148" i="2"/>
  <c r="BR148" i="2"/>
  <c r="BQ148" i="2"/>
  <c r="BP148" i="2"/>
  <c r="S148" i="2"/>
  <c r="A148" i="2"/>
  <c r="BT160" i="2"/>
  <c r="BS160" i="2"/>
  <c r="BR160" i="2"/>
  <c r="BQ160" i="2"/>
  <c r="BP160" i="2"/>
  <c r="S160" i="2"/>
  <c r="A160" i="2"/>
  <c r="BT293" i="2"/>
  <c r="BS293" i="2"/>
  <c r="BR293" i="2"/>
  <c r="BQ293" i="2"/>
  <c r="S293" i="2"/>
  <c r="A293" i="2"/>
  <c r="BT158" i="2"/>
  <c r="BS158" i="2"/>
  <c r="BR158" i="2"/>
  <c r="BQ158" i="2"/>
  <c r="BP158" i="2"/>
  <c r="S158" i="2"/>
  <c r="A158" i="2"/>
  <c r="BT286" i="2"/>
  <c r="BS286" i="2"/>
  <c r="BR286" i="2"/>
  <c r="BQ286" i="2"/>
  <c r="BP286" i="2"/>
  <c r="S286" i="2"/>
  <c r="A286" i="2"/>
  <c r="BT222" i="2"/>
  <c r="BS222" i="2"/>
  <c r="BR222" i="2"/>
  <c r="BQ222" i="2"/>
  <c r="BP222" i="2"/>
  <c r="S222" i="2"/>
  <c r="A222" i="2"/>
  <c r="BT156" i="2"/>
  <c r="BS156" i="2"/>
  <c r="BR156" i="2"/>
  <c r="BQ156" i="2"/>
  <c r="BP156" i="2"/>
  <c r="S156" i="2"/>
  <c r="A156" i="2"/>
  <c r="BT584" i="2"/>
  <c r="BS584" i="2"/>
  <c r="BR584" i="2"/>
  <c r="BQ584" i="2"/>
  <c r="BP584" i="2"/>
  <c r="S584" i="2"/>
  <c r="A584" i="2"/>
  <c r="BT583" i="2"/>
  <c r="BS583" i="2"/>
  <c r="BR583" i="2"/>
  <c r="BQ583" i="2"/>
  <c r="BP583" i="2"/>
  <c r="S583" i="2"/>
  <c r="A583" i="2"/>
  <c r="BT581" i="2"/>
  <c r="BS581" i="2"/>
  <c r="BR581" i="2"/>
  <c r="BQ581" i="2"/>
  <c r="BP581" i="2"/>
  <c r="S581" i="2"/>
  <c r="A581" i="2"/>
  <c r="BT579" i="2"/>
  <c r="BS579" i="2"/>
  <c r="BR579" i="2"/>
  <c r="BQ579" i="2"/>
  <c r="BP579" i="2"/>
  <c r="S579" i="2"/>
  <c r="A579" i="2"/>
  <c r="BT578" i="2"/>
  <c r="BS578" i="2"/>
  <c r="BR578" i="2"/>
  <c r="BQ578" i="2"/>
  <c r="BP578" i="2"/>
  <c r="S578" i="2"/>
  <c r="A578" i="2"/>
  <c r="BT575" i="2"/>
  <c r="BS575" i="2"/>
  <c r="BR575" i="2"/>
  <c r="BQ575" i="2"/>
  <c r="BP575" i="2"/>
  <c r="S575" i="2"/>
  <c r="A575" i="2"/>
  <c r="BT573" i="2"/>
  <c r="BS573" i="2"/>
  <c r="BR573" i="2"/>
  <c r="BQ573" i="2"/>
  <c r="BP573" i="2"/>
  <c r="S573" i="2"/>
  <c r="A573" i="2"/>
  <c r="BT572" i="2"/>
  <c r="BS572" i="2"/>
  <c r="BR572" i="2"/>
  <c r="BQ572" i="2"/>
  <c r="BP572" i="2"/>
  <c r="S572" i="2"/>
  <c r="A572" i="2"/>
  <c r="BT570" i="2"/>
  <c r="BS570" i="2"/>
  <c r="BR570" i="2"/>
  <c r="BQ570" i="2"/>
  <c r="BP570" i="2"/>
  <c r="S570" i="2"/>
  <c r="A570" i="2"/>
  <c r="BT568" i="2"/>
  <c r="BS568" i="2"/>
  <c r="BR568" i="2"/>
  <c r="BQ568" i="2"/>
  <c r="BP568" i="2"/>
  <c r="S568" i="2"/>
  <c r="A568" i="2"/>
  <c r="BT567" i="2"/>
  <c r="BS567" i="2"/>
  <c r="BR567" i="2"/>
  <c r="BQ567" i="2"/>
  <c r="BP567" i="2"/>
  <c r="S567" i="2"/>
  <c r="A567" i="2"/>
  <c r="BT566" i="2"/>
  <c r="BS566" i="2"/>
  <c r="BR566" i="2"/>
  <c r="BQ566" i="2"/>
  <c r="BP566" i="2"/>
  <c r="S566" i="2"/>
  <c r="A566" i="2"/>
  <c r="BT565" i="2"/>
  <c r="BS565" i="2"/>
  <c r="BR565" i="2"/>
  <c r="BQ565" i="2"/>
  <c r="BP565" i="2"/>
  <c r="S565" i="2"/>
  <c r="A565" i="2"/>
  <c r="BT591" i="2"/>
  <c r="BS591" i="2"/>
  <c r="BR591" i="2"/>
  <c r="BQ591" i="2"/>
  <c r="BP591" i="2"/>
  <c r="S591" i="2"/>
  <c r="A591" i="2"/>
  <c r="BT448" i="2"/>
  <c r="BS448" i="2"/>
  <c r="BR448" i="2"/>
  <c r="BQ448" i="2"/>
  <c r="BP448" i="2"/>
  <c r="S448" i="2"/>
  <c r="A448" i="2"/>
  <c r="BT447" i="2"/>
  <c r="BS447" i="2"/>
  <c r="BR447" i="2"/>
  <c r="BQ447" i="2"/>
  <c r="BP447" i="2"/>
  <c r="S447" i="2"/>
  <c r="A447" i="2"/>
  <c r="BT446" i="2"/>
  <c r="BS446" i="2"/>
  <c r="BR446" i="2"/>
  <c r="BQ446" i="2"/>
  <c r="BP446" i="2"/>
  <c r="S446" i="2"/>
  <c r="A446" i="2"/>
  <c r="BT445" i="2"/>
  <c r="BS445" i="2"/>
  <c r="BR445" i="2"/>
  <c r="BQ445" i="2"/>
  <c r="BP445" i="2"/>
  <c r="S445" i="2"/>
  <c r="A445" i="2"/>
  <c r="BT444" i="2"/>
  <c r="BS444" i="2"/>
  <c r="BR444" i="2"/>
  <c r="BQ444" i="2"/>
  <c r="BP444" i="2"/>
  <c r="S444" i="2"/>
  <c r="A444" i="2"/>
  <c r="BT443" i="2"/>
  <c r="BS443" i="2"/>
  <c r="BR443" i="2"/>
  <c r="BQ443" i="2"/>
  <c r="BP443" i="2"/>
  <c r="S443" i="2"/>
  <c r="A443" i="2"/>
  <c r="BT442" i="2"/>
  <c r="BS442" i="2"/>
  <c r="BR442" i="2"/>
  <c r="BQ442" i="2"/>
  <c r="BP442" i="2"/>
  <c r="S442" i="2"/>
  <c r="A442" i="2"/>
  <c r="BT61" i="2"/>
  <c r="BS61" i="2"/>
  <c r="BR61" i="2"/>
  <c r="BQ61" i="2"/>
  <c r="BP61" i="2"/>
  <c r="S61" i="2"/>
  <c r="A61" i="2"/>
  <c r="BT440" i="2"/>
  <c r="BS440" i="2"/>
  <c r="BR440" i="2"/>
  <c r="BQ440" i="2"/>
  <c r="BP440" i="2"/>
  <c r="S440" i="2"/>
  <c r="A440" i="2"/>
  <c r="BT439" i="2"/>
  <c r="BS439" i="2"/>
  <c r="BR439" i="2"/>
  <c r="BQ439" i="2"/>
  <c r="BP439" i="2"/>
  <c r="S439" i="2"/>
  <c r="A439" i="2"/>
  <c r="BT438" i="2"/>
  <c r="BS438" i="2"/>
  <c r="BR438" i="2"/>
  <c r="BQ438" i="2"/>
  <c r="BP438" i="2"/>
  <c r="S438" i="2"/>
  <c r="A438" i="2"/>
  <c r="BT437" i="2"/>
  <c r="BS437" i="2"/>
  <c r="BR437" i="2"/>
  <c r="BQ437" i="2"/>
  <c r="BP437" i="2"/>
  <c r="S437" i="2"/>
  <c r="A437" i="2"/>
  <c r="BT436" i="2"/>
  <c r="BS436" i="2"/>
  <c r="BR436" i="2"/>
  <c r="BQ436" i="2"/>
  <c r="BP436" i="2"/>
  <c r="S436" i="2"/>
  <c r="A436" i="2"/>
  <c r="BT435" i="2"/>
  <c r="BS435" i="2"/>
  <c r="BR435" i="2"/>
  <c r="BQ435" i="2"/>
  <c r="BP435" i="2"/>
  <c r="S435" i="2"/>
  <c r="A435" i="2"/>
  <c r="BT434" i="2"/>
  <c r="BS434" i="2"/>
  <c r="BR434" i="2"/>
  <c r="BQ434" i="2"/>
  <c r="BP434" i="2"/>
  <c r="S434" i="2"/>
  <c r="A434" i="2"/>
  <c r="BT433" i="2"/>
  <c r="BS433" i="2"/>
  <c r="BR433" i="2"/>
  <c r="BQ433" i="2"/>
  <c r="BP433" i="2"/>
  <c r="S433" i="2"/>
  <c r="A433" i="2"/>
  <c r="BT432" i="2"/>
  <c r="BS432" i="2"/>
  <c r="BR432" i="2"/>
  <c r="BQ432" i="2"/>
  <c r="BP432" i="2"/>
  <c r="S432" i="2"/>
  <c r="A432" i="2"/>
  <c r="BT431" i="2"/>
  <c r="BS431" i="2"/>
  <c r="BR431" i="2"/>
  <c r="BQ431" i="2"/>
  <c r="BP431" i="2"/>
  <c r="S431" i="2"/>
  <c r="A431" i="2"/>
  <c r="BT430" i="2"/>
  <c r="BS430" i="2"/>
  <c r="BR430" i="2"/>
  <c r="BQ430" i="2"/>
  <c r="BP430" i="2"/>
  <c r="S430" i="2"/>
  <c r="A430" i="2"/>
  <c r="BT429" i="2"/>
  <c r="BS429" i="2"/>
  <c r="BR429" i="2"/>
  <c r="BQ429" i="2"/>
  <c r="BP429" i="2"/>
  <c r="S429" i="2"/>
  <c r="A429" i="2"/>
  <c r="BT428" i="2"/>
  <c r="BS428" i="2"/>
  <c r="BR428" i="2"/>
  <c r="BQ428" i="2"/>
  <c r="BP428" i="2"/>
  <c r="S428" i="2"/>
  <c r="A428" i="2"/>
  <c r="BT427" i="2"/>
  <c r="BS427" i="2"/>
  <c r="BR427" i="2"/>
  <c r="BQ427" i="2"/>
  <c r="BP427" i="2"/>
  <c r="S427" i="2"/>
  <c r="A427" i="2"/>
  <c r="BT426" i="2"/>
  <c r="BS426" i="2"/>
  <c r="BR426" i="2"/>
  <c r="BQ426" i="2"/>
  <c r="BP426" i="2"/>
  <c r="S426" i="2"/>
  <c r="A426" i="2"/>
  <c r="BT425" i="2"/>
  <c r="BS425" i="2"/>
  <c r="BR425" i="2"/>
  <c r="BQ425" i="2"/>
  <c r="BP425" i="2"/>
  <c r="S425" i="2"/>
  <c r="A425" i="2"/>
  <c r="BT424" i="2"/>
  <c r="BS424" i="2"/>
  <c r="BR424" i="2"/>
  <c r="BQ424" i="2"/>
  <c r="BP424" i="2"/>
  <c r="S424" i="2"/>
  <c r="A424" i="2"/>
  <c r="BT423" i="2"/>
  <c r="BS423" i="2"/>
  <c r="BR423" i="2"/>
  <c r="BQ423" i="2"/>
  <c r="BP423" i="2"/>
  <c r="S423" i="2"/>
  <c r="A423" i="2"/>
  <c r="BT422" i="2"/>
  <c r="BS422" i="2"/>
  <c r="BR422" i="2"/>
  <c r="BQ422" i="2"/>
  <c r="BP422" i="2"/>
  <c r="S422" i="2"/>
  <c r="A422" i="2"/>
  <c r="BT421" i="2"/>
  <c r="BS421" i="2"/>
  <c r="BR421" i="2"/>
  <c r="BQ421" i="2"/>
  <c r="BP421" i="2"/>
  <c r="S421" i="2"/>
  <c r="A421" i="2"/>
  <c r="BT420" i="2"/>
  <c r="BS420" i="2"/>
  <c r="BR420" i="2"/>
  <c r="BQ420" i="2"/>
  <c r="BP420" i="2"/>
  <c r="S420" i="2"/>
  <c r="A420" i="2"/>
  <c r="BT419" i="2"/>
  <c r="BS419" i="2"/>
  <c r="BR419" i="2"/>
  <c r="BQ419" i="2"/>
  <c r="BP419" i="2"/>
  <c r="S419" i="2"/>
  <c r="A419" i="2"/>
  <c r="BT418" i="2"/>
  <c r="BS418" i="2"/>
  <c r="BR418" i="2"/>
  <c r="BQ418" i="2"/>
  <c r="BP418" i="2"/>
  <c r="S418" i="2"/>
  <c r="A418" i="2"/>
  <c r="BT417" i="2"/>
  <c r="BS417" i="2"/>
  <c r="BR417" i="2"/>
  <c r="BQ417" i="2"/>
  <c r="BP417" i="2"/>
  <c r="S417" i="2"/>
  <c r="A417" i="2"/>
  <c r="BT416" i="2"/>
  <c r="BS416" i="2"/>
  <c r="BR416" i="2"/>
  <c r="BQ416" i="2"/>
  <c r="BP416" i="2"/>
  <c r="S416" i="2"/>
  <c r="A416" i="2"/>
  <c r="BT415" i="2"/>
  <c r="BS415" i="2"/>
  <c r="BR415" i="2"/>
  <c r="BQ415" i="2"/>
  <c r="BP415" i="2"/>
  <c r="S415" i="2"/>
  <c r="A415" i="2"/>
  <c r="BT414" i="2"/>
  <c r="BS414" i="2"/>
  <c r="BR414" i="2"/>
  <c r="BQ414" i="2"/>
  <c r="BP414" i="2"/>
  <c r="S414" i="2"/>
  <c r="A414" i="2"/>
  <c r="BT413" i="2"/>
  <c r="BS413" i="2"/>
  <c r="BR413" i="2"/>
  <c r="BQ413" i="2"/>
  <c r="BP413" i="2"/>
  <c r="S413" i="2"/>
  <c r="A413" i="2"/>
  <c r="BT412" i="2"/>
  <c r="BS412" i="2"/>
  <c r="BR412" i="2"/>
  <c r="BQ412" i="2"/>
  <c r="BP412" i="2"/>
  <c r="S412" i="2"/>
  <c r="A412" i="2"/>
  <c r="BT411" i="2"/>
  <c r="BS411" i="2"/>
  <c r="BR411" i="2"/>
  <c r="BQ411" i="2"/>
  <c r="BP411" i="2"/>
  <c r="S411" i="2"/>
  <c r="A411" i="2"/>
  <c r="BT410" i="2"/>
  <c r="BS410" i="2"/>
  <c r="BR410" i="2"/>
  <c r="BQ410" i="2"/>
  <c r="BP410" i="2"/>
  <c r="S410" i="2"/>
  <c r="A410" i="2"/>
  <c r="BT409" i="2"/>
  <c r="BS409" i="2"/>
  <c r="BR409" i="2"/>
  <c r="BQ409" i="2"/>
  <c r="BP409" i="2"/>
  <c r="S409" i="2"/>
  <c r="A409" i="2"/>
  <c r="BT408" i="2"/>
  <c r="BS408" i="2"/>
  <c r="BR408" i="2"/>
  <c r="BQ408" i="2"/>
  <c r="BP408" i="2"/>
  <c r="S408" i="2"/>
  <c r="A408" i="2"/>
  <c r="BT407" i="2"/>
  <c r="BS407" i="2"/>
  <c r="BR407" i="2"/>
  <c r="BQ407" i="2"/>
  <c r="BP407" i="2"/>
  <c r="S407" i="2"/>
  <c r="A407" i="2"/>
  <c r="BT406" i="2"/>
  <c r="BS406" i="2"/>
  <c r="BR406" i="2"/>
  <c r="BQ406" i="2"/>
  <c r="BP406" i="2"/>
  <c r="S406" i="2"/>
  <c r="A406" i="2"/>
  <c r="BT405" i="2"/>
  <c r="BS405" i="2"/>
  <c r="BR405" i="2"/>
  <c r="BQ405" i="2"/>
  <c r="BP405" i="2"/>
  <c r="S405" i="2"/>
  <c r="A405" i="2"/>
  <c r="BT404" i="2"/>
  <c r="BS404" i="2"/>
  <c r="BR404" i="2"/>
  <c r="BQ404" i="2"/>
  <c r="BP404" i="2"/>
  <c r="S404" i="2"/>
  <c r="A404" i="2"/>
  <c r="BT403" i="2"/>
  <c r="BS403" i="2"/>
  <c r="BR403" i="2"/>
  <c r="BQ403" i="2"/>
  <c r="BP403" i="2"/>
  <c r="S403" i="2"/>
  <c r="A403" i="2"/>
  <c r="BT402" i="2"/>
  <c r="BS402" i="2"/>
  <c r="BR402" i="2"/>
  <c r="BQ402" i="2"/>
  <c r="BP402" i="2"/>
  <c r="S402" i="2"/>
  <c r="A402" i="2"/>
  <c r="BT401" i="2"/>
  <c r="BS401" i="2"/>
  <c r="BR401" i="2"/>
  <c r="BQ401" i="2"/>
  <c r="BP401" i="2"/>
  <c r="S401" i="2"/>
  <c r="A401" i="2"/>
  <c r="BT400" i="2"/>
  <c r="BS400" i="2"/>
  <c r="BR400" i="2"/>
  <c r="BQ400" i="2"/>
  <c r="BP400" i="2"/>
  <c r="S400" i="2"/>
  <c r="A400" i="2"/>
  <c r="BT399" i="2"/>
  <c r="BS399" i="2"/>
  <c r="BR399" i="2"/>
  <c r="BQ399" i="2"/>
  <c r="BP399" i="2"/>
  <c r="S399" i="2"/>
  <c r="A399" i="2"/>
  <c r="BT398" i="2"/>
  <c r="BS398" i="2"/>
  <c r="BR398" i="2"/>
  <c r="BQ398" i="2"/>
  <c r="BP398" i="2"/>
  <c r="S398" i="2"/>
  <c r="A398" i="2"/>
  <c r="BT397" i="2"/>
  <c r="BS397" i="2"/>
  <c r="BR397" i="2"/>
  <c r="BQ397" i="2"/>
  <c r="BP397" i="2"/>
  <c r="S397" i="2"/>
  <c r="A397" i="2"/>
  <c r="BT396" i="2"/>
  <c r="BS396" i="2"/>
  <c r="BR396" i="2"/>
  <c r="BQ396" i="2"/>
  <c r="BP396" i="2"/>
  <c r="S396" i="2"/>
  <c r="A396" i="2"/>
  <c r="BT395" i="2"/>
  <c r="BS395" i="2"/>
  <c r="BR395" i="2"/>
  <c r="BQ395" i="2"/>
  <c r="BP395" i="2"/>
  <c r="S395" i="2"/>
  <c r="A395" i="2"/>
  <c r="BT394" i="2"/>
  <c r="BS394" i="2"/>
  <c r="BR394" i="2"/>
  <c r="BQ394" i="2"/>
  <c r="BP394" i="2"/>
  <c r="S394" i="2"/>
  <c r="A394" i="2"/>
  <c r="BT393" i="2"/>
  <c r="BS393" i="2"/>
  <c r="BR393" i="2"/>
  <c r="BQ393" i="2"/>
  <c r="BP393" i="2"/>
  <c r="S393" i="2"/>
  <c r="A393" i="2"/>
  <c r="BT392" i="2"/>
  <c r="BS392" i="2"/>
  <c r="BR392" i="2"/>
  <c r="BQ392" i="2"/>
  <c r="BP392" i="2"/>
  <c r="S392" i="2"/>
  <c r="A392" i="2"/>
  <c r="BT391" i="2"/>
  <c r="BS391" i="2"/>
  <c r="BR391" i="2"/>
  <c r="BQ391" i="2"/>
  <c r="BP391" i="2"/>
  <c r="S391" i="2"/>
  <c r="A391" i="2"/>
  <c r="BT390" i="2"/>
  <c r="BS390" i="2"/>
  <c r="BR390" i="2"/>
  <c r="BQ390" i="2"/>
  <c r="BP390" i="2"/>
  <c r="S390" i="2"/>
  <c r="A390" i="2"/>
  <c r="BT389" i="2"/>
  <c r="BS389" i="2"/>
  <c r="BR389" i="2"/>
  <c r="BQ389" i="2"/>
  <c r="BP389" i="2"/>
  <c r="S389" i="2"/>
  <c r="A389" i="2"/>
  <c r="BT388" i="2"/>
  <c r="BS388" i="2"/>
  <c r="BR388" i="2"/>
  <c r="BQ388" i="2"/>
  <c r="BP388" i="2"/>
  <c r="S388" i="2"/>
  <c r="A388" i="2"/>
  <c r="BT387" i="2"/>
  <c r="BS387" i="2"/>
  <c r="BR387" i="2"/>
  <c r="BQ387" i="2"/>
  <c r="BP387" i="2"/>
  <c r="S387" i="2"/>
  <c r="A387" i="2"/>
  <c r="BT386" i="2"/>
  <c r="BS386" i="2"/>
  <c r="BR386" i="2"/>
  <c r="BQ386" i="2"/>
  <c r="BP386" i="2"/>
  <c r="S386" i="2"/>
  <c r="A386" i="2"/>
  <c r="BT385" i="2"/>
  <c r="BS385" i="2"/>
  <c r="BR385" i="2"/>
  <c r="BQ385" i="2"/>
  <c r="BP385" i="2"/>
  <c r="S385" i="2"/>
  <c r="A385" i="2"/>
  <c r="BT384" i="2"/>
  <c r="BS384" i="2"/>
  <c r="BR384" i="2"/>
  <c r="BQ384" i="2"/>
  <c r="BP384" i="2"/>
  <c r="S384" i="2"/>
  <c r="A384" i="2"/>
  <c r="BT383" i="2"/>
  <c r="BS383" i="2"/>
  <c r="BR383" i="2"/>
  <c r="BQ383" i="2"/>
  <c r="BP383" i="2"/>
  <c r="S383" i="2"/>
  <c r="A383" i="2"/>
  <c r="BT382" i="2"/>
  <c r="BS382" i="2"/>
  <c r="BR382" i="2"/>
  <c r="BQ382" i="2"/>
  <c r="BP382" i="2"/>
  <c r="S382" i="2"/>
  <c r="A382" i="2"/>
  <c r="BT381" i="2"/>
  <c r="BS381" i="2"/>
  <c r="BR381" i="2"/>
  <c r="BQ381" i="2"/>
  <c r="BP381" i="2"/>
  <c r="S381" i="2"/>
  <c r="A381" i="2"/>
  <c r="BT232" i="2"/>
  <c r="BS232" i="2"/>
  <c r="BR232" i="2"/>
  <c r="BQ232" i="2"/>
  <c r="BP232" i="2"/>
  <c r="S232" i="2"/>
  <c r="A232" i="2"/>
  <c r="BT231" i="2"/>
  <c r="BS231" i="2"/>
  <c r="BR231" i="2"/>
  <c r="BQ231" i="2"/>
  <c r="BP231" i="2"/>
  <c r="S231" i="2"/>
  <c r="A231" i="2"/>
  <c r="BT230" i="2"/>
  <c r="BS230" i="2"/>
  <c r="BR230" i="2"/>
  <c r="BQ230" i="2"/>
  <c r="BP230" i="2"/>
  <c r="S230" i="2"/>
  <c r="A230" i="2"/>
  <c r="BT229" i="2"/>
  <c r="BS229" i="2"/>
  <c r="BR229" i="2"/>
  <c r="BQ229" i="2"/>
  <c r="BP229" i="2"/>
  <c r="S229" i="2"/>
  <c r="A229" i="2"/>
  <c r="BT228" i="2"/>
  <c r="BS228" i="2"/>
  <c r="BR228" i="2"/>
  <c r="BQ228" i="2"/>
  <c r="BP228" i="2"/>
  <c r="S228" i="2"/>
  <c r="A228" i="2"/>
  <c r="BT227" i="2"/>
  <c r="BS227" i="2"/>
  <c r="BR227" i="2"/>
  <c r="BQ227" i="2"/>
  <c r="BP227" i="2"/>
  <c r="S227" i="2"/>
  <c r="A227" i="2"/>
  <c r="BT226" i="2"/>
  <c r="BS226" i="2"/>
  <c r="BR226" i="2"/>
  <c r="BQ226" i="2"/>
  <c r="BP226" i="2"/>
  <c r="S226" i="2"/>
  <c r="A226" i="2"/>
  <c r="BT225" i="2"/>
  <c r="BS225" i="2"/>
  <c r="BR225" i="2"/>
  <c r="BQ225" i="2"/>
  <c r="BP225" i="2"/>
  <c r="S225" i="2"/>
  <c r="A225" i="2"/>
  <c r="BT224" i="2"/>
  <c r="BS224" i="2"/>
  <c r="BR224" i="2"/>
  <c r="BQ224" i="2"/>
  <c r="BP224" i="2"/>
  <c r="S224" i="2"/>
  <c r="A224" i="2"/>
  <c r="BT223" i="2"/>
  <c r="BS223" i="2"/>
  <c r="BR223" i="2"/>
  <c r="BQ223" i="2"/>
  <c r="BP223" i="2"/>
  <c r="S223" i="2"/>
  <c r="A223" i="2"/>
  <c r="BT441" i="2"/>
  <c r="BS441" i="2"/>
  <c r="BR441" i="2"/>
  <c r="BQ441" i="2"/>
  <c r="BP441" i="2"/>
  <c r="S441" i="2"/>
  <c r="A441" i="2"/>
  <c r="BT221" i="2"/>
  <c r="BS221" i="2"/>
  <c r="BR221" i="2"/>
  <c r="BQ221" i="2"/>
  <c r="BP221" i="2"/>
  <c r="S221" i="2"/>
  <c r="A221" i="2"/>
  <c r="BT220" i="2"/>
  <c r="BS220" i="2"/>
  <c r="BR220" i="2"/>
  <c r="BQ220" i="2"/>
  <c r="BP220" i="2"/>
  <c r="S220" i="2"/>
  <c r="A220" i="2"/>
  <c r="BT219" i="2"/>
  <c r="BS219" i="2"/>
  <c r="BR219" i="2"/>
  <c r="BQ219" i="2"/>
  <c r="BP219" i="2"/>
  <c r="S219" i="2"/>
  <c r="A219" i="2"/>
  <c r="BT218" i="2"/>
  <c r="BS218" i="2"/>
  <c r="BR218" i="2"/>
  <c r="BQ218" i="2"/>
  <c r="BP218" i="2"/>
  <c r="S218" i="2"/>
  <c r="A218" i="2"/>
  <c r="BT217" i="2"/>
  <c r="BS217" i="2"/>
  <c r="BR217" i="2"/>
  <c r="BQ217" i="2"/>
  <c r="BP217" i="2"/>
  <c r="S217" i="2"/>
  <c r="A217" i="2"/>
  <c r="BT216" i="2"/>
  <c r="BS216" i="2"/>
  <c r="BR216" i="2"/>
  <c r="BQ216" i="2"/>
  <c r="BP216" i="2"/>
  <c r="S216" i="2"/>
  <c r="A216" i="2"/>
  <c r="BT215" i="2"/>
  <c r="BS215" i="2"/>
  <c r="BR215" i="2"/>
  <c r="BQ215" i="2"/>
  <c r="BP215" i="2"/>
  <c r="S215" i="2"/>
  <c r="A215" i="2"/>
  <c r="BT214" i="2"/>
  <c r="BS214" i="2"/>
  <c r="BR214" i="2"/>
  <c r="BQ214" i="2"/>
  <c r="BP214" i="2"/>
  <c r="S214" i="2"/>
  <c r="A214" i="2"/>
  <c r="BT213" i="2"/>
  <c r="BS213" i="2"/>
  <c r="BR213" i="2"/>
  <c r="BQ213" i="2"/>
  <c r="BP213" i="2"/>
  <c r="S213" i="2"/>
  <c r="A213" i="2"/>
  <c r="BT212" i="2"/>
  <c r="BS212" i="2"/>
  <c r="BR212" i="2"/>
  <c r="BQ212" i="2"/>
  <c r="BP212" i="2"/>
  <c r="S212" i="2"/>
  <c r="A212" i="2"/>
  <c r="BT211" i="2"/>
  <c r="BS211" i="2"/>
  <c r="BR211" i="2"/>
  <c r="BQ211" i="2"/>
  <c r="BP211" i="2"/>
  <c r="S211" i="2"/>
  <c r="A211" i="2"/>
  <c r="BT380" i="2"/>
  <c r="BS380" i="2"/>
  <c r="BR380" i="2"/>
  <c r="BQ380" i="2"/>
  <c r="BP380" i="2"/>
  <c r="S380" i="2"/>
  <c r="A380" i="2"/>
  <c r="BT379" i="2"/>
  <c r="BS379" i="2"/>
  <c r="BR379" i="2"/>
  <c r="BQ379" i="2"/>
  <c r="BP379" i="2"/>
  <c r="S379" i="2"/>
  <c r="A379" i="2"/>
  <c r="BT378" i="2"/>
  <c r="BS378" i="2"/>
  <c r="BR378" i="2"/>
  <c r="BQ378" i="2"/>
  <c r="BP378" i="2"/>
  <c r="S378" i="2"/>
  <c r="A378" i="2"/>
  <c r="BT377" i="2"/>
  <c r="BS377" i="2"/>
  <c r="BR377" i="2"/>
  <c r="BQ377" i="2"/>
  <c r="BP377" i="2"/>
  <c r="S377" i="2"/>
  <c r="A377" i="2"/>
  <c r="BT376" i="2"/>
  <c r="BS376" i="2"/>
  <c r="BR376" i="2"/>
  <c r="BQ376" i="2"/>
  <c r="BP376" i="2"/>
  <c r="S376" i="2"/>
  <c r="A376" i="2"/>
  <c r="BT375" i="2"/>
  <c r="BS375" i="2"/>
  <c r="BR375" i="2"/>
  <c r="BQ375" i="2"/>
  <c r="BP375" i="2"/>
  <c r="S375" i="2"/>
  <c r="A375" i="2"/>
  <c r="BT374" i="2"/>
  <c r="BS374" i="2"/>
  <c r="BR374" i="2"/>
  <c r="BQ374" i="2"/>
  <c r="BP374" i="2"/>
  <c r="S374" i="2"/>
  <c r="A374" i="2"/>
  <c r="BT373" i="2"/>
  <c r="BS373" i="2"/>
  <c r="BR373" i="2"/>
  <c r="BQ373" i="2"/>
  <c r="BP373" i="2"/>
  <c r="S373" i="2"/>
  <c r="A373" i="2"/>
  <c r="BT372" i="2"/>
  <c r="BS372" i="2"/>
  <c r="BR372" i="2"/>
  <c r="BQ372" i="2"/>
  <c r="BP372" i="2"/>
  <c r="S372" i="2"/>
  <c r="A372" i="2"/>
  <c r="BT210" i="2"/>
  <c r="BS210" i="2"/>
  <c r="BR210" i="2"/>
  <c r="BQ210" i="2"/>
  <c r="Z210" i="2"/>
  <c r="BP210" i="2" s="1"/>
  <c r="Y210" i="2"/>
  <c r="X210" i="2"/>
  <c r="W210" i="2"/>
  <c r="V210" i="2"/>
  <c r="S210" i="2"/>
  <c r="A210" i="2"/>
  <c r="BT209" i="2"/>
  <c r="BS209" i="2"/>
  <c r="BR209" i="2"/>
  <c r="BQ209" i="2"/>
  <c r="BP209" i="2"/>
  <c r="S209" i="2"/>
  <c r="A209" i="2"/>
  <c r="BT563" i="2"/>
  <c r="BS563" i="2"/>
  <c r="BR563" i="2"/>
  <c r="BQ563" i="2"/>
  <c r="BP563" i="2"/>
  <c r="S563" i="2"/>
  <c r="A563" i="2"/>
  <c r="BT207" i="2"/>
  <c r="BS207" i="2"/>
  <c r="BR207" i="2"/>
  <c r="BQ207" i="2"/>
  <c r="BP207" i="2"/>
  <c r="S207" i="2"/>
  <c r="A207" i="2"/>
  <c r="BT206" i="2"/>
  <c r="BS206" i="2"/>
  <c r="BR206" i="2"/>
  <c r="BQ206" i="2"/>
  <c r="S206" i="2"/>
  <c r="A206" i="2"/>
  <c r="BT205" i="2"/>
  <c r="BS205" i="2"/>
  <c r="BR205" i="2"/>
  <c r="BQ205" i="2"/>
  <c r="BP205" i="2"/>
  <c r="S205" i="2"/>
  <c r="A205" i="2"/>
  <c r="BT489" i="2"/>
  <c r="BS489" i="2"/>
  <c r="BR489" i="2"/>
  <c r="BQ489" i="2"/>
  <c r="S489" i="2"/>
  <c r="A489" i="2"/>
  <c r="BT203" i="2"/>
  <c r="BS203" i="2"/>
  <c r="BR203" i="2"/>
  <c r="BQ203" i="2"/>
  <c r="S203" i="2"/>
  <c r="A203" i="2"/>
  <c r="BT202" i="2"/>
  <c r="BS202" i="2"/>
  <c r="BR202" i="2"/>
  <c r="BQ202" i="2"/>
  <c r="BP202" i="2"/>
  <c r="S202" i="2"/>
  <c r="A202" i="2"/>
  <c r="BT201" i="2"/>
  <c r="BS201" i="2"/>
  <c r="BR201" i="2"/>
  <c r="BQ201" i="2"/>
  <c r="BP201" i="2"/>
  <c r="S201" i="2"/>
  <c r="A201" i="2"/>
  <c r="BT200" i="2"/>
  <c r="BS200" i="2"/>
  <c r="BR200" i="2"/>
  <c r="BQ200" i="2"/>
  <c r="BP200" i="2"/>
  <c r="S200" i="2"/>
  <c r="A200" i="2"/>
  <c r="BT199" i="2"/>
  <c r="BS199" i="2"/>
  <c r="BR199" i="2"/>
  <c r="BQ199" i="2"/>
  <c r="BP199" i="2"/>
  <c r="S199" i="2"/>
  <c r="A199" i="2"/>
  <c r="BT198" i="2"/>
  <c r="BS198" i="2"/>
  <c r="BR198" i="2"/>
  <c r="BQ198" i="2"/>
  <c r="BP198" i="2"/>
  <c r="S198" i="2"/>
  <c r="A198" i="2"/>
  <c r="BT154" i="2"/>
  <c r="BS154" i="2"/>
  <c r="BR154" i="2"/>
  <c r="BQ154" i="2"/>
  <c r="BP154" i="2"/>
  <c r="S154" i="2"/>
  <c r="A154" i="2"/>
  <c r="BT153" i="2"/>
  <c r="BS153" i="2"/>
  <c r="BR153" i="2"/>
  <c r="BQ153" i="2"/>
  <c r="BP153" i="2"/>
  <c r="S153" i="2"/>
  <c r="A153" i="2"/>
  <c r="BT152" i="2"/>
  <c r="BS152" i="2"/>
  <c r="BR152" i="2"/>
  <c r="BQ152" i="2"/>
  <c r="BP152" i="2"/>
  <c r="S152" i="2"/>
  <c r="A152" i="2"/>
  <c r="BT151" i="2"/>
  <c r="BS151" i="2"/>
  <c r="BR151" i="2"/>
  <c r="BQ151" i="2"/>
  <c r="BP151" i="2"/>
  <c r="S151" i="2"/>
  <c r="A151" i="2"/>
  <c r="BT150" i="2"/>
  <c r="BS150" i="2"/>
  <c r="BR150" i="2"/>
  <c r="BQ150" i="2"/>
  <c r="BP150" i="2"/>
  <c r="S150" i="2"/>
  <c r="A150" i="2"/>
  <c r="BT149" i="2"/>
  <c r="BS149" i="2"/>
  <c r="BR149" i="2"/>
  <c r="BQ149" i="2"/>
  <c r="BP149" i="2"/>
  <c r="S149" i="2"/>
  <c r="A149" i="2"/>
  <c r="BT367" i="2"/>
  <c r="BS367" i="2"/>
  <c r="BR367" i="2"/>
  <c r="BQ367" i="2"/>
  <c r="BP367" i="2"/>
  <c r="S367" i="2"/>
  <c r="A367" i="2"/>
  <c r="BT147" i="2"/>
  <c r="BS147" i="2"/>
  <c r="BR147" i="2"/>
  <c r="BQ147" i="2"/>
  <c r="BP147" i="2"/>
  <c r="S147" i="2"/>
  <c r="A147" i="2"/>
  <c r="BT146" i="2"/>
  <c r="BS146" i="2"/>
  <c r="BR146" i="2"/>
  <c r="BQ146" i="2"/>
  <c r="BP146" i="2"/>
  <c r="S146" i="2"/>
  <c r="A146" i="2"/>
  <c r="BT145" i="2"/>
  <c r="BS145" i="2"/>
  <c r="BR145" i="2"/>
  <c r="BQ145" i="2"/>
  <c r="BP145" i="2"/>
  <c r="S145" i="2"/>
  <c r="A145" i="2"/>
  <c r="BT144" i="2"/>
  <c r="BS144" i="2"/>
  <c r="BR144" i="2"/>
  <c r="BQ144" i="2"/>
  <c r="BP144" i="2"/>
  <c r="S144" i="2"/>
  <c r="A144" i="2"/>
  <c r="BT143" i="2"/>
  <c r="BS143" i="2"/>
  <c r="BR143" i="2"/>
  <c r="BQ143" i="2"/>
  <c r="BP143" i="2"/>
  <c r="S143" i="2"/>
  <c r="A143" i="2"/>
  <c r="BT142" i="2"/>
  <c r="BS142" i="2"/>
  <c r="BR142" i="2"/>
  <c r="BQ142" i="2"/>
  <c r="BP142" i="2"/>
  <c r="S142" i="2"/>
  <c r="A142" i="2"/>
  <c r="BT141" i="2"/>
  <c r="BS141" i="2"/>
  <c r="BR141" i="2"/>
  <c r="BQ141" i="2"/>
  <c r="BP141" i="2"/>
  <c r="S141" i="2"/>
  <c r="A141" i="2"/>
  <c r="BT140" i="2"/>
  <c r="BS140" i="2"/>
  <c r="BR140" i="2"/>
  <c r="BQ140" i="2"/>
  <c r="BP140" i="2"/>
  <c r="S140" i="2"/>
  <c r="A140" i="2"/>
  <c r="BT139" i="2"/>
  <c r="BS139" i="2"/>
  <c r="BR139" i="2"/>
  <c r="BQ139" i="2"/>
  <c r="BP139" i="2"/>
  <c r="S139" i="2"/>
  <c r="A139" i="2"/>
  <c r="BT138" i="2"/>
  <c r="BS138" i="2"/>
  <c r="BR138" i="2"/>
  <c r="BQ138" i="2"/>
  <c r="BP138" i="2"/>
  <c r="S138" i="2"/>
  <c r="A138" i="2"/>
  <c r="BT137" i="2"/>
  <c r="BS137" i="2"/>
  <c r="BR137" i="2"/>
  <c r="BQ137" i="2"/>
  <c r="BP137" i="2"/>
  <c r="S137" i="2"/>
  <c r="A137" i="2"/>
  <c r="BT136" i="2"/>
  <c r="BS136" i="2"/>
  <c r="BR136" i="2"/>
  <c r="BQ136" i="2"/>
  <c r="BP136" i="2"/>
  <c r="S136" i="2"/>
  <c r="A136" i="2"/>
  <c r="BT135" i="2"/>
  <c r="BS135" i="2"/>
  <c r="BR135" i="2"/>
  <c r="BQ135" i="2"/>
  <c r="BP135" i="2"/>
  <c r="S135" i="2"/>
  <c r="A135" i="2"/>
  <c r="BT134" i="2"/>
  <c r="BS134" i="2"/>
  <c r="BR134" i="2"/>
  <c r="BQ134" i="2"/>
  <c r="BP134" i="2"/>
  <c r="S134" i="2"/>
  <c r="A134" i="2"/>
  <c r="BT133" i="2"/>
  <c r="BS133" i="2"/>
  <c r="BR133" i="2"/>
  <c r="BQ133" i="2"/>
  <c r="BP133" i="2"/>
  <c r="S133" i="2"/>
  <c r="A133" i="2"/>
  <c r="BT132" i="2"/>
  <c r="BS132" i="2"/>
  <c r="BR132" i="2"/>
  <c r="BQ132" i="2"/>
  <c r="BP132" i="2"/>
  <c r="S132" i="2"/>
  <c r="A132" i="2"/>
  <c r="BT131" i="2"/>
  <c r="BS131" i="2"/>
  <c r="BR131" i="2"/>
  <c r="BQ131" i="2"/>
  <c r="BP131" i="2"/>
  <c r="S131" i="2"/>
  <c r="A131" i="2"/>
  <c r="BT130" i="2"/>
  <c r="BS130" i="2"/>
  <c r="BR130" i="2"/>
  <c r="BQ130" i="2"/>
  <c r="BP130" i="2"/>
  <c r="S130" i="2"/>
  <c r="A130" i="2"/>
  <c r="BT129" i="2"/>
  <c r="BS129" i="2"/>
  <c r="BR129" i="2"/>
  <c r="BQ129" i="2"/>
  <c r="BP129" i="2"/>
  <c r="S129" i="2"/>
  <c r="A129" i="2"/>
  <c r="BT365" i="2"/>
  <c r="BS365" i="2"/>
  <c r="BR365" i="2"/>
  <c r="BQ365" i="2"/>
  <c r="BP365" i="2"/>
  <c r="S365" i="2"/>
  <c r="A365" i="2"/>
  <c r="BT127" i="2"/>
  <c r="BS127" i="2"/>
  <c r="BR127" i="2"/>
  <c r="BQ127" i="2"/>
  <c r="BP127" i="2"/>
  <c r="S127" i="2"/>
  <c r="A127" i="2"/>
  <c r="BT126" i="2"/>
  <c r="BS126" i="2"/>
  <c r="BR126" i="2"/>
  <c r="BQ126" i="2"/>
  <c r="BP126" i="2"/>
  <c r="S126" i="2"/>
  <c r="A126" i="2"/>
  <c r="BT125" i="2"/>
  <c r="BS125" i="2"/>
  <c r="BR125" i="2"/>
  <c r="BQ125" i="2"/>
  <c r="BP125" i="2"/>
  <c r="S125" i="2"/>
  <c r="A125" i="2"/>
  <c r="BT124" i="2"/>
  <c r="BS124" i="2"/>
  <c r="BR124" i="2"/>
  <c r="BQ124" i="2"/>
  <c r="BP124" i="2"/>
  <c r="S124" i="2"/>
  <c r="A124" i="2"/>
  <c r="BT123" i="2"/>
  <c r="BS123" i="2"/>
  <c r="BR123" i="2"/>
  <c r="BQ123" i="2"/>
  <c r="BP123" i="2"/>
  <c r="S123" i="2"/>
  <c r="A123" i="2"/>
  <c r="BT122" i="2"/>
  <c r="BS122" i="2"/>
  <c r="BR122" i="2"/>
  <c r="BQ122" i="2"/>
  <c r="BP122" i="2"/>
  <c r="S122" i="2"/>
  <c r="A122" i="2"/>
  <c r="BT121" i="2"/>
  <c r="BS121" i="2"/>
  <c r="BR121" i="2"/>
  <c r="BQ121" i="2"/>
  <c r="BP121" i="2"/>
  <c r="S121" i="2"/>
  <c r="A121" i="2"/>
  <c r="BT120" i="2"/>
  <c r="BS120" i="2"/>
  <c r="BR120" i="2"/>
  <c r="BQ120" i="2"/>
  <c r="BP120" i="2"/>
  <c r="S120" i="2"/>
  <c r="A120" i="2"/>
  <c r="BT119" i="2"/>
  <c r="BS119" i="2"/>
  <c r="BR119" i="2"/>
  <c r="BQ119" i="2"/>
  <c r="BP119" i="2"/>
  <c r="S119" i="2"/>
  <c r="A119" i="2"/>
  <c r="BT118" i="2"/>
  <c r="BS118" i="2"/>
  <c r="BR118" i="2"/>
  <c r="BQ118" i="2"/>
  <c r="BP118" i="2"/>
  <c r="S118" i="2"/>
  <c r="A118" i="2"/>
  <c r="BT117" i="2"/>
  <c r="BS117" i="2"/>
  <c r="BR117" i="2"/>
  <c r="BQ117" i="2"/>
  <c r="BP117" i="2"/>
  <c r="S117" i="2"/>
  <c r="A117" i="2"/>
  <c r="BT116" i="2"/>
  <c r="BS116" i="2"/>
  <c r="BR116" i="2"/>
  <c r="BQ116" i="2"/>
  <c r="BP116" i="2"/>
  <c r="S116" i="2"/>
  <c r="A116" i="2"/>
  <c r="BT115" i="2"/>
  <c r="BS115" i="2"/>
  <c r="BR115" i="2"/>
  <c r="BQ115" i="2"/>
  <c r="BP115" i="2"/>
  <c r="S115" i="2"/>
  <c r="A115" i="2"/>
  <c r="BT114" i="2"/>
  <c r="BS114" i="2"/>
  <c r="BR114" i="2"/>
  <c r="BQ114" i="2"/>
  <c r="BP114" i="2"/>
  <c r="S114" i="2"/>
  <c r="A114" i="2"/>
  <c r="BT338" i="2"/>
  <c r="BS338" i="2"/>
  <c r="BR338" i="2"/>
  <c r="BQ338" i="2"/>
  <c r="BP338" i="2"/>
  <c r="S338" i="2"/>
  <c r="A338" i="2"/>
  <c r="BT337" i="2"/>
  <c r="BS337" i="2"/>
  <c r="BR337" i="2"/>
  <c r="BQ337" i="2"/>
  <c r="BP337" i="2"/>
  <c r="S337" i="2"/>
  <c r="A337" i="2"/>
  <c r="BT336" i="2"/>
  <c r="BS336" i="2"/>
  <c r="BR336" i="2"/>
  <c r="BQ336" i="2"/>
  <c r="BP336" i="2"/>
  <c r="S336" i="2"/>
  <c r="A336" i="2"/>
  <c r="BT335" i="2"/>
  <c r="BS335" i="2"/>
  <c r="BR335" i="2"/>
  <c r="BQ335" i="2"/>
  <c r="BP335" i="2"/>
  <c r="S335" i="2"/>
  <c r="A335" i="2"/>
  <c r="BT334" i="2"/>
  <c r="BS334" i="2"/>
  <c r="BR334" i="2"/>
  <c r="BQ334" i="2"/>
  <c r="BP334" i="2"/>
  <c r="S334" i="2"/>
  <c r="A334" i="2"/>
  <c r="BT333" i="2"/>
  <c r="BS333" i="2"/>
  <c r="BR333" i="2"/>
  <c r="BQ333" i="2"/>
  <c r="BP333" i="2"/>
  <c r="S333" i="2"/>
  <c r="A333" i="2"/>
  <c r="BT332" i="2"/>
  <c r="BS332" i="2"/>
  <c r="BR332" i="2"/>
  <c r="BQ332" i="2"/>
  <c r="BP332" i="2"/>
  <c r="S332" i="2"/>
  <c r="A332" i="2"/>
  <c r="BT331" i="2"/>
  <c r="BS331" i="2"/>
  <c r="BR331" i="2"/>
  <c r="BQ331" i="2"/>
  <c r="BP331" i="2"/>
  <c r="S331" i="2"/>
  <c r="A331" i="2"/>
  <c r="BT330" i="2"/>
  <c r="BS330" i="2"/>
  <c r="BR330" i="2"/>
  <c r="BQ330" i="2"/>
  <c r="BP330" i="2"/>
  <c r="S330" i="2"/>
  <c r="A330" i="2"/>
  <c r="BT329" i="2"/>
  <c r="BS329" i="2"/>
  <c r="BR329" i="2"/>
  <c r="BQ329" i="2"/>
  <c r="BP329" i="2"/>
  <c r="S329" i="2"/>
  <c r="A329" i="2"/>
  <c r="BT328" i="2"/>
  <c r="BS328" i="2"/>
  <c r="BR328" i="2"/>
  <c r="BQ328" i="2"/>
  <c r="BP328" i="2"/>
  <c r="S328" i="2"/>
  <c r="A328" i="2"/>
  <c r="BT327" i="2"/>
  <c r="BS327" i="2"/>
  <c r="BR327" i="2"/>
  <c r="BQ327" i="2"/>
  <c r="BP327" i="2"/>
  <c r="S327" i="2"/>
  <c r="A327" i="2"/>
  <c r="BT326" i="2"/>
  <c r="BS326" i="2"/>
  <c r="BR326" i="2"/>
  <c r="BQ326" i="2"/>
  <c r="BP326" i="2"/>
  <c r="S326" i="2"/>
  <c r="A326" i="2"/>
  <c r="BT325" i="2"/>
  <c r="BS325" i="2"/>
  <c r="BR325" i="2"/>
  <c r="BQ325" i="2"/>
  <c r="BP325" i="2"/>
  <c r="S325" i="2"/>
  <c r="A325" i="2"/>
  <c r="BT324" i="2"/>
  <c r="BS324" i="2"/>
  <c r="BR324" i="2"/>
  <c r="BQ324" i="2"/>
  <c r="BP324" i="2"/>
  <c r="S324" i="2"/>
  <c r="A324" i="2"/>
  <c r="BT323" i="2"/>
  <c r="BS323" i="2"/>
  <c r="BR323" i="2"/>
  <c r="BQ323" i="2"/>
  <c r="BP323" i="2"/>
  <c r="S323" i="2"/>
  <c r="A323" i="2"/>
  <c r="BT322" i="2"/>
  <c r="BS322" i="2"/>
  <c r="BR322" i="2"/>
  <c r="BQ322" i="2"/>
  <c r="BP322" i="2"/>
  <c r="S322" i="2"/>
  <c r="A322" i="2"/>
  <c r="BT321" i="2"/>
  <c r="BS321" i="2"/>
  <c r="BR321" i="2"/>
  <c r="BQ321" i="2"/>
  <c r="BP321" i="2"/>
  <c r="S321" i="2"/>
  <c r="A321" i="2"/>
  <c r="BT320" i="2"/>
  <c r="BS320" i="2"/>
  <c r="BR320" i="2"/>
  <c r="BQ320" i="2"/>
  <c r="BP320" i="2"/>
  <c r="S320" i="2"/>
  <c r="A320" i="2"/>
  <c r="BT319" i="2"/>
  <c r="BS319" i="2"/>
  <c r="BR319" i="2"/>
  <c r="BQ319" i="2"/>
  <c r="BP319" i="2"/>
  <c r="S319" i="2"/>
  <c r="A319" i="2"/>
  <c r="BT318" i="2"/>
  <c r="BS318" i="2"/>
  <c r="BR318" i="2"/>
  <c r="BQ318" i="2"/>
  <c r="BP318" i="2"/>
  <c r="S318" i="2"/>
  <c r="A318" i="2"/>
  <c r="BT317" i="2"/>
  <c r="BS317" i="2"/>
  <c r="BR317" i="2"/>
  <c r="BQ317" i="2"/>
  <c r="BP317" i="2"/>
  <c r="S317" i="2"/>
  <c r="A317" i="2"/>
  <c r="BT316" i="2"/>
  <c r="BS316" i="2"/>
  <c r="BR316" i="2"/>
  <c r="BQ316" i="2"/>
  <c r="BP316" i="2"/>
  <c r="S316" i="2"/>
  <c r="A316" i="2"/>
  <c r="BT315" i="2"/>
  <c r="BS315" i="2"/>
  <c r="BR315" i="2"/>
  <c r="BQ315" i="2"/>
  <c r="BP315" i="2"/>
  <c r="S315" i="2"/>
  <c r="A315" i="2"/>
  <c r="BT314" i="2"/>
  <c r="BS314" i="2"/>
  <c r="BR314" i="2"/>
  <c r="BQ314" i="2"/>
  <c r="BP314" i="2"/>
  <c r="S314" i="2"/>
  <c r="A314" i="2"/>
  <c r="BT313" i="2"/>
  <c r="BS313" i="2"/>
  <c r="BR313" i="2"/>
  <c r="BQ313" i="2"/>
  <c r="BP313" i="2"/>
  <c r="S313" i="2"/>
  <c r="A313" i="2"/>
  <c r="BT187" i="2"/>
  <c r="BS187" i="2"/>
  <c r="BR187" i="2"/>
  <c r="BQ187" i="2"/>
  <c r="BP187" i="2"/>
  <c r="S187" i="2"/>
  <c r="A187" i="2"/>
  <c r="BT555" i="2"/>
  <c r="BS555" i="2"/>
  <c r="BR555" i="2"/>
  <c r="BQ555" i="2"/>
  <c r="BP555" i="2"/>
  <c r="S555" i="2"/>
  <c r="A555" i="2"/>
  <c r="BT554" i="2"/>
  <c r="BS554" i="2"/>
  <c r="BR554" i="2"/>
  <c r="BQ554" i="2"/>
  <c r="BP554" i="2"/>
  <c r="S554" i="2"/>
  <c r="A554" i="2"/>
  <c r="BT553" i="2"/>
  <c r="BS553" i="2"/>
  <c r="BR553" i="2"/>
  <c r="BQ553" i="2"/>
  <c r="BP553" i="2"/>
  <c r="S553" i="2"/>
  <c r="A553" i="2"/>
  <c r="BT552" i="2"/>
  <c r="BS552" i="2"/>
  <c r="BR552" i="2"/>
  <c r="BQ552" i="2"/>
  <c r="BP552" i="2"/>
  <c r="S552" i="2"/>
  <c r="A552" i="2"/>
  <c r="BT551" i="2"/>
  <c r="BS551" i="2"/>
  <c r="BR551" i="2"/>
  <c r="BQ551" i="2"/>
  <c r="BP551" i="2"/>
  <c r="S551" i="2"/>
  <c r="A551" i="2"/>
  <c r="BT550" i="2"/>
  <c r="BS550" i="2"/>
  <c r="BR550" i="2"/>
  <c r="BQ550" i="2"/>
  <c r="BP550" i="2"/>
  <c r="S550" i="2"/>
  <c r="A550" i="2"/>
  <c r="BT549" i="2"/>
  <c r="BS549" i="2"/>
  <c r="BR549" i="2"/>
  <c r="BQ549" i="2"/>
  <c r="BP549" i="2"/>
  <c r="S549" i="2"/>
  <c r="A549" i="2"/>
  <c r="BT548" i="2"/>
  <c r="BS548" i="2"/>
  <c r="BR548" i="2"/>
  <c r="BQ548" i="2"/>
  <c r="BP548" i="2"/>
  <c r="S548" i="2"/>
  <c r="A548" i="2"/>
  <c r="BT547" i="2"/>
  <c r="BS547" i="2"/>
  <c r="BR547" i="2"/>
  <c r="BQ547" i="2"/>
  <c r="BP547" i="2"/>
  <c r="S547" i="2"/>
  <c r="A547" i="2"/>
  <c r="BT546" i="2"/>
  <c r="BS546" i="2"/>
  <c r="BR546" i="2"/>
  <c r="BQ546" i="2"/>
  <c r="BP546" i="2"/>
  <c r="S546" i="2"/>
  <c r="A546" i="2"/>
  <c r="BT545" i="2"/>
  <c r="BS545" i="2"/>
  <c r="BR545" i="2"/>
  <c r="BQ545" i="2"/>
  <c r="BP545" i="2"/>
  <c r="S545" i="2"/>
  <c r="A545" i="2"/>
  <c r="BT113" i="2"/>
  <c r="BS113" i="2"/>
  <c r="BR113" i="2"/>
  <c r="BQ113" i="2"/>
  <c r="BP113" i="2"/>
  <c r="S113" i="2"/>
  <c r="A113" i="2"/>
  <c r="BT112" i="2"/>
  <c r="BS112" i="2"/>
  <c r="BR112" i="2"/>
  <c r="BQ112" i="2"/>
  <c r="BP112" i="2"/>
  <c r="S112" i="2"/>
  <c r="A112" i="2"/>
  <c r="BT544" i="2"/>
  <c r="BS544" i="2"/>
  <c r="BR544" i="2"/>
  <c r="BQ544" i="2"/>
  <c r="BP544" i="2"/>
  <c r="S544" i="2"/>
  <c r="A544" i="2"/>
  <c r="BT543" i="2"/>
  <c r="BS543" i="2"/>
  <c r="BR543" i="2"/>
  <c r="BQ543" i="2"/>
  <c r="BP543" i="2"/>
  <c r="S543" i="2"/>
  <c r="A543" i="2"/>
  <c r="BT542" i="2"/>
  <c r="BS542" i="2"/>
  <c r="BR542" i="2"/>
  <c r="BQ542" i="2"/>
  <c r="BP542" i="2"/>
  <c r="S542" i="2"/>
  <c r="A542" i="2"/>
  <c r="BT541" i="2"/>
  <c r="BS541" i="2"/>
  <c r="BR541" i="2"/>
  <c r="BQ541" i="2"/>
  <c r="BP541" i="2"/>
  <c r="S541" i="2"/>
  <c r="A541" i="2"/>
  <c r="BT540" i="2"/>
  <c r="BS540" i="2"/>
  <c r="BR540" i="2"/>
  <c r="BQ540" i="2"/>
  <c r="BP540" i="2"/>
  <c r="S540" i="2"/>
  <c r="A540" i="2"/>
  <c r="BT539" i="2"/>
  <c r="BS539" i="2"/>
  <c r="BR539" i="2"/>
  <c r="BQ539" i="2"/>
  <c r="BP539" i="2"/>
  <c r="S539" i="2"/>
  <c r="A539" i="2"/>
  <c r="BT538" i="2"/>
  <c r="BS538" i="2"/>
  <c r="BR538" i="2"/>
  <c r="BQ538" i="2"/>
  <c r="BP538" i="2"/>
  <c r="S538" i="2"/>
  <c r="A538" i="2"/>
  <c r="BT612" i="2"/>
  <c r="BS612" i="2"/>
  <c r="BR612" i="2"/>
  <c r="BQ612" i="2"/>
  <c r="BP612" i="2"/>
  <c r="S612" i="2"/>
  <c r="A612" i="2"/>
  <c r="BT536" i="2"/>
  <c r="BS536" i="2"/>
  <c r="BR536" i="2"/>
  <c r="BQ536" i="2"/>
  <c r="BP536" i="2"/>
  <c r="S536" i="2"/>
  <c r="A536" i="2"/>
  <c r="BT535" i="2"/>
  <c r="BS535" i="2"/>
  <c r="BR535" i="2"/>
  <c r="BQ535" i="2"/>
  <c r="BP535" i="2"/>
  <c r="S535" i="2"/>
  <c r="A535" i="2"/>
  <c r="BT534" i="2"/>
  <c r="BS534" i="2"/>
  <c r="BR534" i="2"/>
  <c r="BQ534" i="2"/>
  <c r="BP534" i="2"/>
  <c r="S534" i="2"/>
  <c r="A534" i="2"/>
  <c r="BT533" i="2"/>
  <c r="BS533" i="2"/>
  <c r="BR533" i="2"/>
  <c r="BQ533" i="2"/>
  <c r="BP533" i="2"/>
  <c r="S533" i="2"/>
  <c r="A533" i="2"/>
  <c r="BT494" i="2"/>
  <c r="BS494" i="2"/>
  <c r="BR494" i="2"/>
  <c r="BQ494" i="2"/>
  <c r="BP494" i="2"/>
  <c r="S494" i="2"/>
  <c r="A494" i="2"/>
  <c r="BT531" i="2"/>
  <c r="BS531" i="2"/>
  <c r="BR531" i="2"/>
  <c r="BQ531" i="2"/>
  <c r="BP531" i="2"/>
  <c r="S531" i="2"/>
  <c r="A531" i="2"/>
  <c r="BT111" i="2"/>
  <c r="BS111" i="2"/>
  <c r="BR111" i="2"/>
  <c r="BQ111" i="2"/>
  <c r="BP111" i="2"/>
  <c r="S111" i="2"/>
  <c r="A111" i="2"/>
  <c r="BT110" i="2"/>
  <c r="BS110" i="2"/>
  <c r="BR110" i="2"/>
  <c r="BQ110" i="2"/>
  <c r="BP110" i="2"/>
  <c r="V110" i="2"/>
  <c r="A110" i="2"/>
  <c r="S11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Yang(杨小鸿_SM)</author>
    <author>Stephen Hu(胡 伟_GMO)</author>
  </authors>
  <commentList>
    <comment ref="G169" authorId="0" shapeId="0" xr:uid="{8CC3575F-9E76-4D3D-B97D-E5A841A33A34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  <comment ref="O205" authorId="1" shapeId="0" xr:uid="{D7849441-BC98-444A-8CFE-DFF115EBC9BD}">
      <text>
        <r>
          <rPr>
            <b/>
            <sz val="9"/>
            <color indexed="81"/>
            <rFont val="宋体"/>
            <family val="3"/>
            <charset val="134"/>
          </rPr>
          <t>Stephen Hu(胡 伟_GMO):</t>
        </r>
        <r>
          <rPr>
            <sz val="9"/>
            <color indexed="81"/>
            <rFont val="宋体"/>
            <family val="3"/>
            <charset val="134"/>
          </rPr>
          <t xml:space="preserve">
八九万百只的量，赛卓供200多万只，都是供给长安汽车</t>
        </r>
      </text>
    </comment>
    <comment ref="F245" authorId="1" shapeId="0" xr:uid="{A00EEE24-13C2-491D-9CF5-A231C446740B}">
      <text>
        <r>
          <rPr>
            <b/>
            <sz val="9"/>
            <rFont val="宋体"/>
            <family val="3"/>
            <charset val="134"/>
          </rPr>
          <t>Stephen Hu(胡 伟_GMO):</t>
        </r>
        <r>
          <rPr>
            <sz val="9"/>
            <rFont val="宋体"/>
            <family val="3"/>
            <charset val="134"/>
          </rPr>
          <t xml:space="preserve">
实际料号为SC2662SO-N</t>
        </r>
      </text>
    </comment>
    <comment ref="G324" authorId="0" shapeId="0" xr:uid="{7292AA97-FD8F-424A-A8BA-3B46B918C152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84" authorId="0" shapeId="0" xr:uid="{CA1ACABD-71C8-4DCF-ABCC-D63D8D173ECA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502" authorId="0" shapeId="0" xr:uid="{65044E26-20AC-4C97-9980-AC46E12BE57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503" authorId="0" shapeId="0" xr:uid="{5C156C2F-5530-44D6-9A5E-C3602DE71D82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544" authorId="0" shapeId="0" xr:uid="{2C43386D-BE0A-4840-8380-FF4CF313B4BC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Bill Yang(杨帆_SM)</author>
    <author>Pedro Yang(杨小鸿_SM)</author>
  </authors>
  <commentList>
    <comment ref="G2" authorId="0" shapeId="0" xr:uid="{F0B066BB-6A95-4402-B1C8-03F7B1E938F9}">
      <text>
        <r>
          <rPr>
            <b/>
            <sz val="9"/>
            <color indexed="81"/>
            <rFont val="宋体"/>
            <family val="3"/>
            <charset val="134"/>
          </rPr>
          <t>Bill Yang(杨帆_SM):</t>
        </r>
        <r>
          <rPr>
            <sz val="9"/>
            <color indexed="81"/>
            <rFont val="宋体"/>
            <family val="3"/>
            <charset val="134"/>
          </rPr>
          <t xml:space="preserve">
后续需要新型号，S极响应
</t>
        </r>
      </text>
    </comment>
    <comment ref="B8" authorId="1" shapeId="0" xr:uid="{6F7D13EF-1066-4D60-90CC-AF0C40BE5125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B9" authorId="1" shapeId="0" xr:uid="{7981EB7D-A897-4F96-B8DD-94121853CE00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B10" authorId="1" shapeId="0" xr:uid="{3AC26459-D3DA-4FBA-8E5B-966C2BE816B7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</commentList>
</comments>
</file>

<file path=xl/sharedStrings.xml><?xml version="1.0" encoding="utf-8"?>
<sst xmlns="http://schemas.openxmlformats.org/spreadsheetml/2006/main" count="9292" uniqueCount="2000">
  <si>
    <t>代理商</t>
  </si>
  <si>
    <t>TMS销售</t>
  </si>
  <si>
    <t>代理销售</t>
  </si>
  <si>
    <t>产品型号</t>
  </si>
  <si>
    <t>应用简介</t>
  </si>
  <si>
    <t>年TAM</t>
  </si>
  <si>
    <t>阶段</t>
  </si>
  <si>
    <t>Action</t>
  </si>
  <si>
    <t>竞品型号</t>
  </si>
  <si>
    <t>竞品价格</t>
  </si>
  <si>
    <t>单价</t>
  </si>
  <si>
    <t>年预测销售额</t>
  </si>
  <si>
    <t>目前销售额</t>
  </si>
  <si>
    <t>年度预测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</si>
  <si>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</si>
  <si>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</si>
  <si>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</si>
  <si>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</si>
  <si>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</si>
  <si>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</si>
  <si>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</si>
  <si>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</si>
  <si>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</si>
  <si>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</si>
  <si>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</si>
  <si>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</si>
  <si>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</si>
  <si>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</si>
  <si>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</si>
  <si>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</si>
  <si>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</si>
  <si>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</si>
  <si>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</si>
  <si>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</si>
  <si>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</si>
  <si>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</si>
  <si>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</si>
  <si>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</si>
  <si>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销售部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</si>
  <si>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</si>
  <si>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</si>
  <si>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</si>
  <si>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</si>
  <si>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</si>
  <si>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</si>
  <si>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</si>
  <si>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</si>
  <si>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</si>
  <si>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</si>
  <si>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</si>
  <si>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</si>
  <si>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</si>
  <si>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</si>
  <si>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</si>
  <si>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</si>
  <si>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宁波高石电子科技有限公司</t>
  </si>
  <si>
    <t>一般客户</t>
  </si>
  <si>
    <t>上海优昕电子信息技术有限公司</t>
  </si>
  <si>
    <t>Freya</t>
  </si>
  <si>
    <t>SC4643VB-BK-Q</t>
  </si>
  <si>
    <t>量产</t>
  </si>
  <si>
    <t>2部</t>
  </si>
  <si>
    <t>汽车电子</t>
  </si>
  <si>
    <t>三电系统</t>
  </si>
  <si>
    <t>三电电驱控制</t>
  </si>
  <si>
    <t>电控电流传感器</t>
  </si>
  <si>
    <t>电流传感器模组</t>
  </si>
  <si>
    <t>西安华旭电气自动化技术有限公司</t>
  </si>
  <si>
    <t>盐城展拓电子有限公司</t>
  </si>
  <si>
    <t>Yinan</t>
  </si>
  <si>
    <t>王强</t>
  </si>
  <si>
    <t>天津易鼎丰动力科技有限公司</t>
  </si>
  <si>
    <t>深圳诺信微科技有限公司</t>
  </si>
  <si>
    <t>SPD3242</t>
  </si>
  <si>
    <t>湖南天雁机械股份有限公司</t>
  </si>
  <si>
    <t>SC69401DC-TR-Q</t>
  </si>
  <si>
    <t>汽车增压器</t>
  </si>
  <si>
    <t>动力总成</t>
  </si>
  <si>
    <t>发动机</t>
  </si>
  <si>
    <t>节气门</t>
  </si>
  <si>
    <t>博世汽车部件（长沙）有限公司</t>
  </si>
  <si>
    <t>SC2498TSO-TR-Q</t>
  </si>
  <si>
    <t>座椅电机</t>
  </si>
  <si>
    <t>MT8361</t>
  </si>
  <si>
    <t>Josh</t>
  </si>
  <si>
    <t>1部</t>
  </si>
  <si>
    <t>智能座舱</t>
  </si>
  <si>
    <t>智能座椅</t>
  </si>
  <si>
    <t>座椅水平电机</t>
  </si>
  <si>
    <t>广东肇庆爱龙威机电有限公司</t>
  </si>
  <si>
    <t>厦门信和达电子有限公司</t>
  </si>
  <si>
    <t>高佳伟</t>
  </si>
  <si>
    <t>SC2498SO-TR-Q</t>
  </si>
  <si>
    <t>水平电机调节</t>
  </si>
  <si>
    <t>样品测试完成</t>
  </si>
  <si>
    <t>无</t>
  </si>
  <si>
    <t>车身电子</t>
  </si>
  <si>
    <t>车身其他</t>
  </si>
  <si>
    <t>吉利</t>
  </si>
  <si>
    <t>河北安闻汽车零部件有限公司</t>
  </si>
  <si>
    <t>刘煦</t>
  </si>
  <si>
    <t>座椅通风电机</t>
  </si>
  <si>
    <t>SDC1183</t>
  </si>
  <si>
    <t>Ricky</t>
  </si>
  <si>
    <t>座椅风扇</t>
  </si>
  <si>
    <t>江苏雷利电机股份有限公司</t>
  </si>
  <si>
    <t>重要客户</t>
  </si>
  <si>
    <t>深圳市宝创科技有限公司</t>
  </si>
  <si>
    <t>凡莹</t>
  </si>
  <si>
    <t>华为抬头显示电机</t>
  </si>
  <si>
    <t>批量</t>
  </si>
  <si>
    <t>TDK1507</t>
  </si>
  <si>
    <t>冰箱内部制冰机</t>
  </si>
  <si>
    <t>小批量</t>
  </si>
  <si>
    <t>SS341RT</t>
  </si>
  <si>
    <t>智能家居</t>
  </si>
  <si>
    <t>大型家电</t>
  </si>
  <si>
    <t>冰箱</t>
  </si>
  <si>
    <t>40WS1水泵</t>
  </si>
  <si>
    <t>8月份量产</t>
  </si>
  <si>
    <t>3部</t>
  </si>
  <si>
    <t>洗衣机</t>
  </si>
  <si>
    <t>Axel</t>
  </si>
  <si>
    <t>小型家电</t>
  </si>
  <si>
    <t>小家电风机-厨房碎菜机</t>
  </si>
  <si>
    <t>HUD 华域视觉</t>
  </si>
  <si>
    <t>客户沿用华为HUD的整体方案</t>
  </si>
  <si>
    <t>惠而浦制冰机</t>
  </si>
  <si>
    <t>已经告知客户在低电压下HALL休眠滞后于MCU，push客户进行测试</t>
  </si>
  <si>
    <t>CH913SR</t>
  </si>
  <si>
    <t>GE的冰箱压缩机散热风扇</t>
  </si>
  <si>
    <t>客户项目已经立项</t>
  </si>
  <si>
    <t>宁波希磁电子科技有限公司</t>
  </si>
  <si>
    <t>三电BMS</t>
  </si>
  <si>
    <t>BMS电流传感器</t>
  </si>
  <si>
    <t>延锋安道拓方德电机有限公司上海分公司</t>
  </si>
  <si>
    <t>上海碧讯实业有限公司</t>
  </si>
  <si>
    <t>吕斐</t>
  </si>
  <si>
    <t>SC2448SO-TR-Q</t>
  </si>
  <si>
    <t>SC2498UA-N-BK-Q</t>
    <phoneticPr fontId="2" type="noConversion"/>
  </si>
  <si>
    <t>天窗电机</t>
  </si>
  <si>
    <t>天窗系统</t>
  </si>
  <si>
    <t>追觅科技（苏州）有限公司</t>
  </si>
  <si>
    <t>扫地机器人</t>
  </si>
  <si>
    <t>PUSH客户进行产品验证</t>
  </si>
  <si>
    <t>MT8631AT</t>
  </si>
  <si>
    <t>扫地机</t>
  </si>
  <si>
    <t>扫地机尘盒</t>
  </si>
  <si>
    <t>上海胜华波汽车电器有限公司</t>
  </si>
  <si>
    <t>战略客户</t>
  </si>
  <si>
    <t>南京富聚科技有限公司</t>
  </si>
  <si>
    <t>Yao</t>
  </si>
  <si>
    <t>多个项目</t>
  </si>
  <si>
    <t>崔金超：NISSAN 了解进度
雨刮事业部交流---丁浩
平行霍尔赛卓进度
SC2498应用车型和数量了解</t>
  </si>
  <si>
    <t>A1212</t>
  </si>
  <si>
    <t>Harry</t>
  </si>
  <si>
    <t>吉利，比亚迪，长安</t>
  </si>
  <si>
    <t>座椅通风</t>
  </si>
  <si>
    <t>推进中</t>
  </si>
  <si>
    <t>二次交流完成，胜华波提供板子供我们选型测试</t>
  </si>
  <si>
    <t>MLX90412</t>
  </si>
  <si>
    <t>暂无</t>
  </si>
  <si>
    <t>金华阿凡顿科技有限公司</t>
  </si>
  <si>
    <t>金华易蔚电子有限公司</t>
  </si>
  <si>
    <t>SC2466SO-TR</t>
  </si>
  <si>
    <t>电动剪刀</t>
  </si>
  <si>
    <t>AH464</t>
  </si>
  <si>
    <t>工业和机器人</t>
  </si>
  <si>
    <t>电动工具</t>
  </si>
  <si>
    <t>电动工具位置开关</t>
  </si>
  <si>
    <t>杭州湖微科技有限公司</t>
  </si>
  <si>
    <t>广州汇昕微电子科技有限公司</t>
  </si>
  <si>
    <t>电剪刀</t>
  </si>
  <si>
    <t>了解电动剪刀市场</t>
  </si>
  <si>
    <t>玲动电器（广东）有限公司</t>
  </si>
  <si>
    <t>深圳市北高智电子有限公司</t>
  </si>
  <si>
    <t>自动驾驶</t>
  </si>
  <si>
    <t>杭州炬华科技股份有限公司</t>
  </si>
  <si>
    <t>电表</t>
  </si>
  <si>
    <t>三表</t>
  </si>
  <si>
    <t>防窃电</t>
  </si>
  <si>
    <t>张家港华捷电子有限公司</t>
  </si>
  <si>
    <t>约见客户，寻找潜在用量</t>
  </si>
  <si>
    <t>南通新德昇电子科技有限公司</t>
  </si>
  <si>
    <t>深圳市钧敏科技有限公司</t>
  </si>
  <si>
    <t>替代交通</t>
  </si>
  <si>
    <t>电动二轮/三轮</t>
  </si>
  <si>
    <t>深圳市艾华迪技术有限公司</t>
  </si>
  <si>
    <t>驭芯科技（上海）有限公司</t>
  </si>
  <si>
    <t>上海霍通电子有限公司</t>
  </si>
  <si>
    <t>曲轴传感器</t>
  </si>
  <si>
    <t>凸轮轴传感器</t>
  </si>
  <si>
    <t>上海感先汽车传感器有限公司</t>
  </si>
  <si>
    <t>湖北三环汽车电器有限公司</t>
  </si>
  <si>
    <t>SC2462SO-TR-Q</t>
  </si>
  <si>
    <t>SC2432SO-TR-Q</t>
  </si>
  <si>
    <t>重庆睿格汽车部件有限公司</t>
  </si>
  <si>
    <t>湖北开特汽车电子电器股份有限公司</t>
  </si>
  <si>
    <t>敏迅通通信技术（武汉）有限公司</t>
  </si>
  <si>
    <t>freya</t>
  </si>
  <si>
    <t>SC69401DC-SPI-TR-Q</t>
  </si>
  <si>
    <t>翰昂</t>
  </si>
  <si>
    <t>打样</t>
  </si>
  <si>
    <t>Serge</t>
  </si>
  <si>
    <t>热管理系统</t>
  </si>
  <si>
    <t>电磁水阀</t>
  </si>
  <si>
    <t>翰昂是给宝马奔驰供货，开特反馈预计有1KK的订单预期</t>
  </si>
  <si>
    <t>SC69401DC-SPI3P3-TR-Q</t>
  </si>
  <si>
    <t>武汉艾特艾迪汽车科技有限公司</t>
  </si>
  <si>
    <t>湖北飞耀汽车控制系统有限公司</t>
  </si>
  <si>
    <t>上海岱美汽车内饰件股份有限公司</t>
  </si>
  <si>
    <t>上海佩岭电子科技有限公司</t>
  </si>
  <si>
    <t>建德市五星车业有限公司</t>
  </si>
  <si>
    <t>上海和煦光电科技有限公司</t>
  </si>
  <si>
    <t>SC4643VB-P-BK-Q</t>
  </si>
  <si>
    <t>当下重点推进</t>
  </si>
  <si>
    <t>SC4643VB-S-BK-Q</t>
  </si>
  <si>
    <t>逆变器电流传感器</t>
  </si>
  <si>
    <t>武汉汉升汽车传感系统有限责任公司</t>
  </si>
  <si>
    <t>苏州安连电子有限公司上海第一分公司</t>
  </si>
  <si>
    <t>SC9675IM-TR-Q</t>
  </si>
  <si>
    <t>ATS675</t>
  </si>
  <si>
    <t>SC9625VB-BK</t>
  </si>
  <si>
    <t>TLE4921-5U</t>
  </si>
  <si>
    <t>MLX90217</t>
  </si>
  <si>
    <t>无锡盛邦电子有限公司</t>
  </si>
  <si>
    <t>TLE4924</t>
  </si>
  <si>
    <t>SC9675T3-TR-Q</t>
  </si>
  <si>
    <t>深圳市森世泰科技有限公司</t>
  </si>
  <si>
    <t>十堰合容汽车电器股份有限公司</t>
  </si>
  <si>
    <t>霍尼韦尔（中国)有限公司</t>
  </si>
  <si>
    <t>武汉沃达瑞电子科技有限公司</t>
  </si>
  <si>
    <t>周晓雨</t>
  </si>
  <si>
    <t>SC25898CUB-BK-Q</t>
    <phoneticPr fontId="2" type="noConversion"/>
  </si>
  <si>
    <t>杭州优迈科技有限公司</t>
  </si>
  <si>
    <t>重要客户</t>
    <phoneticPr fontId="2" type="noConversion"/>
  </si>
  <si>
    <t>Ricky</t>
    <phoneticPr fontId="2" type="noConversion"/>
  </si>
  <si>
    <t>广州市中强电子科技有限公司</t>
  </si>
  <si>
    <t>SC60104</t>
    <phoneticPr fontId="2" type="noConversion"/>
  </si>
  <si>
    <t>深圳市泛若电子有限公司</t>
  </si>
  <si>
    <t>SC60340ST-TR</t>
    <phoneticPr fontId="2" type="noConversion"/>
  </si>
  <si>
    <t>变速箱</t>
  </si>
  <si>
    <t>SC4688DC-TR-Q</t>
    <phoneticPr fontId="2" type="noConversion"/>
  </si>
  <si>
    <t>一般客户</t>
    <phoneticPr fontId="2" type="noConversion"/>
  </si>
  <si>
    <t>Freya</t>
    <phoneticPr fontId="2" type="noConversion"/>
  </si>
  <si>
    <t>贾超</t>
    <phoneticPr fontId="2" type="noConversion"/>
  </si>
  <si>
    <t>SC4643VB-Q-DE-40CK-4643</t>
  </si>
  <si>
    <t>电流传感器</t>
  </si>
  <si>
    <t>汽车电子</t>
    <phoneticPr fontId="2" type="noConversion"/>
  </si>
  <si>
    <t>SC4643VB-G-BK-Q</t>
    <phoneticPr fontId="2" type="noConversion"/>
  </si>
  <si>
    <t>SC4643VB-G-Q-DE-40CK-4643</t>
  </si>
  <si>
    <t>送样</t>
    <phoneticPr fontId="2" type="noConversion"/>
  </si>
  <si>
    <t>SC4616UA-10.2NF-CD-90AK-4616</t>
    <phoneticPr fontId="2" type="noConversion"/>
  </si>
  <si>
    <t>电流传感器</t>
    <phoneticPr fontId="2" type="noConversion"/>
  </si>
  <si>
    <t>SPD3242(STC35301)</t>
  </si>
  <si>
    <t>SC69401DC-TR-Q</t>
    <phoneticPr fontId="2" type="noConversion"/>
  </si>
  <si>
    <t>SC69401DC-Q-HD-4XCR-69401</t>
  </si>
  <si>
    <t>SC2498TSO-TR-Q</t>
    <phoneticPr fontId="2" type="noConversion"/>
  </si>
  <si>
    <t>磁性位置传感器</t>
    <phoneticPr fontId="2" type="noConversion"/>
  </si>
  <si>
    <t>SC2498SO-TR-Q</t>
    <phoneticPr fontId="2" type="noConversion"/>
  </si>
  <si>
    <t>SC2498SO-Q-DB-60CR-2498</t>
  </si>
  <si>
    <t>磁性位置传感器</t>
  </si>
  <si>
    <t>贝能电子（上海）有限公司</t>
    <phoneticPr fontId="2" type="noConversion"/>
  </si>
  <si>
    <t>SC2442SO-TR-Q</t>
    <phoneticPr fontId="2" type="noConversion"/>
  </si>
  <si>
    <t>SC2442SO-Q-DB-60CR-2442</t>
  </si>
  <si>
    <t>ZH6338</t>
  </si>
  <si>
    <t>项目丢失</t>
  </si>
  <si>
    <t>目前驱动类产品客户供应商太多，暂时不会考虑</t>
  </si>
  <si>
    <t>A5947</t>
  </si>
  <si>
    <t>SC2438SO-TR</t>
    <phoneticPr fontId="2" type="noConversion"/>
  </si>
  <si>
    <t>SC2438SO-CM-10CR-2438</t>
  </si>
  <si>
    <t>SC2434SO-N-TR</t>
    <phoneticPr fontId="2" type="noConversion"/>
  </si>
  <si>
    <t>SC2434SO-N-CI-10CR-2434</t>
  </si>
  <si>
    <t>SC2402SO-N-TR</t>
    <phoneticPr fontId="2" type="noConversion"/>
  </si>
  <si>
    <t>SC2402SO-N-CJ-90NR-2402</t>
  </si>
  <si>
    <t>SC2064SO-TR</t>
    <phoneticPr fontId="2" type="noConversion"/>
  </si>
  <si>
    <t>SC2064SO-GC-00NR-2064</t>
  </si>
  <si>
    <t>SC2402UA-BK</t>
    <phoneticPr fontId="2" type="noConversion"/>
  </si>
  <si>
    <t>SC2402UA-CJ-90AK-2402</t>
  </si>
  <si>
    <t>SC4643VB-Q-DE-40CK-FFH-L43</t>
    <phoneticPr fontId="2" type="noConversion"/>
  </si>
  <si>
    <t>SC4643VB-TR-Q</t>
    <phoneticPr fontId="2" type="noConversion"/>
  </si>
  <si>
    <t>SC4643VB-Q-DE-40CR-FFH-L43</t>
    <phoneticPr fontId="2" type="noConversion"/>
  </si>
  <si>
    <t>SC2498CUA-N-BK-Q</t>
    <phoneticPr fontId="2" type="noConversion"/>
  </si>
  <si>
    <t>SC2498CUA-N-Q-DB-60CK-2498C</t>
    <phoneticPr fontId="2" type="noConversion"/>
  </si>
  <si>
    <t>SC2498CUA-N-Q-DB-60AK-2498C</t>
  </si>
  <si>
    <t>SC2448SO-Q-DB-60CR-2448</t>
  </si>
  <si>
    <t>SC2063SO-TR</t>
    <phoneticPr fontId="2" type="noConversion"/>
  </si>
  <si>
    <t>SC2063SO-GC-00NR-2063</t>
  </si>
  <si>
    <t>SC2462SO-TR</t>
    <phoneticPr fontId="2" type="noConversion"/>
  </si>
  <si>
    <t>SC2462SO-CJ-10CR-2462</t>
    <phoneticPr fontId="2" type="noConversion"/>
  </si>
  <si>
    <t>战略客户</t>
    <phoneticPr fontId="2" type="noConversion"/>
  </si>
  <si>
    <t>SC2498UA-N-Q-DB-60AK-2498</t>
  </si>
  <si>
    <t>2024年底才大批量</t>
  </si>
  <si>
    <t>比亚迪，广汽</t>
  </si>
  <si>
    <t>资料提报，看日产是否认可推荐</t>
  </si>
  <si>
    <t>N/A</t>
  </si>
  <si>
    <t>SC2448UA-N-BK-Q</t>
    <phoneticPr fontId="2" type="noConversion"/>
  </si>
  <si>
    <t>SC2448UA-N-Q-DB-60AK-2448</t>
  </si>
  <si>
    <t>SC25898CUB-Q-DD-60AK-25898</t>
    <phoneticPr fontId="4" type="noConversion"/>
  </si>
  <si>
    <t>电机驱动</t>
  </si>
  <si>
    <t>SC2466SO-CO-10CR-2466</t>
  </si>
  <si>
    <t>说服客户SC2063试产</t>
    <phoneticPr fontId="2" type="noConversion"/>
  </si>
  <si>
    <t>工业和机器人</t>
    <phoneticPr fontId="2" type="noConversion"/>
  </si>
  <si>
    <t>SC2432SO-N-TR</t>
    <phoneticPr fontId="2" type="noConversion"/>
  </si>
  <si>
    <t>SC2432SO-N-CI-10CR-2432</t>
  </si>
  <si>
    <t>SC1134SO-N-TR</t>
    <phoneticPr fontId="2" type="noConversion"/>
  </si>
  <si>
    <t>SC1134SO-N-CF-00LR-1134</t>
  </si>
  <si>
    <t>SC1138SO-N-TR-Q</t>
  </si>
  <si>
    <t>SC1138SO-N-Q-CC-00LR-1138</t>
  </si>
  <si>
    <t>深圳市恒瑞灵机电有限公司</t>
  </si>
  <si>
    <t>同上，搭配2466用的，一个电剪刀用4颗（1颗2466 ，3颗1134）</t>
  </si>
  <si>
    <t>MT3303</t>
  </si>
  <si>
    <t>深圳市欧陆通电子有限公司</t>
  </si>
  <si>
    <t>SC1134UA-BK</t>
  </si>
  <si>
    <t>SC1134UA-CI-00AK-1134</t>
  </si>
  <si>
    <t>棉花糖机</t>
  </si>
  <si>
    <t>批量生产，终端是印度，客户工厂也是印度生产</t>
  </si>
  <si>
    <t>工业其他</t>
  </si>
  <si>
    <t>深圳市泰瑞达科技有限公司</t>
  </si>
  <si>
    <t xml:space="preserve">小家电PCBA </t>
  </si>
  <si>
    <t>测试可以，7/1小批试产</t>
  </si>
  <si>
    <t>宁波生久科技有限公司</t>
  </si>
  <si>
    <t>SC2442UA-BK</t>
    <phoneticPr fontId="2" type="noConversion"/>
  </si>
  <si>
    <t>SC2442UA-CP-10AK-U18</t>
  </si>
  <si>
    <t>散热风扇</t>
  </si>
  <si>
    <t>客户评估阶段，导入国产需要审核。下一步送样测试</t>
  </si>
  <si>
    <t>电机电控</t>
  </si>
  <si>
    <t>无刷电机</t>
  </si>
  <si>
    <t>深圳市华夏恒泰电子有限公司</t>
  </si>
  <si>
    <t>约见高层，推进赛卓品牌</t>
  </si>
  <si>
    <t>工业接近开关</t>
  </si>
  <si>
    <t>东莞市润达散热风扇有限公司</t>
  </si>
  <si>
    <t>已经小批，等客户终端订单</t>
  </si>
  <si>
    <t>东莞市诺尔电器有限公司</t>
  </si>
  <si>
    <t>料理机</t>
  </si>
  <si>
    <t>批量生产，贴片型号需要原厂重新匹配</t>
  </si>
  <si>
    <t>接近开关</t>
  </si>
  <si>
    <t>SC2443SO-TR-Q</t>
    <phoneticPr fontId="2" type="noConversion"/>
  </si>
  <si>
    <t>SC2443SO-Q-DB-60CR-2443</t>
    <phoneticPr fontId="2" type="noConversion"/>
  </si>
  <si>
    <t>SC1245SO-N-TR</t>
    <phoneticPr fontId="2" type="noConversion"/>
  </si>
  <si>
    <t>SC1245SO-N-CD-00NR-1245</t>
  </si>
  <si>
    <t>东莞维斗东方科技有限公司</t>
  </si>
  <si>
    <t>座椅风扇项目</t>
  </si>
  <si>
    <t>客户测试OK ,已经小批试产</t>
  </si>
  <si>
    <t>肇庆市众凯机电有限公司</t>
    <phoneticPr fontId="2" type="noConversion"/>
  </si>
  <si>
    <t>电动撑杆</t>
    <phoneticPr fontId="2" type="noConversion"/>
  </si>
  <si>
    <t>工业电机</t>
  </si>
  <si>
    <t>工业电机电控</t>
  </si>
  <si>
    <t>约见客户，确定实际用量情况</t>
    <phoneticPr fontId="2" type="noConversion"/>
  </si>
  <si>
    <t>SC2466SO-TR</t>
    <phoneticPr fontId="2" type="noConversion"/>
  </si>
  <si>
    <t>SC2466SO-CO-10CR-2466</t>
    <phoneticPr fontId="2" type="noConversion"/>
  </si>
  <si>
    <t>金华市聚杰电器有限公司</t>
  </si>
  <si>
    <t>宁波瑞霖机械科技有限公司</t>
  </si>
  <si>
    <t>SC4001SE-TR</t>
  </si>
  <si>
    <t>SC4001SE-CB-90CR-4001</t>
  </si>
  <si>
    <t>宁波友博电子有限公司</t>
  </si>
  <si>
    <t>深圳市钧敏科技有限公司</t>
    <phoneticPr fontId="2" type="noConversion"/>
  </si>
  <si>
    <t>SC2442SO-N-TR</t>
    <phoneticPr fontId="2" type="noConversion"/>
  </si>
  <si>
    <t>SC2442SO-N-CP-10CR-2442</t>
  </si>
  <si>
    <t xml:space="preserve">	珠海创伟领航科技有限公司</t>
    <phoneticPr fontId="2" type="noConversion"/>
  </si>
  <si>
    <t>榨汁机</t>
    <phoneticPr fontId="2" type="noConversion"/>
  </si>
  <si>
    <t>批量</t>
    <phoneticPr fontId="2" type="noConversion"/>
  </si>
  <si>
    <t>无</t>
    <phoneticPr fontId="2" type="noConversion"/>
  </si>
  <si>
    <t>电动工具</t>
    <phoneticPr fontId="2" type="noConversion"/>
  </si>
  <si>
    <t>电动工具位置开关</t>
    <phoneticPr fontId="2" type="noConversion"/>
  </si>
  <si>
    <t>深圳市方力洋科技有限公司</t>
    <phoneticPr fontId="2" type="noConversion"/>
  </si>
  <si>
    <t>电动剪刀</t>
    <phoneticPr fontId="2" type="noConversion"/>
  </si>
  <si>
    <t>小批量</t>
    <phoneticPr fontId="2" type="noConversion"/>
  </si>
  <si>
    <t>威廉姆斯（苏州）控制系统有限公司</t>
  </si>
  <si>
    <t>上海亿韧电子有限公司</t>
  </si>
  <si>
    <t>SC4688DC-Q-DC-40CR-4688</t>
    <phoneticPr fontId="2" type="noConversion"/>
  </si>
  <si>
    <t>角度传感器</t>
  </si>
  <si>
    <t>三合一电驱</t>
    <phoneticPr fontId="2" type="noConversion"/>
  </si>
  <si>
    <t>量产</t>
    <phoneticPr fontId="2" type="noConversion"/>
  </si>
  <si>
    <t>SC4645VB-BK</t>
  </si>
  <si>
    <t>SC4645VB-DF-00CK-4645</t>
  </si>
  <si>
    <t>艾菲汽车零部件（武汉）有限公司</t>
  </si>
  <si>
    <t>SC9621VB-BK</t>
  </si>
  <si>
    <t>SC9621VB-CF-00CK-9621</t>
  </si>
  <si>
    <t>速度传感器</t>
    <phoneticPr fontId="2" type="noConversion"/>
  </si>
  <si>
    <t>SC9675IM-Q-AB-4XAR-9675</t>
  </si>
  <si>
    <t>凸轮轴传感器</t>
    <phoneticPr fontId="2" type="noConversion"/>
  </si>
  <si>
    <t>评估</t>
    <phoneticPr fontId="2" type="noConversion"/>
  </si>
  <si>
    <t>张翼虎</t>
    <phoneticPr fontId="2" type="noConversion"/>
  </si>
  <si>
    <t>SC9314UA-BK</t>
    <phoneticPr fontId="2" type="noConversion"/>
  </si>
  <si>
    <t>SC9314UA-CF-0XAK-9209</t>
  </si>
  <si>
    <t>速度传感器</t>
  </si>
  <si>
    <t>SC9314UA-CF-0XAK-9201L</t>
  </si>
  <si>
    <t>SC9625VB-CE-00CK-9625L</t>
  </si>
  <si>
    <t>SC9675IM-HRF00-TR-Q</t>
  </si>
  <si>
    <t>SC9675IM-HRF00-Q-AB-4XAR-9675</t>
  </si>
  <si>
    <t>SC9675IM-LRF01-TR-Q</t>
    <phoneticPr fontId="2" type="noConversion"/>
  </si>
  <si>
    <t>SC9675IM-LRF01-Q-AB-4XAR-9675</t>
  </si>
  <si>
    <t>焦志军</t>
    <phoneticPr fontId="2" type="noConversion"/>
  </si>
  <si>
    <t>SC2462SO-Q-CJ-10CR-2462</t>
  </si>
  <si>
    <t>油电口盖</t>
    <phoneticPr fontId="2" type="noConversion"/>
  </si>
  <si>
    <t>样品测试完成</t>
    <phoneticPr fontId="2" type="noConversion"/>
  </si>
  <si>
    <t>SC2432SO-Q-CM-10CR-2432</t>
  </si>
  <si>
    <t>换挡器</t>
    <phoneticPr fontId="2" type="noConversion"/>
  </si>
  <si>
    <t>凡莹</t>
    <phoneticPr fontId="2" type="noConversion"/>
  </si>
  <si>
    <t>SC1134SO-N-TR-Q</t>
    <phoneticPr fontId="2" type="noConversion"/>
  </si>
  <si>
    <t>SC1134SO-N-Q-CI-00LR-1134</t>
  </si>
  <si>
    <t>商用车换挡器</t>
    <phoneticPr fontId="2" type="noConversion"/>
  </si>
  <si>
    <t>SC2436SO-TR-Q</t>
    <phoneticPr fontId="2" type="noConversion"/>
  </si>
  <si>
    <t>SC2436SO-CM-10CR-2436</t>
  </si>
  <si>
    <t>SC69401DC-SPI-Q-HD-4XCR-69401</t>
  </si>
  <si>
    <t>工程车辆遥感</t>
    <phoneticPr fontId="2" type="noConversion"/>
  </si>
  <si>
    <t>SC2438SO-TR-Q</t>
    <phoneticPr fontId="2" type="noConversion"/>
  </si>
  <si>
    <t>SC2438SO-Q-CM-10CR-2438</t>
  </si>
  <si>
    <t>朱一</t>
    <phoneticPr fontId="2" type="noConversion"/>
  </si>
  <si>
    <t>化妆镜位置检测</t>
    <phoneticPr fontId="2" type="noConversion"/>
  </si>
  <si>
    <t>上海和煦光电科技有限公司</t>
    <phoneticPr fontId="2" type="noConversion"/>
  </si>
  <si>
    <t>陈云</t>
    <phoneticPr fontId="2" type="noConversion"/>
  </si>
  <si>
    <t>SC4019S7-BK</t>
    <phoneticPr fontId="2" type="noConversion"/>
  </si>
  <si>
    <t>SC4019S7-CC-90AK-49E</t>
  </si>
  <si>
    <t>电动车转板</t>
    <phoneticPr fontId="2" type="noConversion"/>
  </si>
  <si>
    <t>武汉盛势启创科技有限公司</t>
  </si>
  <si>
    <t>鸿赛芯（上海）科技有限公司</t>
    <phoneticPr fontId="5" type="noConversion"/>
  </si>
  <si>
    <t>袁海峰</t>
    <phoneticPr fontId="2" type="noConversion"/>
  </si>
  <si>
    <t>SC4643VB-S-Q-DE-40CK-4643</t>
  </si>
  <si>
    <t>SC4643VB-P-Q-DE-40CK-4643</t>
  </si>
  <si>
    <t>江西昱恩电子技术有限公司</t>
    <phoneticPr fontId="2" type="noConversion"/>
  </si>
  <si>
    <t>鸿赛芯（上海）科技有限公司</t>
    <phoneticPr fontId="2" type="noConversion"/>
  </si>
  <si>
    <t>SC4643VB-P-BK-Q</t>
    <phoneticPr fontId="2" type="noConversion"/>
  </si>
  <si>
    <t>电控电流传感器</t>
    <phoneticPr fontId="2" type="noConversion"/>
  </si>
  <si>
    <t>前装送样</t>
    <phoneticPr fontId="2" type="noConversion"/>
  </si>
  <si>
    <t>SC4643VB-S-BK-Q</t>
    <phoneticPr fontId="2" type="noConversion"/>
  </si>
  <si>
    <t>宁波永信汽车部件股份有限公司</t>
    <phoneticPr fontId="2" type="noConversion"/>
  </si>
  <si>
    <t>换挡执行器</t>
    <phoneticPr fontId="2" type="noConversion"/>
  </si>
  <si>
    <t>技术交流</t>
    <phoneticPr fontId="2" type="noConversion"/>
  </si>
  <si>
    <t>浙江科博达工业有限公司</t>
  </si>
  <si>
    <t>苏州安连电子有限公司上海第一分公司</t>
    <phoneticPr fontId="2" type="noConversion"/>
  </si>
  <si>
    <t>何梁辉</t>
    <phoneticPr fontId="2" type="noConversion"/>
  </si>
  <si>
    <t>电子节气门体</t>
    <phoneticPr fontId="2" type="noConversion"/>
  </si>
  <si>
    <t>SC4688SA-BK-Q</t>
    <phoneticPr fontId="2" type="noConversion"/>
  </si>
  <si>
    <t>SC4688SA-Q-DC-40CK-4688</t>
  </si>
  <si>
    <t>位移传感器</t>
    <phoneticPr fontId="2" type="noConversion"/>
  </si>
  <si>
    <t>SC9675IM-TR-Q</t>
    <phoneticPr fontId="2" type="noConversion"/>
  </si>
  <si>
    <t>凸轮轴相位传感器</t>
    <phoneticPr fontId="2" type="noConversion"/>
  </si>
  <si>
    <t>曲轴位置传感器</t>
    <phoneticPr fontId="2" type="noConversion"/>
  </si>
  <si>
    <t>SC9314UA-BK-Q</t>
    <phoneticPr fontId="2" type="noConversion"/>
  </si>
  <si>
    <t>SC9314UA-Q-CF-0XAK-94M</t>
  </si>
  <si>
    <t>用在长柴商用车项目</t>
    <phoneticPr fontId="2" type="noConversion"/>
  </si>
  <si>
    <t>SC9675T3-Q-AB-4XAR-9675</t>
  </si>
  <si>
    <t>客户成本压力高，客户准备用SC9675TS做潍柴项目，需要赛卓给出磁铁方案，可能需要赛卓编好程出货给他们，另外需要仿真支持</t>
    <phoneticPr fontId="2" type="noConversion"/>
  </si>
  <si>
    <t>苏州微测电子有限公司</t>
  </si>
  <si>
    <t>SC9642TS-EC-TR-Q</t>
  </si>
  <si>
    <t>SC9642TS-EC-Q-AH-4XLR-9642</t>
  </si>
  <si>
    <t>ABS轮速传感器</t>
    <phoneticPr fontId="2" type="noConversion"/>
  </si>
  <si>
    <t>SC69401HS-SPI-TR-Q</t>
  </si>
  <si>
    <t>SC69401HS-SPI-Q-HD-4XTR-69401</t>
  </si>
  <si>
    <t>SC4643VB-P-TR-Q</t>
    <phoneticPr fontId="2" type="noConversion"/>
  </si>
  <si>
    <t>SC4643VB-P-Q-DE-40CR-4643</t>
  </si>
  <si>
    <t>湖北瑞磁科技有限公司</t>
  </si>
  <si>
    <t>贝能电子（上海）有限公司</t>
  </si>
  <si>
    <t>张雨泽</t>
    <phoneticPr fontId="2" type="noConversion"/>
  </si>
  <si>
    <t>SC4643VB-S-Q-DE-40CK-4643</t>
    <phoneticPr fontId="2" type="noConversion"/>
  </si>
  <si>
    <t>宜美科技集团有限公司</t>
  </si>
  <si>
    <t>SC2063SO-GC-00NR-2063</t>
    <phoneticPr fontId="2" type="noConversion"/>
  </si>
  <si>
    <t>上海博邦汽车技术有限公司</t>
    <phoneticPr fontId="2" type="noConversion"/>
  </si>
  <si>
    <t>上海碧讯实业有限公司</t>
    <phoneticPr fontId="2" type="noConversion"/>
  </si>
  <si>
    <t>Leo</t>
    <phoneticPr fontId="2" type="noConversion"/>
  </si>
  <si>
    <t>吕斐</t>
    <phoneticPr fontId="2" type="noConversion"/>
  </si>
  <si>
    <t>500W的气泵无刷电机，（OEM奇瑞）</t>
    <phoneticPr fontId="2" type="noConversion"/>
  </si>
  <si>
    <t>250509：已经按照18K的月需求滚动备料，5月开始拉动，实际以保隆采购下单为准；但是现在碧讯有54K库存，已经够用。（5，6，7月用库存即可）</t>
    <phoneticPr fontId="2" type="noConversion"/>
  </si>
  <si>
    <t>TLE4961-1M</t>
  </si>
  <si>
    <t>底盘电子</t>
  </si>
  <si>
    <t>悬架系统</t>
  </si>
  <si>
    <t>车身高度传感器</t>
  </si>
  <si>
    <t>天窗电机（OEM蔚来）</t>
    <phoneticPr fontId="2" type="noConversion"/>
  </si>
  <si>
    <t>250509：项目等待中，暂无更新</t>
    <phoneticPr fontId="2" type="noConversion"/>
  </si>
  <si>
    <t>MLX92211BAA-202</t>
  </si>
  <si>
    <t>浙江泰米电子科技有限公司</t>
    <phoneticPr fontId="2" type="noConversion"/>
  </si>
  <si>
    <t>SC9641TS-P-TR</t>
    <phoneticPr fontId="2" type="noConversion"/>
  </si>
  <si>
    <t>SC9641TS-P-AI-10AR-41CPA</t>
  </si>
  <si>
    <t>9641/70K每月</t>
    <phoneticPr fontId="2" type="noConversion"/>
  </si>
  <si>
    <t>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  <phoneticPr fontId="2" type="noConversion"/>
  </si>
  <si>
    <t>SC9642TS-E-TR-Q</t>
    <phoneticPr fontId="2" type="noConversion"/>
  </si>
  <si>
    <t>SC9642TS-E-Q-AH-4XLR-9642</t>
  </si>
  <si>
    <t>9642/3K每月</t>
    <phoneticPr fontId="2" type="noConversion"/>
  </si>
  <si>
    <t>250509：年降25%，赛卓谈定只承担原厂10%，其他由碧讯搞定
250425：节后和代理商一同去客户正式拜访
250418：上周转移到Leo这，发了一次订单</t>
    <phoneticPr fontId="2" type="noConversion"/>
  </si>
  <si>
    <t>9621/1K每月</t>
    <phoneticPr fontId="2" type="noConversion"/>
  </si>
  <si>
    <t>250509：年降25%，不同意降价
250425：节后和代理商一同去客户正式拜访
250418：上周转移到Leo这，发了一次订单</t>
    <phoneticPr fontId="2" type="noConversion"/>
  </si>
  <si>
    <t>SC9314UA-CF-0XAK-94M</t>
    <phoneticPr fontId="2" type="noConversion"/>
  </si>
  <si>
    <t>SC9685TS-RP120-TR-Q</t>
    <phoneticPr fontId="2" type="noConversion"/>
  </si>
  <si>
    <t>SC9685TS-RP120-Q-DB-46AR-96852</t>
    <phoneticPr fontId="2" type="noConversion"/>
  </si>
  <si>
    <t>杭州临安天隆电子有限公司</t>
    <phoneticPr fontId="2" type="noConversion"/>
  </si>
  <si>
    <t>上海霍通电子有限公司</t>
    <phoneticPr fontId="2" type="noConversion"/>
  </si>
  <si>
    <t>张翼鹏</t>
    <phoneticPr fontId="2" type="noConversion"/>
  </si>
  <si>
    <t>SC9642TS-E362-Q-AH-4XLR-9642</t>
    <phoneticPr fontId="2" type="noConversion"/>
  </si>
  <si>
    <t>250509：5-26那周周和代理商一同去客户正式拜访
20240418：已通知代理商，从5月1日起开始封装切换至佛山蓝箭</t>
    <phoneticPr fontId="2" type="noConversion"/>
  </si>
  <si>
    <t>长安汽车</t>
    <phoneticPr fontId="2" type="noConversion"/>
  </si>
  <si>
    <t>SC9641TS-P-TR-Q</t>
    <phoneticPr fontId="2" type="noConversion"/>
  </si>
  <si>
    <t>SC9641TS-P-Q-AI-10LR-9641P</t>
    <phoneticPr fontId="2" type="noConversion"/>
  </si>
  <si>
    <t>1部</t>
    <phoneticPr fontId="2" type="noConversion"/>
  </si>
  <si>
    <t>上海昕荧科技有限公司</t>
    <phoneticPr fontId="2" type="noConversion"/>
  </si>
  <si>
    <t>上海众知晓电子科技有限公司</t>
    <phoneticPr fontId="2" type="noConversion"/>
  </si>
  <si>
    <t>赵书晓</t>
    <phoneticPr fontId="2" type="noConversion"/>
  </si>
  <si>
    <t>250509：正常供货；但4688没有断线检测，又重新送了4689的样去救场。</t>
    <phoneticPr fontId="2" type="noConversion"/>
  </si>
  <si>
    <t>HAL888/ FI6710</t>
    <phoneticPr fontId="2" type="noConversion"/>
  </si>
  <si>
    <t>拨叉位置传感器</t>
  </si>
  <si>
    <t>无锡凌思科技有限公司</t>
    <phoneticPr fontId="2" type="noConversion"/>
  </si>
  <si>
    <t>VE2430QI-33-TR-Q</t>
    <phoneticPr fontId="2" type="noConversion"/>
  </si>
  <si>
    <t>惯性导航</t>
    <phoneticPr fontId="2" type="noConversion"/>
  </si>
  <si>
    <t>NA</t>
    <phoneticPr fontId="2" type="noConversion"/>
  </si>
  <si>
    <t>250509：客户未反馈，状态TBD
无锡凌思已经调通了，现在在准备做高温环境下的稳定性验证,5月份DV,年底PV。</t>
    <phoneticPr fontId="2" type="noConversion"/>
  </si>
  <si>
    <t>4.5-40的XL1509</t>
  </si>
  <si>
    <t>工业与机器人</t>
  </si>
  <si>
    <t>工程机械</t>
  </si>
  <si>
    <t>挖掘机</t>
  </si>
  <si>
    <t>GNSS模块</t>
  </si>
  <si>
    <t>伟巴斯特车顶供暖系统（上海）有限公司</t>
    <phoneticPr fontId="2" type="noConversion"/>
  </si>
  <si>
    <t>深圳市道合顺网络有限公司</t>
    <phoneticPr fontId="2" type="noConversion"/>
  </si>
  <si>
    <t>韩晓锐</t>
    <phoneticPr fontId="2" type="noConversion"/>
  </si>
  <si>
    <t>SC2448SO-TR-Q</t>
    <phoneticPr fontId="2" type="noConversion"/>
  </si>
  <si>
    <t>天窗控制器</t>
    <phoneticPr fontId="2" type="noConversion"/>
  </si>
  <si>
    <t>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  <phoneticPr fontId="2" type="noConversion"/>
  </si>
  <si>
    <t>A1221</t>
  </si>
  <si>
    <t>天窗总成</t>
  </si>
  <si>
    <t>天窗电机控制器</t>
  </si>
  <si>
    <t>L946</t>
  </si>
  <si>
    <t>5年</t>
  </si>
  <si>
    <t>上海禾赛科技有限公司</t>
    <phoneticPr fontId="2" type="noConversion"/>
  </si>
  <si>
    <t>上海全一通讯技术有限公司</t>
    <phoneticPr fontId="2" type="noConversion"/>
  </si>
  <si>
    <t>邬亮峰</t>
    <phoneticPr fontId="2" type="noConversion"/>
  </si>
  <si>
    <t>SC2442SO-N-TR-Q</t>
    <phoneticPr fontId="2" type="noConversion"/>
  </si>
  <si>
    <t>SC2442SO-N-Q-DB-60CR-2442</t>
  </si>
  <si>
    <t>Lindar</t>
    <phoneticPr fontId="2" type="noConversion"/>
  </si>
  <si>
    <t>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  <phoneticPr fontId="2" type="noConversion"/>
  </si>
  <si>
    <t>MT836X</t>
  </si>
  <si>
    <t>其他</t>
  </si>
  <si>
    <t>激光雷达执行器</t>
  </si>
  <si>
    <t>比亚迪半导体股份有限公司</t>
    <phoneticPr fontId="2" type="noConversion"/>
  </si>
  <si>
    <t>Stephen</t>
    <phoneticPr fontId="2" type="noConversion"/>
  </si>
  <si>
    <t>SC4643SA-BK-Q</t>
    <phoneticPr fontId="2" type="noConversion"/>
  </si>
  <si>
    <t>SC4643SA-Q-DE-40HK-2100</t>
  </si>
  <si>
    <t>SC4643SA-HBL-BK-Q</t>
    <phoneticPr fontId="2" type="noConversion"/>
  </si>
  <si>
    <t>SC4643SA-HBL-Q-DE-40HK-2100</t>
  </si>
  <si>
    <t>SC4643SA-S-TR-Q</t>
    <phoneticPr fontId="2" type="noConversion"/>
  </si>
  <si>
    <t>SC4643SA-S-Q-DE-40HR-2100</t>
  </si>
  <si>
    <t>上海龙感汽车电子有限公司</t>
    <phoneticPr fontId="2" type="noConversion"/>
  </si>
  <si>
    <t>上海君芷电子科技有限公司</t>
    <phoneticPr fontId="2" type="noConversion"/>
  </si>
  <si>
    <t>黄慧</t>
    <phoneticPr fontId="2" type="noConversion"/>
  </si>
  <si>
    <t>SC9641TS-PC-TR-Q</t>
    <phoneticPr fontId="2" type="noConversion"/>
  </si>
  <si>
    <t>SC9641TS-PC-Q-AI-10LR-9641PC</t>
  </si>
  <si>
    <t>SC9642TS-EC-TR-Q</t>
    <phoneticPr fontId="2" type="noConversion"/>
  </si>
  <si>
    <t>上海文襄汽车传感器有限公司</t>
    <phoneticPr fontId="2" type="noConversion"/>
  </si>
  <si>
    <t>SC4643VB-BK-Q</t>
    <phoneticPr fontId="2" type="noConversion"/>
  </si>
  <si>
    <t>陆博汽车电子（曲阜）有限公司</t>
    <phoneticPr fontId="2" type="noConversion"/>
  </si>
  <si>
    <t>常州迈莱芯电子有限公司</t>
    <phoneticPr fontId="2" type="noConversion"/>
  </si>
  <si>
    <t>王健</t>
    <phoneticPr fontId="2" type="noConversion"/>
  </si>
  <si>
    <t>SC9642TS-TR-Q</t>
    <phoneticPr fontId="2" type="noConversion"/>
  </si>
  <si>
    <t>SC9642TS-Q-AG-4XHK-9642</t>
  </si>
  <si>
    <t>SC9641TS-TR-Q</t>
    <phoneticPr fontId="2" type="noConversion"/>
  </si>
  <si>
    <t>SC9641TS-Q-CB-10LR-9641</t>
  </si>
  <si>
    <t>黄山辛贤汽车电子有限公司</t>
    <phoneticPr fontId="2" type="noConversion"/>
  </si>
  <si>
    <t>无锡摩芯半导体有限公司</t>
    <phoneticPr fontId="2" type="noConversion"/>
  </si>
  <si>
    <t>王伟强</t>
    <phoneticPr fontId="2" type="noConversion"/>
  </si>
  <si>
    <t>浙江亚特电器股份有限公司</t>
    <phoneticPr fontId="2" type="noConversion"/>
  </si>
  <si>
    <t>欧铂电子科技（上海）有限公司</t>
    <phoneticPr fontId="2" type="noConversion"/>
  </si>
  <si>
    <t>天域智控科技（上海）科技有限公司</t>
    <phoneticPr fontId="2" type="noConversion"/>
  </si>
  <si>
    <t>SC2442SO-N-Q-CP-10CR-2442</t>
    <phoneticPr fontId="2" type="noConversion"/>
  </si>
  <si>
    <t>天窗电机控制器</t>
    <phoneticPr fontId="2" type="noConversion"/>
  </si>
  <si>
    <t>上海艾铭思汽车控制系统有限公司</t>
    <phoneticPr fontId="2" type="noConversion"/>
  </si>
  <si>
    <t>瑞悍电子科技（上海）有限公司</t>
    <phoneticPr fontId="2" type="noConversion"/>
  </si>
  <si>
    <t>浙江帆舟电子科技有限公司</t>
    <phoneticPr fontId="2" type="noConversion"/>
  </si>
  <si>
    <t>车窗防夹电机</t>
    <phoneticPr fontId="2" type="noConversion"/>
  </si>
  <si>
    <t>昌辉汽车电器（黄山）股份公司</t>
    <phoneticPr fontId="2" type="noConversion"/>
  </si>
  <si>
    <t>SC2432SO-TR-Q</t>
    <phoneticPr fontId="2" type="noConversion"/>
  </si>
  <si>
    <t>组合开关</t>
    <phoneticPr fontId="2" type="noConversion"/>
  </si>
  <si>
    <t>黄山市瑞兴汽车电子有限公司</t>
    <phoneticPr fontId="2" type="noConversion"/>
  </si>
  <si>
    <t>A</t>
    <phoneticPr fontId="2" type="noConversion"/>
  </si>
  <si>
    <t>电子换挡器</t>
    <phoneticPr fontId="2" type="noConversion"/>
  </si>
  <si>
    <t>宁波拓普集团股份有限公司</t>
    <phoneticPr fontId="2" type="noConversion"/>
  </si>
  <si>
    <t>SC2443UA-BK-Q</t>
    <phoneticPr fontId="2" type="noConversion"/>
  </si>
  <si>
    <t>SC2443UA-Q-DB-60AK-2443</t>
    <phoneticPr fontId="2" type="noConversion"/>
  </si>
  <si>
    <t>东莞市铱鑫电子科技有限公司</t>
    <phoneticPr fontId="2" type="noConversion"/>
  </si>
  <si>
    <t>SC2242SO-TR-Q</t>
    <phoneticPr fontId="2" type="noConversion"/>
  </si>
  <si>
    <t>SC2242SO-Q-CH-10CR-2642</t>
  </si>
  <si>
    <t>水流量传感器</t>
    <phoneticPr fontId="2" type="noConversion"/>
  </si>
  <si>
    <t xml:space="preserve">	德惠市北方汽车底盘零部件有限公司</t>
    <phoneticPr fontId="2" type="noConversion"/>
  </si>
  <si>
    <t>制动灯传感器</t>
    <phoneticPr fontId="2" type="noConversion"/>
  </si>
  <si>
    <t>宁波新思创机电科技有限公司</t>
    <phoneticPr fontId="2" type="noConversion"/>
  </si>
  <si>
    <t>SC9683TS-TR-Q</t>
    <phoneticPr fontId="2" type="noConversion"/>
  </si>
  <si>
    <t>SC9683TS-Q-DB-4XAR-9683</t>
    <phoneticPr fontId="2" type="noConversion"/>
  </si>
  <si>
    <t>SC9642TS-EC-Q-AH-4XLR-9642</t>
    <phoneticPr fontId="2" type="noConversion"/>
  </si>
  <si>
    <t>合肥邦立电子股份有限公司</t>
    <phoneticPr fontId="2" type="noConversion"/>
  </si>
  <si>
    <t>广州瑞立科密汽车电子股份有限公司</t>
    <phoneticPr fontId="2" type="noConversion"/>
  </si>
  <si>
    <t>领联汽车零部件制造（上海）有限公司</t>
    <phoneticPr fontId="2" type="noConversion"/>
  </si>
  <si>
    <t>利奥电子(南京)有限公司</t>
    <phoneticPr fontId="2" type="noConversion"/>
  </si>
  <si>
    <t>重庆佳速汽车零部件有限公司</t>
    <phoneticPr fontId="2" type="noConversion"/>
  </si>
  <si>
    <t>SC4689SA-BK-Q</t>
    <phoneticPr fontId="2" type="noConversion"/>
  </si>
  <si>
    <t>SC4689SA-Q-DF-40CK-4689</t>
  </si>
  <si>
    <t>电子油门踏板</t>
    <phoneticPr fontId="2" type="noConversion"/>
  </si>
  <si>
    <t>瑞安市金洲汽车配件有限公司</t>
    <phoneticPr fontId="2" type="noConversion"/>
  </si>
  <si>
    <t>SC9648TS-TR</t>
    <phoneticPr fontId="2" type="noConversion"/>
  </si>
  <si>
    <t>SC9648TS-AI-10AR-9648</t>
  </si>
  <si>
    <t>浙江科丰传感器股份有限公司</t>
    <phoneticPr fontId="2" type="noConversion"/>
  </si>
  <si>
    <t>宿州奥凯森汽车部件有限公司</t>
    <phoneticPr fontId="2" type="noConversion"/>
  </si>
  <si>
    <t>凯晟动力技术（嘉兴）有限公司</t>
    <phoneticPr fontId="2" type="noConversion"/>
  </si>
  <si>
    <t>上海聚臣电子科技有限公司</t>
    <phoneticPr fontId="2" type="noConversion"/>
  </si>
  <si>
    <t>张伟</t>
    <phoneticPr fontId="2" type="noConversion"/>
  </si>
  <si>
    <t>SC9641TS-362-Q-CB-10LR-9641</t>
    <phoneticPr fontId="2" type="noConversion"/>
  </si>
  <si>
    <t>麦格纳（太仓）汽车科技有限公司</t>
    <phoneticPr fontId="2" type="noConversion"/>
  </si>
  <si>
    <t>尾门电机</t>
    <phoneticPr fontId="2" type="noConversion"/>
  </si>
  <si>
    <t>上海新跃联汇电子科技有限公司</t>
    <phoneticPr fontId="2" type="noConversion"/>
  </si>
  <si>
    <t>上海葳脉电子科技有限公司</t>
    <phoneticPr fontId="2" type="noConversion"/>
  </si>
  <si>
    <t>Y</t>
    <phoneticPr fontId="2" type="noConversion"/>
  </si>
  <si>
    <t>京山雪乾汽车部件有限公司</t>
    <phoneticPr fontId="2" type="noConversion"/>
  </si>
  <si>
    <t>上海凯众材料科技股份有限公司</t>
    <phoneticPr fontId="2" type="noConversion"/>
  </si>
  <si>
    <t>SC69401HS-TR-Q</t>
    <phoneticPr fontId="2" type="noConversion"/>
  </si>
  <si>
    <t>SC69401HS-Q-HD-4XTR-69401</t>
  </si>
  <si>
    <t>瑞安瑞派汽车部件有限公司</t>
    <phoneticPr fontId="2" type="noConversion"/>
  </si>
  <si>
    <t>SC9314UA-CF-0XAK-94M</t>
  </si>
  <si>
    <t>瑞安东辰汽车部件有限公司</t>
    <phoneticPr fontId="2" type="noConversion"/>
  </si>
  <si>
    <t>车身高度传感器</t>
    <phoneticPr fontId="2" type="noConversion"/>
  </si>
  <si>
    <t>SC1134UA-BK</t>
    <phoneticPr fontId="2" type="noConversion"/>
  </si>
  <si>
    <t>SC2442UA-CP-10AK-2442</t>
    <phoneticPr fontId="2" type="noConversion"/>
  </si>
  <si>
    <t>瑞安江和汽车部件有限公司</t>
    <phoneticPr fontId="2" type="noConversion"/>
  </si>
  <si>
    <t>SC9684TS-TR-Q</t>
    <phoneticPr fontId="2" type="noConversion"/>
  </si>
  <si>
    <t>SC9684TS-Q-DB-4XAR-9684</t>
  </si>
  <si>
    <t>SC2442SO-TR</t>
    <phoneticPr fontId="2" type="noConversion"/>
  </si>
  <si>
    <t>SC2442SO-CR-10CR-2442</t>
  </si>
  <si>
    <t>进气歧管执行器</t>
    <phoneticPr fontId="2" type="noConversion"/>
  </si>
  <si>
    <t>瑞安泽纳科技有限公司</t>
    <phoneticPr fontId="2" type="noConversion"/>
  </si>
  <si>
    <t>上海金巨源热能技术有限公司</t>
    <phoneticPr fontId="2" type="noConversion"/>
  </si>
  <si>
    <t>SC2402SO-N-GA-00NR-2402</t>
  </si>
  <si>
    <t>浙江汉博汽车传感器有限公司</t>
    <phoneticPr fontId="2" type="noConversion"/>
  </si>
  <si>
    <t>浙江瑞奇汽车电子有限公司</t>
    <phoneticPr fontId="2" type="noConversion"/>
  </si>
  <si>
    <t>温州伟力汽车部件有限公司</t>
    <phoneticPr fontId="2" type="noConversion"/>
  </si>
  <si>
    <t>SC9625VB-BK</t>
    <phoneticPr fontId="2" type="noConversion"/>
  </si>
  <si>
    <t>SC9625VB-CE-00CK-9625L</t>
    <phoneticPr fontId="2" type="noConversion"/>
  </si>
  <si>
    <t>宁德市沃德汽车配件有限公司</t>
    <phoneticPr fontId="2" type="noConversion"/>
  </si>
  <si>
    <t>SC9621VB-BK</t>
    <phoneticPr fontId="2" type="noConversion"/>
  </si>
  <si>
    <t>浙江汉博汽车传感器有限公司</t>
  </si>
  <si>
    <t>浙江顺加汽车配件有限公司</t>
    <phoneticPr fontId="2" type="noConversion"/>
  </si>
  <si>
    <t>SC9675IM-HRF11-TR-Q</t>
    <phoneticPr fontId="2" type="noConversion"/>
  </si>
  <si>
    <t>SC9675IM-HRF11-Q-AB-4XAR-9675</t>
  </si>
  <si>
    <t>重庆亚川电器有限公司</t>
    <phoneticPr fontId="2" type="noConversion"/>
  </si>
  <si>
    <t>里程表传感器</t>
    <phoneticPr fontId="2" type="noConversion"/>
  </si>
  <si>
    <t>芜湖联诺电器有限公司</t>
    <phoneticPr fontId="2" type="noConversion"/>
  </si>
  <si>
    <t>浙江可得电子科技有限公司</t>
    <phoneticPr fontId="2" type="noConversion"/>
  </si>
  <si>
    <t>SC9675T3-TR-Q</t>
    <phoneticPr fontId="2" type="noConversion"/>
  </si>
  <si>
    <t>浙江好亚汽车配件有限公司</t>
    <phoneticPr fontId="2" type="noConversion"/>
  </si>
  <si>
    <t>颖晶电子科技(上海)有限公司</t>
    <phoneticPr fontId="2" type="noConversion"/>
  </si>
  <si>
    <t>曾文鼎</t>
    <phoneticPr fontId="2" type="noConversion"/>
  </si>
  <si>
    <t>杭州沃能汽车传感技术有限公司</t>
    <phoneticPr fontId="2" type="noConversion"/>
  </si>
  <si>
    <t>SC9642TS-E-Q-AH-4XLR-9642</t>
    <phoneticPr fontId="2" type="noConversion"/>
  </si>
  <si>
    <t>浙江卓瑞控制系统有限公司</t>
    <phoneticPr fontId="2" type="noConversion"/>
  </si>
  <si>
    <t>温州鑫亚汽车电子有限公司</t>
    <phoneticPr fontId="2" type="noConversion"/>
  </si>
  <si>
    <t>瑞安市众品汽车配件制造有限公司</t>
    <phoneticPr fontId="2" type="noConversion"/>
  </si>
  <si>
    <t>温州峰汇汽车部件有限公司</t>
    <phoneticPr fontId="2" type="noConversion"/>
  </si>
  <si>
    <t>温州楷瑞电子科技有限公司</t>
    <phoneticPr fontId="2" type="noConversion"/>
  </si>
  <si>
    <t>BLDC</t>
    <phoneticPr fontId="2" type="noConversion"/>
  </si>
  <si>
    <t>温州市祺隆汽车电子有限公司</t>
    <phoneticPr fontId="2" type="noConversion"/>
  </si>
  <si>
    <t>瑞安市宇泰汽车电子有限公司</t>
    <phoneticPr fontId="2" type="noConversion"/>
  </si>
  <si>
    <t>广东九和新电器科技有限公司</t>
    <phoneticPr fontId="2" type="noConversion"/>
  </si>
  <si>
    <t>水压传感器</t>
    <phoneticPr fontId="2" type="noConversion"/>
  </si>
  <si>
    <t>浙江华地电子有限公司</t>
    <phoneticPr fontId="2" type="noConversion"/>
  </si>
  <si>
    <t>杭州飞越汽车零部件有限公司</t>
    <phoneticPr fontId="2" type="noConversion"/>
  </si>
  <si>
    <t>扭矩传感器</t>
    <phoneticPr fontId="2" type="noConversion"/>
  </si>
  <si>
    <t>余姚市博使通电子科技有限公司</t>
    <phoneticPr fontId="2" type="noConversion"/>
  </si>
  <si>
    <t>临沂市国连电子有限公司</t>
    <phoneticPr fontId="2" type="noConversion"/>
  </si>
  <si>
    <t>轮速传感器</t>
    <phoneticPr fontId="2" type="noConversion"/>
  </si>
  <si>
    <t>温州万辅科技有限公司</t>
    <phoneticPr fontId="2" type="noConversion"/>
  </si>
  <si>
    <t>江西格泰汽车零部件有限公司</t>
    <phoneticPr fontId="2" type="noConversion"/>
  </si>
  <si>
    <t>电子节气门</t>
    <phoneticPr fontId="2" type="noConversion"/>
  </si>
  <si>
    <t>温州瑞感科技有限公司</t>
    <phoneticPr fontId="2" type="noConversion"/>
  </si>
  <si>
    <t>武汉沃达瑞电子科技有限公司</t>
    <phoneticPr fontId="2" type="noConversion"/>
  </si>
  <si>
    <t>周晓雨</t>
    <phoneticPr fontId="2" type="noConversion"/>
  </si>
  <si>
    <t>温州市雷迅电子科技有限公司</t>
    <phoneticPr fontId="2" type="noConversion"/>
  </si>
  <si>
    <t>SC1245UA</t>
    <phoneticPr fontId="2" type="noConversion"/>
  </si>
  <si>
    <t>SC1245UA-1245</t>
    <phoneticPr fontId="2" type="noConversion"/>
  </si>
  <si>
    <t>温州弘腾科技有限公司</t>
    <phoneticPr fontId="2" type="noConversion"/>
  </si>
  <si>
    <t>EGR阀</t>
    <phoneticPr fontId="2" type="noConversion"/>
  </si>
  <si>
    <t>上海智穆汽车配件有限公司</t>
    <phoneticPr fontId="2" type="noConversion"/>
  </si>
  <si>
    <t>温州品一车辆配件有限公司</t>
    <phoneticPr fontId="2" type="noConversion"/>
  </si>
  <si>
    <t>电子水泵</t>
    <phoneticPr fontId="2" type="noConversion"/>
  </si>
  <si>
    <t>瑞安市浩南电器有限公司</t>
    <phoneticPr fontId="2" type="noConversion"/>
  </si>
  <si>
    <t>浙江中创汽车部件有限公司</t>
    <phoneticPr fontId="2" type="noConversion"/>
  </si>
  <si>
    <t>阀体</t>
    <phoneticPr fontId="2" type="noConversion"/>
  </si>
  <si>
    <t>深圳市齐锴电子有限公司</t>
    <phoneticPr fontId="2" type="noConversion"/>
  </si>
  <si>
    <t>陈义财</t>
    <phoneticPr fontId="2" type="noConversion"/>
  </si>
  <si>
    <t>速度表</t>
    <phoneticPr fontId="2" type="noConversion"/>
  </si>
  <si>
    <t>深圳市中旭源科技有限公司</t>
    <phoneticPr fontId="2" type="noConversion"/>
  </si>
  <si>
    <t>Kevin</t>
    <phoneticPr fontId="2" type="noConversion"/>
  </si>
  <si>
    <t>VE8602AKR</t>
    <phoneticPr fontId="2" type="noConversion"/>
  </si>
  <si>
    <t>VE8602AKR-8602</t>
  </si>
  <si>
    <t>应急电源300W</t>
    <phoneticPr fontId="2" type="noConversion"/>
  </si>
  <si>
    <t>3部</t>
    <phoneticPr fontId="2" type="noConversion"/>
  </si>
  <si>
    <t>电源管理</t>
  </si>
  <si>
    <t>东莞市朗泰通科技股份有限公司</t>
    <phoneticPr fontId="2" type="noConversion"/>
  </si>
  <si>
    <t>VE8602A5R</t>
    <phoneticPr fontId="2" type="noConversion"/>
  </si>
  <si>
    <t>TRVE8602A5R-8602</t>
  </si>
  <si>
    <t>路灯电源100W</t>
    <phoneticPr fontId="2" type="noConversion"/>
  </si>
  <si>
    <t>广州广沃电子有限公司</t>
    <phoneticPr fontId="2" type="noConversion"/>
  </si>
  <si>
    <t>拉杆音响200W</t>
    <phoneticPr fontId="2" type="noConversion"/>
  </si>
  <si>
    <t>歌特贝斯(广州)电子有限公司</t>
    <phoneticPr fontId="2" type="noConversion"/>
  </si>
  <si>
    <t>拉杆音响300W</t>
    <phoneticPr fontId="2" type="noConversion"/>
  </si>
  <si>
    <t>广州一凡电子有限公司</t>
    <phoneticPr fontId="2" type="noConversion"/>
  </si>
  <si>
    <t>拉杆音响150W</t>
    <phoneticPr fontId="2" type="noConversion"/>
  </si>
  <si>
    <t>广州翔科电子科技有限公司</t>
    <phoneticPr fontId="2" type="noConversion"/>
  </si>
  <si>
    <t>广东声视美电子有限公司</t>
    <phoneticPr fontId="2" type="noConversion"/>
  </si>
  <si>
    <t>广东新越电子有限公司</t>
    <phoneticPr fontId="2" type="noConversion"/>
  </si>
  <si>
    <t>广东创芯辉电子有限公司</t>
    <phoneticPr fontId="2" type="noConversion"/>
  </si>
  <si>
    <t>广东旭杰电子有限公司</t>
    <phoneticPr fontId="2" type="noConversion"/>
  </si>
  <si>
    <t>广州明生电子有限公司</t>
    <phoneticPr fontId="2" type="noConversion"/>
  </si>
  <si>
    <t>清远辉杰智能有限公司</t>
    <phoneticPr fontId="2" type="noConversion"/>
  </si>
  <si>
    <t>广东浩声科技有限公司</t>
    <phoneticPr fontId="2" type="noConversion"/>
  </si>
  <si>
    <t>广东心乐电子有限公司</t>
    <phoneticPr fontId="2" type="noConversion"/>
  </si>
  <si>
    <t>东莞市景盛电子科技有限公司</t>
    <phoneticPr fontId="2" type="noConversion"/>
  </si>
  <si>
    <t>深圳市亚特联科技有限公司</t>
    <phoneticPr fontId="2" type="noConversion"/>
  </si>
  <si>
    <t>Bill</t>
    <phoneticPr fontId="2" type="noConversion"/>
  </si>
  <si>
    <t>陈松玲</t>
    <phoneticPr fontId="2" type="noConversion"/>
  </si>
  <si>
    <t>SC4703SO-TR</t>
  </si>
  <si>
    <t>SC4703SO-GB-00NR-4703</t>
    <phoneticPr fontId="2" type="noConversion"/>
  </si>
  <si>
    <t>游戏扳机</t>
    <phoneticPr fontId="2" type="noConversion"/>
  </si>
  <si>
    <t>推动研发人员进行测试，测试通过后封装改为正封测试</t>
    <phoneticPr fontId="2" type="noConversion"/>
  </si>
  <si>
    <t>MT9105、CC6503</t>
    <phoneticPr fontId="4" type="noConversion"/>
  </si>
  <si>
    <t>Bill</t>
  </si>
  <si>
    <t>消费电子</t>
    <phoneticPr fontId="4" type="noConversion"/>
  </si>
  <si>
    <t>电脑周边</t>
    <phoneticPr fontId="4" type="noConversion"/>
  </si>
  <si>
    <t>游戏摇杆</t>
    <phoneticPr fontId="4" type="noConversion"/>
  </si>
  <si>
    <t>游戏扳机</t>
    <phoneticPr fontId="4" type="noConversion"/>
  </si>
  <si>
    <t>珠海创伟领航科技有限公司</t>
    <phoneticPr fontId="2" type="noConversion"/>
  </si>
  <si>
    <t>深圳市大凌电子有限公司</t>
    <phoneticPr fontId="2" type="noConversion"/>
  </si>
  <si>
    <t>Shu</t>
    <phoneticPr fontId="2" type="noConversion"/>
  </si>
  <si>
    <t>SC2402UA-GB-0XAK-2402</t>
  </si>
  <si>
    <t>无刷电机控制板</t>
    <phoneticPr fontId="2" type="noConversion"/>
  </si>
  <si>
    <t>177直插</t>
  </si>
  <si>
    <t>智能家居</t>
    <phoneticPr fontId="4" type="noConversion"/>
  </si>
  <si>
    <t>小型家电</t>
    <phoneticPr fontId="4" type="noConversion"/>
  </si>
  <si>
    <t>上海飞智电子科技有限公司</t>
    <phoneticPr fontId="2" type="noConversion"/>
  </si>
  <si>
    <t>SC4011DN</t>
    <phoneticPr fontId="2" type="noConversion"/>
  </si>
  <si>
    <t>SC4011DN-4011</t>
    <phoneticPr fontId="2" type="noConversion"/>
  </si>
  <si>
    <t>磁轴键盘，游戏手柄</t>
    <phoneticPr fontId="2" type="noConversion"/>
  </si>
  <si>
    <t>深圳市万至达电机制造有限公司</t>
    <phoneticPr fontId="2" type="noConversion"/>
  </si>
  <si>
    <t>SC2242SO-Q-CH-10CR-2242</t>
  </si>
  <si>
    <t>电动牙刷电机方案，无刷电机</t>
    <phoneticPr fontId="2" type="noConversion"/>
  </si>
  <si>
    <t>个人护理</t>
    <phoneticPr fontId="4" type="noConversion"/>
  </si>
  <si>
    <t>电动牙刷</t>
    <phoneticPr fontId="4" type="noConversion"/>
  </si>
  <si>
    <t>惠州市金力变速实业发展有限公司</t>
    <phoneticPr fontId="2" type="noConversion"/>
  </si>
  <si>
    <t>May</t>
    <phoneticPr fontId="2" type="noConversion"/>
  </si>
  <si>
    <t>扫地机三相无刷电机</t>
    <phoneticPr fontId="2" type="noConversion"/>
  </si>
  <si>
    <t>英能同步拜访，建立方案级合作</t>
    <phoneticPr fontId="2" type="noConversion"/>
  </si>
  <si>
    <t>MT876X、MH188</t>
    <phoneticPr fontId="4" type="noConversion"/>
  </si>
  <si>
    <t>扫地机</t>
    <phoneticPr fontId="4" type="noConversion"/>
  </si>
  <si>
    <t>扫地机行走电机</t>
    <phoneticPr fontId="4" type="noConversion"/>
  </si>
  <si>
    <t>浙江仕优驱动有限公司</t>
    <phoneticPr fontId="2" type="noConversion"/>
  </si>
  <si>
    <t>深圳市首显电子设计有限公司</t>
    <phoneticPr fontId="2" type="noConversion"/>
  </si>
  <si>
    <t>Suzy</t>
    <phoneticPr fontId="2" type="noConversion"/>
  </si>
  <si>
    <t>SC60226SS-TB</t>
    <phoneticPr fontId="2" type="noConversion"/>
  </si>
  <si>
    <t>NA.SC60226SS-DC</t>
    <phoneticPr fontId="2" type="noConversion"/>
  </si>
  <si>
    <t>轮椅电机</t>
    <phoneticPr fontId="2" type="noConversion"/>
  </si>
  <si>
    <t>跟进后续需求</t>
    <phoneticPr fontId="2" type="noConversion"/>
  </si>
  <si>
    <t>电机编码器</t>
    <phoneticPr fontId="2" type="noConversion"/>
  </si>
  <si>
    <t>工业和机器人</t>
    <phoneticPr fontId="4" type="noConversion"/>
  </si>
  <si>
    <t>工业电机</t>
    <phoneticPr fontId="4" type="noConversion"/>
  </si>
  <si>
    <t>电机电控</t>
    <phoneticPr fontId="4" type="noConversion"/>
  </si>
  <si>
    <t>广州市沃燊电子科技有限公司</t>
    <phoneticPr fontId="2" type="noConversion"/>
  </si>
  <si>
    <t>SC1134UA-CI-00AK-44L</t>
  </si>
  <si>
    <t>舞台灯光</t>
    <phoneticPr fontId="2" type="noConversion"/>
  </si>
  <si>
    <t>SC1134UA-CI-00AK-44E</t>
  </si>
  <si>
    <t>深圳市金跃达电子有限公司</t>
    <phoneticPr fontId="2" type="noConversion"/>
  </si>
  <si>
    <t>南京富聚科技有限公司</t>
    <phoneticPr fontId="2" type="noConversion"/>
  </si>
  <si>
    <t>晏紫莹</t>
    <phoneticPr fontId="2" type="noConversion"/>
  </si>
  <si>
    <t>撑杆电机（电动车尾门）</t>
    <phoneticPr fontId="2" type="noConversion"/>
  </si>
  <si>
    <t>汽车电子</t>
    <phoneticPr fontId="4" type="noConversion"/>
  </si>
  <si>
    <t>车身电子</t>
    <phoneticPr fontId="4" type="noConversion"/>
  </si>
  <si>
    <t>尾门系统</t>
    <phoneticPr fontId="4" type="noConversion"/>
  </si>
  <si>
    <t>尾门撑杆电机</t>
    <phoneticPr fontId="4" type="noConversion"/>
  </si>
  <si>
    <t>SC2462UA-BK</t>
    <phoneticPr fontId="2" type="noConversion"/>
  </si>
  <si>
    <t>SC2462UA-CJ-10AK-2462</t>
  </si>
  <si>
    <t>共享单车锁</t>
    <phoneticPr fontId="2" type="noConversion"/>
  </si>
  <si>
    <t>深圳市恒驱电机股份有限公司</t>
    <phoneticPr fontId="2" type="noConversion"/>
  </si>
  <si>
    <t>SC4251D3-TR</t>
    <phoneticPr fontId="2" type="noConversion"/>
  </si>
  <si>
    <t>SC4251D3-GA-00FR-4251</t>
  </si>
  <si>
    <t>电动牙刷</t>
    <phoneticPr fontId="2" type="noConversion"/>
  </si>
  <si>
    <t>待量产后，进行1000Pcs小批量测试</t>
    <phoneticPr fontId="2" type="noConversion"/>
  </si>
  <si>
    <t>MT9101</t>
    <phoneticPr fontId="4" type="noConversion"/>
  </si>
  <si>
    <t>转子定位</t>
    <phoneticPr fontId="4" type="noConversion"/>
  </si>
  <si>
    <t>广州华望半导体科技有限公司</t>
    <phoneticPr fontId="2" type="noConversion"/>
  </si>
  <si>
    <t>姚振环</t>
    <phoneticPr fontId="2" type="noConversion"/>
  </si>
  <si>
    <t>座椅水平电机</t>
    <phoneticPr fontId="2" type="noConversion"/>
  </si>
  <si>
    <t>送样测试阶段</t>
    <phoneticPr fontId="2" type="noConversion"/>
  </si>
  <si>
    <t>智能座舱</t>
    <phoneticPr fontId="4" type="noConversion"/>
  </si>
  <si>
    <t>智能座椅</t>
    <phoneticPr fontId="4" type="noConversion"/>
  </si>
  <si>
    <t>座椅水平电机</t>
    <phoneticPr fontId="4" type="noConversion"/>
  </si>
  <si>
    <t>广州市鸿远电子科技有限公司</t>
    <phoneticPr fontId="2" type="noConversion"/>
  </si>
  <si>
    <t>深圳市智芯诚科技有限公司</t>
    <phoneticPr fontId="2" type="noConversion"/>
  </si>
  <si>
    <t>Guo</t>
    <phoneticPr fontId="2" type="noConversion"/>
  </si>
  <si>
    <t>SC60221-D-256</t>
    <phoneticPr fontId="2" type="noConversion"/>
  </si>
  <si>
    <t>摇头灯</t>
    <phoneticPr fontId="2" type="noConversion"/>
  </si>
  <si>
    <t>已量产</t>
    <phoneticPr fontId="2" type="noConversion"/>
  </si>
  <si>
    <t>电机编码器</t>
  </si>
  <si>
    <t>SC2242UA-BK-Q</t>
  </si>
  <si>
    <t>SC2242UA-Q-CH-10AK-2242</t>
    <phoneticPr fontId="4" type="noConversion"/>
  </si>
  <si>
    <t>A1212</t>
    <phoneticPr fontId="4" type="noConversion"/>
  </si>
  <si>
    <t>深圳市永诚创科技有限公司</t>
    <phoneticPr fontId="2" type="noConversion"/>
  </si>
  <si>
    <t>Chen</t>
    <phoneticPr fontId="2" type="noConversion"/>
  </si>
  <si>
    <t>散热风扇</t>
    <phoneticPr fontId="2" type="noConversion"/>
  </si>
  <si>
    <t>新项目</t>
  </si>
  <si>
    <t>深圳市清联同创汽车电子有限公司</t>
    <phoneticPr fontId="2" type="noConversion"/>
  </si>
  <si>
    <t>SC2442UA-BK-Q</t>
    <phoneticPr fontId="2" type="noConversion"/>
  </si>
  <si>
    <t>SC2442UA-Q-DB-60AK-2442</t>
  </si>
  <si>
    <t>汽车尾门电机</t>
    <phoneticPr fontId="2" type="noConversion"/>
  </si>
  <si>
    <t>深圳市太美亚电子科技有限公司（恒盟鑫）</t>
    <phoneticPr fontId="2" type="noConversion"/>
  </si>
  <si>
    <t>深圳微羽智能科技有限公司</t>
    <phoneticPr fontId="2" type="noConversion"/>
  </si>
  <si>
    <t>Wayne</t>
    <phoneticPr fontId="2" type="noConversion"/>
  </si>
  <si>
    <t>SC60221-D-50</t>
    <phoneticPr fontId="2" type="noConversion"/>
  </si>
  <si>
    <t>SC60221-D-50</t>
  </si>
  <si>
    <t>工业电机驱动</t>
    <phoneticPr fontId="2" type="noConversion"/>
  </si>
  <si>
    <t>正常下单</t>
    <phoneticPr fontId="2" type="noConversion"/>
  </si>
  <si>
    <t>广东芯通电子科技有限公司</t>
    <phoneticPr fontId="2" type="noConversion"/>
  </si>
  <si>
    <t>商用电磁炉开关</t>
    <phoneticPr fontId="2" type="noConversion"/>
  </si>
  <si>
    <t>云台定位</t>
    <phoneticPr fontId="2" type="noConversion"/>
  </si>
  <si>
    <t>待带量产进行小批量测试</t>
    <phoneticPr fontId="2" type="noConversion"/>
  </si>
  <si>
    <t>MT9102</t>
    <phoneticPr fontId="4" type="noConversion"/>
  </si>
  <si>
    <t>摄像头云台</t>
    <phoneticPr fontId="4" type="noConversion"/>
  </si>
  <si>
    <t>云台定位</t>
    <phoneticPr fontId="4" type="noConversion"/>
  </si>
  <si>
    <t>中山群荣电子有限公司</t>
  </si>
  <si>
    <t>东莞沁鑫热能科技有限公司</t>
  </si>
  <si>
    <t>佛山联睿电子科技有限公司</t>
    <phoneticPr fontId="2" type="noConversion"/>
  </si>
  <si>
    <t>散热风扇，家电控制板</t>
    <phoneticPr fontId="2" type="noConversion"/>
  </si>
  <si>
    <t>深圳市方珘电子有限公司</t>
    <phoneticPr fontId="2" type="noConversion"/>
  </si>
  <si>
    <t>SC4103DN</t>
    <phoneticPr fontId="2" type="noConversion"/>
  </si>
  <si>
    <t>SC4103DN(STC11201B1)-4103</t>
    <phoneticPr fontId="2" type="noConversion"/>
  </si>
  <si>
    <t>电动牙刷电机方案</t>
    <phoneticPr fontId="2" type="noConversion"/>
  </si>
  <si>
    <t>MT9101DT</t>
  </si>
  <si>
    <t>深圳市海富创电子科技有限公司</t>
    <phoneticPr fontId="2" type="noConversion"/>
  </si>
  <si>
    <t>接近开关</t>
    <phoneticPr fontId="2" type="noConversion"/>
  </si>
  <si>
    <t>广东鑫控电子科技有限公司</t>
    <phoneticPr fontId="2" type="noConversion"/>
  </si>
  <si>
    <t>商用电磁炉开关</t>
  </si>
  <si>
    <t>亚美达电气（深圳）有限公司</t>
    <phoneticPr fontId="2" type="noConversion"/>
  </si>
  <si>
    <t>加湿器电机控制板（华为）</t>
    <phoneticPr fontId="2" type="noConversion"/>
  </si>
  <si>
    <t>SDC177</t>
  </si>
  <si>
    <t>佛山市小点电子科技有限公司</t>
    <phoneticPr fontId="2" type="noConversion"/>
  </si>
  <si>
    <t>广州沃燊灯光有限公司</t>
  </si>
  <si>
    <t>SC1134BU-TR</t>
    <phoneticPr fontId="2" type="noConversion"/>
  </si>
  <si>
    <t>SC1134BU-CI-00CR-1134</t>
  </si>
  <si>
    <t>SC2462SO-TR-Q</t>
    <phoneticPr fontId="2" type="noConversion"/>
  </si>
  <si>
    <t>深圳市恒盟鑫科技有限公司</t>
  </si>
  <si>
    <t>SC2442UA-CP-10AK-2442</t>
  </si>
  <si>
    <t>中山明盛电子科技有限公司</t>
  </si>
  <si>
    <t>豆浆机/料理机电机</t>
    <phoneticPr fontId="2" type="noConversion"/>
  </si>
  <si>
    <t>中山澳多科技有限公司</t>
    <phoneticPr fontId="2" type="noConversion"/>
  </si>
  <si>
    <t>转向锁</t>
    <phoneticPr fontId="2" type="noConversion"/>
  </si>
  <si>
    <t>汉宇集团股份有限公司</t>
    <phoneticPr fontId="2" type="noConversion"/>
  </si>
  <si>
    <t>SC4001SE-TR</t>
    <phoneticPr fontId="2" type="noConversion"/>
  </si>
  <si>
    <t>洗碗机水泵</t>
    <phoneticPr fontId="2" type="noConversion"/>
  </si>
  <si>
    <t>深圳市拓邦自动化技术有限公司</t>
    <phoneticPr fontId="2" type="noConversion"/>
  </si>
  <si>
    <t>深圳市光耀发展实业有限公司</t>
    <phoneticPr fontId="2" type="noConversion"/>
  </si>
  <si>
    <t>陈博</t>
    <phoneticPr fontId="2" type="noConversion"/>
  </si>
  <si>
    <t>SC1133UA-BK</t>
    <phoneticPr fontId="2" type="noConversion"/>
  </si>
  <si>
    <t>SC1133UA-CJ-00AK-1133</t>
  </si>
  <si>
    <t>智能马桶（开合盖）-恒洁</t>
    <phoneticPr fontId="2" type="noConversion"/>
  </si>
  <si>
    <t>智能马桶</t>
    <phoneticPr fontId="4" type="noConversion"/>
  </si>
  <si>
    <t>马桶开盖</t>
    <phoneticPr fontId="4" type="noConversion"/>
  </si>
  <si>
    <t>中山市永盈电子有限公司</t>
  </si>
  <si>
    <t>电机霍尔板</t>
    <phoneticPr fontId="2" type="noConversion"/>
  </si>
  <si>
    <t>SC2202SO-N-TR</t>
    <phoneticPr fontId="2" type="noConversion"/>
  </si>
  <si>
    <t>SC2202SO-N-CE-00NR-2202</t>
  </si>
  <si>
    <t>直发器</t>
    <phoneticPr fontId="2" type="noConversion"/>
  </si>
  <si>
    <t>惠州市谷粒精密制造有限公司</t>
    <phoneticPr fontId="2" type="noConversion"/>
  </si>
  <si>
    <t>Suyun.Yan</t>
    <phoneticPr fontId="2" type="noConversion"/>
  </si>
  <si>
    <t>SC4002SO</t>
    <phoneticPr fontId="2" type="noConversion"/>
  </si>
  <si>
    <t>SC4002SO(STC4000AA)-4002</t>
    <phoneticPr fontId="2" type="noConversion"/>
  </si>
  <si>
    <t>游戏手柄-霍尔摇杆</t>
    <phoneticPr fontId="2" type="noConversion"/>
  </si>
  <si>
    <t>现测试未达效果，需要改结构，具体需面谈</t>
    <phoneticPr fontId="2" type="noConversion"/>
  </si>
  <si>
    <t>SL93</t>
  </si>
  <si>
    <t>东莞市创美时科技有限公司</t>
    <phoneticPr fontId="2" type="noConversion"/>
  </si>
  <si>
    <t>家电电机</t>
    <phoneticPr fontId="2" type="noConversion"/>
  </si>
  <si>
    <t>深圳市捷诺科智能科技有限公司</t>
    <phoneticPr fontId="2" type="noConversion"/>
  </si>
  <si>
    <t>Davy</t>
    <phoneticPr fontId="2" type="noConversion"/>
  </si>
  <si>
    <t>IOT 升降桌</t>
    <phoneticPr fontId="2" type="noConversion"/>
  </si>
  <si>
    <t>东莞恒达电机制造有限公司</t>
    <phoneticPr fontId="2" type="noConversion"/>
  </si>
  <si>
    <t>隐藏式门把手</t>
    <phoneticPr fontId="2" type="noConversion"/>
  </si>
  <si>
    <t>画板调试阶段</t>
    <phoneticPr fontId="2" type="noConversion"/>
  </si>
  <si>
    <t>车门系统</t>
    <phoneticPr fontId="4" type="noConversion"/>
  </si>
  <si>
    <t>隐藏式门把手</t>
    <phoneticPr fontId="4" type="noConversion"/>
  </si>
  <si>
    <t>小米</t>
    <phoneticPr fontId="4" type="noConversion"/>
  </si>
  <si>
    <t>Su7</t>
    <phoneticPr fontId="4" type="noConversion"/>
  </si>
  <si>
    <t>智能马桶（流量计）-恒洁</t>
    <phoneticPr fontId="2" type="noConversion"/>
  </si>
  <si>
    <t>US2882_TSOT_3L</t>
    <phoneticPr fontId="4" type="noConversion"/>
  </si>
  <si>
    <t>流量计</t>
    <phoneticPr fontId="4" type="noConversion"/>
  </si>
  <si>
    <t>广州飞玛光电科技有限公司</t>
    <phoneticPr fontId="2" type="noConversion"/>
  </si>
  <si>
    <t>NM.SC1134UA-CI-00AK</t>
  </si>
  <si>
    <t>NM</t>
    <phoneticPr fontId="2" type="noConversion"/>
  </si>
  <si>
    <t>深圳市唯真电机发展有限公司</t>
    <phoneticPr fontId="2" type="noConversion"/>
  </si>
  <si>
    <t>工缝电机</t>
    <phoneticPr fontId="2" type="noConversion"/>
  </si>
  <si>
    <t>广东锦富智能科技有限公司</t>
    <phoneticPr fontId="2" type="noConversion"/>
  </si>
  <si>
    <t>SC4011SO</t>
    <phoneticPr fontId="2" type="noConversion"/>
  </si>
  <si>
    <t>GH39F</t>
  </si>
  <si>
    <t>东莞福哥电子</t>
    <phoneticPr fontId="2" type="noConversion"/>
  </si>
  <si>
    <t>测试通过，项目卡在客户的销售环节，跟进中</t>
    <phoneticPr fontId="2" type="noConversion"/>
  </si>
  <si>
    <t>广东东箭汽车科技股份有限公司</t>
    <phoneticPr fontId="2" type="noConversion"/>
  </si>
  <si>
    <t>深圳市三美电子科技有限公司</t>
    <phoneticPr fontId="2" type="noConversion"/>
  </si>
  <si>
    <t>德昌电机集团</t>
    <phoneticPr fontId="2" type="noConversion"/>
  </si>
  <si>
    <t xml:space="preserve">CHARGING LID LOCK </t>
    <phoneticPr fontId="2" type="noConversion"/>
  </si>
  <si>
    <t>常州普芝机电有限公司</t>
    <phoneticPr fontId="2" type="noConversion"/>
  </si>
  <si>
    <t>SC1445A1</t>
    <phoneticPr fontId="2" type="noConversion"/>
  </si>
  <si>
    <t>SC1445A1-41F</t>
  </si>
  <si>
    <t>电摩电机</t>
    <phoneticPr fontId="2" type="noConversion"/>
  </si>
  <si>
    <t>替代交通</t>
    <phoneticPr fontId="4" type="noConversion"/>
  </si>
  <si>
    <t>广州市明电照明科技有限公司</t>
    <phoneticPr fontId="2" type="noConversion"/>
  </si>
  <si>
    <t>深圳市力辉电机有限公司</t>
    <phoneticPr fontId="2" type="noConversion"/>
  </si>
  <si>
    <t>汽车座椅电机</t>
    <phoneticPr fontId="2" type="noConversion"/>
  </si>
  <si>
    <t>座椅调角电机</t>
  </si>
  <si>
    <t>SC2438UA-BK</t>
    <phoneticPr fontId="2" type="noConversion"/>
  </si>
  <si>
    <t>SC2438UA-CI-10AK-2438</t>
  </si>
  <si>
    <t xml:space="preserve"> 	深圳市博海威电子科技有限公司</t>
    <phoneticPr fontId="2" type="noConversion"/>
  </si>
  <si>
    <t>SC2464SO-TR</t>
    <phoneticPr fontId="2" type="noConversion"/>
  </si>
  <si>
    <t>SC2464SO-CJ-10CR-2464</t>
  </si>
  <si>
    <t>电动工具扳值位置检测</t>
    <phoneticPr fontId="2" type="noConversion"/>
  </si>
  <si>
    <t>电动工具</t>
    <phoneticPr fontId="4" type="noConversion"/>
  </si>
  <si>
    <t>位置开关</t>
    <phoneticPr fontId="4" type="noConversion"/>
  </si>
  <si>
    <t>接近开关</t>
    <phoneticPr fontId="4" type="noConversion"/>
  </si>
  <si>
    <t>深圳市鸿飞机电科技有限公司</t>
    <phoneticPr fontId="2" type="noConversion"/>
  </si>
  <si>
    <t>深圳市凯创德科技有限公司</t>
    <phoneticPr fontId="2" type="noConversion"/>
  </si>
  <si>
    <t>Ma</t>
    <phoneticPr fontId="2" type="noConversion"/>
  </si>
  <si>
    <t>SC4101DN</t>
    <phoneticPr fontId="2" type="noConversion"/>
  </si>
  <si>
    <t>SC4101DN(STC11201B1)-4101</t>
    <phoneticPr fontId="2" type="noConversion"/>
  </si>
  <si>
    <t>东莞市臻智慧电子有限公司</t>
    <phoneticPr fontId="2" type="noConversion"/>
  </si>
  <si>
    <t>玩具</t>
    <phoneticPr fontId="2" type="noConversion"/>
  </si>
  <si>
    <t>SC4002SO-N-TR</t>
    <phoneticPr fontId="2" type="noConversion"/>
  </si>
  <si>
    <t>SC4002SO-N-CA-00NR-4002</t>
    <phoneticPr fontId="2" type="noConversion"/>
  </si>
  <si>
    <t>CH605</t>
  </si>
  <si>
    <t>MT9103DT</t>
  </si>
  <si>
    <t>深圳市星闪悦动科技有限公司</t>
    <phoneticPr fontId="2" type="noConversion"/>
  </si>
  <si>
    <t>SC4011SO-N-TR</t>
    <phoneticPr fontId="2" type="noConversion"/>
  </si>
  <si>
    <t>SC4011SO-N-CB-90NR-49E</t>
  </si>
  <si>
    <t>键盘方案商</t>
    <phoneticPr fontId="2" type="noConversion"/>
  </si>
  <si>
    <t>深圳市容圆科技有限公司</t>
    <phoneticPr fontId="2" type="noConversion"/>
  </si>
  <si>
    <t>深圳市贝盈科技有限公司</t>
    <phoneticPr fontId="2" type="noConversion"/>
  </si>
  <si>
    <t>SC4123SO-N-TR</t>
    <phoneticPr fontId="2" type="noConversion"/>
  </si>
  <si>
    <t>惠州市华密智能科技有限公司</t>
    <phoneticPr fontId="2" type="noConversion"/>
  </si>
  <si>
    <t>键盘品牌方（自己方案）</t>
    <phoneticPr fontId="2" type="noConversion"/>
  </si>
  <si>
    <t>天津市久安科技发展有限公司</t>
    <phoneticPr fontId="2" type="noConversion"/>
  </si>
  <si>
    <t>深圳市和沐科技有限公司</t>
    <phoneticPr fontId="2" type="noConversion"/>
  </si>
  <si>
    <t>键盘方案商和品牌方</t>
    <phoneticPr fontId="2" type="noConversion"/>
  </si>
  <si>
    <t>MA7919</t>
  </si>
  <si>
    <t>深圳市盛牛科技有限公司</t>
    <phoneticPr fontId="2" type="noConversion"/>
  </si>
  <si>
    <t>深圳市思德创新科技有限公司</t>
    <phoneticPr fontId="2" type="noConversion"/>
  </si>
  <si>
    <t>佛山市瀚燊电子科技发展有限公司</t>
    <phoneticPr fontId="2" type="noConversion"/>
  </si>
  <si>
    <t>水流量计</t>
    <phoneticPr fontId="2" type="noConversion"/>
  </si>
  <si>
    <t>易良盛</t>
  </si>
  <si>
    <t>三表</t>
    <phoneticPr fontId="4" type="noConversion"/>
  </si>
  <si>
    <t>水流量检测</t>
    <phoneticPr fontId="4" type="noConversion"/>
  </si>
  <si>
    <t>水表、气表</t>
    <phoneticPr fontId="4" type="noConversion"/>
  </si>
  <si>
    <t>深圳市长天智能有限公司</t>
    <phoneticPr fontId="2" type="noConversion"/>
  </si>
  <si>
    <t>EMS电流检测</t>
    <phoneticPr fontId="2" type="noConversion"/>
  </si>
  <si>
    <t>MLX91209</t>
  </si>
  <si>
    <t>深圳市矢量科技有限公司</t>
    <phoneticPr fontId="2" type="noConversion"/>
  </si>
  <si>
    <t>MT910XDT</t>
  </si>
  <si>
    <t>深圳市富士泰科电子有限公司</t>
    <phoneticPr fontId="2" type="noConversion"/>
  </si>
  <si>
    <t>ZH619DC-TR</t>
    <phoneticPr fontId="2" type="noConversion"/>
  </si>
  <si>
    <t>高速风筒</t>
    <phoneticPr fontId="2" type="noConversion"/>
  </si>
  <si>
    <t>SA2601</t>
  </si>
  <si>
    <t>宁波柯力传感科技股份有限公司</t>
    <phoneticPr fontId="2" type="noConversion"/>
  </si>
  <si>
    <t>防爆开关</t>
    <phoneticPr fontId="2" type="noConversion"/>
  </si>
  <si>
    <t>东莞市本末科技有限公司</t>
    <phoneticPr fontId="2" type="noConversion"/>
  </si>
  <si>
    <t>SC4019SO-N-TR</t>
    <phoneticPr fontId="2" type="noConversion"/>
  </si>
  <si>
    <t>无刷电机位置检测</t>
    <phoneticPr fontId="2" type="noConversion"/>
  </si>
  <si>
    <t>接触</t>
    <phoneticPr fontId="2" type="noConversion"/>
  </si>
  <si>
    <t>6月之前确认结果</t>
    <phoneticPr fontId="2" type="noConversion"/>
  </si>
  <si>
    <t>深圳市和生创新技术有限公司</t>
    <phoneticPr fontId="2" type="noConversion"/>
  </si>
  <si>
    <t>加湿器水位检测—工厂瑞德智能</t>
    <phoneticPr fontId="2" type="noConversion"/>
  </si>
  <si>
    <t>009案子重新验证</t>
    <phoneticPr fontId="2" type="noConversion"/>
  </si>
  <si>
    <t>深圳市浦瑞克机电技术有限公司</t>
    <phoneticPr fontId="2" type="noConversion"/>
  </si>
  <si>
    <t>无刷电机定位</t>
    <phoneticPr fontId="2" type="noConversion"/>
  </si>
  <si>
    <t>等新案子机会</t>
    <phoneticPr fontId="2" type="noConversion"/>
  </si>
  <si>
    <t>中山澳多电子科技有限公司</t>
    <phoneticPr fontId="2" type="noConversion"/>
  </si>
  <si>
    <t>云鲸智能（深圳）有限公司</t>
    <phoneticPr fontId="2" type="noConversion"/>
  </si>
  <si>
    <t>深圳市蓝东明科技有限公司</t>
    <phoneticPr fontId="2" type="noConversion"/>
  </si>
  <si>
    <t>深圳市创科维信电子有限公司</t>
    <phoneticPr fontId="2" type="noConversion"/>
  </si>
  <si>
    <t>电机方案商</t>
    <phoneticPr fontId="2" type="noConversion"/>
  </si>
  <si>
    <t>深圳市银色风暴科技有限公司</t>
    <phoneticPr fontId="2" type="noConversion"/>
  </si>
  <si>
    <t>东莞市永巨科技有限公司</t>
    <phoneticPr fontId="2" type="noConversion"/>
  </si>
  <si>
    <t>Harry</t>
    <phoneticPr fontId="2" type="noConversion"/>
  </si>
  <si>
    <t>SC4923SO-N-TR</t>
    <phoneticPr fontId="2" type="noConversion"/>
  </si>
  <si>
    <t>SC4923SO-N-CD-00NR-4923</t>
    <phoneticPr fontId="2" type="noConversion"/>
  </si>
  <si>
    <t>磁轴键盘</t>
    <phoneticPr fontId="2" type="noConversion"/>
  </si>
  <si>
    <t>SC4391S6-TR</t>
    <phoneticPr fontId="2" type="noConversion"/>
  </si>
  <si>
    <t>SC4391S6-GB-00NR-4391</t>
  </si>
  <si>
    <t>SC4823S6-TR</t>
    <phoneticPr fontId="2" type="noConversion"/>
  </si>
  <si>
    <t>SC4823S6-GA-00NR-4823</t>
  </si>
  <si>
    <t>深圳思维奇电子科技有限公司</t>
    <phoneticPr fontId="2" type="noConversion"/>
  </si>
  <si>
    <t>SC4923SO-N-CD-00NR-4923</t>
  </si>
  <si>
    <t>深圳意义之塔科技有限公司</t>
    <phoneticPr fontId="2" type="noConversion"/>
  </si>
  <si>
    <t>BIll</t>
    <phoneticPr fontId="2" type="noConversion"/>
  </si>
  <si>
    <t>SC4015SO-N-A-TR</t>
    <phoneticPr fontId="2" type="noConversion"/>
  </si>
  <si>
    <t>SC4015SO-N-A-CE-90NR-4015</t>
    <phoneticPr fontId="2" type="noConversion"/>
  </si>
  <si>
    <t>华奋达（东莞）科技有限公司</t>
    <phoneticPr fontId="2" type="noConversion"/>
  </si>
  <si>
    <t>广东长耀光电科技有限公司</t>
    <phoneticPr fontId="2" type="noConversion"/>
  </si>
  <si>
    <t>SC4015SO-N-TR</t>
    <phoneticPr fontId="2" type="noConversion"/>
  </si>
  <si>
    <t>SC4015SO-N-CE-90NR-CY19</t>
  </si>
  <si>
    <t>CY19S</t>
    <phoneticPr fontId="2" type="noConversion"/>
  </si>
  <si>
    <t>泛仕达机电股份有限公司</t>
    <phoneticPr fontId="2" type="noConversion"/>
  </si>
  <si>
    <t>深圳市志德机电科技有限公司</t>
    <phoneticPr fontId="2" type="noConversion"/>
  </si>
  <si>
    <t>广东瑞讯电子科技有限公司</t>
    <phoneticPr fontId="2" type="noConversion"/>
  </si>
  <si>
    <t>STC4011B-DS</t>
    <phoneticPr fontId="2" type="noConversion"/>
  </si>
  <si>
    <t>STC4011B-DS</t>
  </si>
  <si>
    <t>惠州市立源电器有限公司</t>
    <phoneticPr fontId="2" type="noConversion"/>
  </si>
  <si>
    <t>SC2242UA-BK</t>
    <phoneticPr fontId="2" type="noConversion"/>
  </si>
  <si>
    <t>SC2242UA-CE-00AK-2242</t>
  </si>
  <si>
    <t>乐清市三合电子有限公司</t>
    <phoneticPr fontId="2" type="noConversion"/>
  </si>
  <si>
    <t>SC1245A3-BK</t>
    <phoneticPr fontId="2" type="noConversion"/>
  </si>
  <si>
    <t>SC1245A3-CD-00CK-41F</t>
  </si>
  <si>
    <t>41F</t>
    <phoneticPr fontId="2" type="noConversion"/>
  </si>
  <si>
    <t>SC2546VB-AB-BK</t>
    <phoneticPr fontId="2" type="noConversion"/>
  </si>
  <si>
    <t>SC2546VB-AB-DA-00AK-2546</t>
  </si>
  <si>
    <t>宁波皓源智能科技有限公司</t>
    <phoneticPr fontId="2" type="noConversion"/>
  </si>
  <si>
    <t>厦门华联电子股份有限公司</t>
    <phoneticPr fontId="2" type="noConversion"/>
  </si>
  <si>
    <t>厦门市瑞尔特卫浴科技股份有限公司</t>
    <phoneticPr fontId="2" type="noConversion"/>
  </si>
  <si>
    <t>深圳阿比特科技有限公司</t>
    <phoneticPr fontId="2" type="noConversion"/>
  </si>
  <si>
    <t>SC4015SO-N-CE-90NR-G01M</t>
  </si>
  <si>
    <t>G01M</t>
    <phoneticPr fontId="2" type="noConversion"/>
  </si>
  <si>
    <t>深圳巨力神电气有限公司</t>
    <phoneticPr fontId="2" type="noConversion"/>
  </si>
  <si>
    <t>SC60228DC-TR</t>
    <phoneticPr fontId="2" type="noConversion"/>
  </si>
  <si>
    <t>SC60228DC-DC-00AR-60228</t>
  </si>
  <si>
    <t>深圳骏飞扬科技有限公司</t>
    <phoneticPr fontId="2" type="noConversion"/>
  </si>
  <si>
    <t>深圳市华源鑫电器有限公司</t>
    <phoneticPr fontId="2" type="noConversion"/>
  </si>
  <si>
    <t>深圳市诺必成电子有限公司</t>
    <phoneticPr fontId="2" type="noConversion"/>
  </si>
  <si>
    <t>深圳市唯川科技有限公司</t>
    <phoneticPr fontId="2" type="noConversion"/>
  </si>
  <si>
    <t>深圳市小龙电器科技有限公司</t>
    <phoneticPr fontId="2" type="noConversion"/>
  </si>
  <si>
    <t>深圳市骏飞阳科技有限公司</t>
  </si>
  <si>
    <t>深圳市旭顺电子有限公司</t>
    <phoneticPr fontId="2" type="noConversion"/>
  </si>
  <si>
    <t>深圳市雅腾电机有限公司</t>
    <phoneticPr fontId="2" type="noConversion"/>
  </si>
  <si>
    <t>深圳烨昊科技有限公司</t>
    <phoneticPr fontId="2" type="noConversion"/>
  </si>
  <si>
    <t>温州市展芯电子科技有限公司</t>
    <phoneticPr fontId="2" type="noConversion"/>
  </si>
  <si>
    <t>深圳骏飞扬科技有限公司</t>
  </si>
  <si>
    <t>深圳市迪美思机电科技有限公司</t>
  </si>
  <si>
    <t>友贸电机（深圳）有限公司</t>
  </si>
  <si>
    <t>台州同异元电子科技有限公司</t>
    <phoneticPr fontId="2" type="noConversion"/>
  </si>
  <si>
    <t>安乃达驱动技术（上海）股份有限公司</t>
    <phoneticPr fontId="2" type="noConversion"/>
  </si>
  <si>
    <t>SC1645A1-BK</t>
    <phoneticPr fontId="2" type="noConversion"/>
  </si>
  <si>
    <t>SC1645A1-AI-00HK-4601H</t>
    <phoneticPr fontId="2" type="noConversion"/>
  </si>
  <si>
    <t>成都市力远新能源电动车有限公司</t>
    <phoneticPr fontId="2" type="noConversion"/>
  </si>
  <si>
    <t>SC1645B1-BK</t>
    <phoneticPr fontId="2" type="noConversion"/>
  </si>
  <si>
    <t>SC1645B1-AI-00HK-4601</t>
    <phoneticPr fontId="2" type="noConversion"/>
  </si>
  <si>
    <t>无锡赛盈动力科技有限公司</t>
    <phoneticPr fontId="2" type="noConversion"/>
  </si>
  <si>
    <t>SC1945B1-BK</t>
    <phoneticPr fontId="2" type="noConversion"/>
  </si>
  <si>
    <t>SC1945B1-AJ-00HK-N603</t>
    <phoneticPr fontId="2" type="noConversion"/>
  </si>
  <si>
    <t>无锡华芯晟科技有限公司</t>
    <phoneticPr fontId="2" type="noConversion"/>
  </si>
  <si>
    <t>SC1845S1-BK</t>
    <phoneticPr fontId="2" type="noConversion"/>
  </si>
  <si>
    <t>SC1845S1-AI-00AK-41F</t>
    <phoneticPr fontId="2" type="noConversion"/>
  </si>
  <si>
    <t>SC1845S1-AI-00AK-S41H</t>
  </si>
  <si>
    <t>SC1845F1-BK</t>
    <phoneticPr fontId="2" type="noConversion"/>
  </si>
  <si>
    <t>SC1845F1-AI-00HK-41F</t>
    <phoneticPr fontId="2" type="noConversion"/>
  </si>
  <si>
    <t>SC1845F1-AI-00HK-S41H</t>
  </si>
  <si>
    <t>SC1002S1-BK</t>
    <phoneticPr fontId="2" type="noConversion"/>
  </si>
  <si>
    <t>SC1002S1-CG-00AK-41F</t>
    <phoneticPr fontId="2" type="noConversion"/>
  </si>
  <si>
    <t>SC1002N1-BK</t>
    <phoneticPr fontId="2" type="noConversion"/>
  </si>
  <si>
    <t>SC1002N1-CL-00HK-42N</t>
  </si>
  <si>
    <t>SC1134UA-CI-00AK-43F</t>
  </si>
  <si>
    <t>B</t>
    <phoneticPr fontId="2" type="noConversion"/>
  </si>
  <si>
    <t>SC2402UA-GB-0XAK-U18</t>
  </si>
  <si>
    <t>SC2402SO-N-CJ-90NR-6571</t>
  </si>
  <si>
    <t>SC2402UA-GB-00AK-6501</t>
    <phoneticPr fontId="2" type="noConversion"/>
  </si>
  <si>
    <t>SC2436UA-BK</t>
    <phoneticPr fontId="2" type="noConversion"/>
  </si>
  <si>
    <t>SC2436UA-CI-10AK-6210</t>
  </si>
  <si>
    <t>SC2948S2-BK</t>
    <phoneticPr fontId="2" type="noConversion"/>
  </si>
  <si>
    <t>SC2948S2-DB-60AK-61H</t>
  </si>
  <si>
    <t>SC2968S1-N-BK</t>
    <phoneticPr fontId="2" type="noConversion"/>
  </si>
  <si>
    <t>SC2968S1-N-DC-4XAK-S21C</t>
    <phoneticPr fontId="2" type="noConversion"/>
  </si>
  <si>
    <t>SC2432UA-BK</t>
    <phoneticPr fontId="2" type="noConversion"/>
  </si>
  <si>
    <t>SC2432UA-CI-10AK-6232</t>
  </si>
  <si>
    <t>SC2462UA-CJ-10AK-6472</t>
  </si>
  <si>
    <t>无锡友创电子有限公司</t>
    <phoneticPr fontId="2" type="noConversion"/>
  </si>
  <si>
    <t>南京博士朗新能源科技有限公司</t>
    <phoneticPr fontId="2" type="noConversion"/>
  </si>
  <si>
    <t>Alex</t>
    <phoneticPr fontId="2" type="noConversion"/>
  </si>
  <si>
    <t>电子油门踏板，奇瑞和哪吒</t>
    <phoneticPr fontId="2" type="noConversion"/>
  </si>
  <si>
    <t>HAL888</t>
    <phoneticPr fontId="2" type="noConversion"/>
  </si>
  <si>
    <t>NA</t>
  </si>
  <si>
    <t>Alex</t>
  </si>
  <si>
    <t>安全与智驾</t>
  </si>
  <si>
    <t>油门踏板</t>
  </si>
  <si>
    <t>奇瑞</t>
  </si>
  <si>
    <t>T19</t>
    <phoneticPr fontId="2" type="noConversion"/>
  </si>
  <si>
    <t>江苏恒立液压股份有限公司</t>
    <phoneticPr fontId="2" type="noConversion"/>
  </si>
  <si>
    <t>SC4616BU</t>
    <phoneticPr fontId="2" type="noConversion"/>
  </si>
  <si>
    <t>SC4616BU-4616</t>
  </si>
  <si>
    <t>直线位置检测，大型液压油缸行程位置检测</t>
    <phoneticPr fontId="2" type="noConversion"/>
  </si>
  <si>
    <t>目前已经完成小批量验证，无问题。</t>
    <phoneticPr fontId="2" type="noConversion"/>
  </si>
  <si>
    <t>其他_3</t>
  </si>
  <si>
    <t>恒立液压股份</t>
  </si>
  <si>
    <t>南京奥联汽车电子电器股份有限公司</t>
    <phoneticPr fontId="2" type="noConversion"/>
  </si>
  <si>
    <t>VE1430Q1CA3R5</t>
    <phoneticPr fontId="2" type="noConversion"/>
  </si>
  <si>
    <t>TRVE1430Q1CA3R5-1430Q</t>
  </si>
  <si>
    <t>电子换挡器、怀挡、组合开关电源转换</t>
    <phoneticPr fontId="2" type="noConversion"/>
  </si>
  <si>
    <t>客户成本太低，并且量少，切换动力不足。只能在新项目上看是否有机会</t>
    <phoneticPr fontId="2" type="noConversion"/>
  </si>
  <si>
    <t>LN2054YQ1</t>
  </si>
  <si>
    <t>Torres</t>
  </si>
  <si>
    <t>换挡传感器</t>
  </si>
  <si>
    <t>第三代电子油门踏板，目前还在DV实验中，未定点</t>
    <phoneticPr fontId="2" type="noConversion"/>
  </si>
  <si>
    <t xml:space="preserve">无 </t>
    <phoneticPr fontId="2" type="noConversion"/>
  </si>
  <si>
    <t>平台件</t>
  </si>
  <si>
    <t>商用车电子节气门，一汽解放定点项目</t>
    <phoneticPr fontId="2" type="noConversion"/>
  </si>
  <si>
    <t>目前已经开始PV，无问题</t>
    <phoneticPr fontId="2" type="noConversion"/>
  </si>
  <si>
    <t>MLX90365</t>
  </si>
  <si>
    <t>发动机变速箱</t>
  </si>
  <si>
    <t>一汽商用车</t>
  </si>
  <si>
    <t>南京亿力胜电子科技有限公司</t>
    <phoneticPr fontId="2" type="noConversion"/>
  </si>
  <si>
    <t>电子油门踏板，量产车厂有广汽，一汽奔腾</t>
    <phoneticPr fontId="2" type="noConversion"/>
  </si>
  <si>
    <t>关注客户目前量产情况以及质量表现，稳步提升份额</t>
    <phoneticPr fontId="2" type="noConversion"/>
  </si>
  <si>
    <t>HAL888</t>
  </si>
  <si>
    <t>SC2455SO-TR-Q</t>
    <phoneticPr fontId="2" type="noConversion"/>
  </si>
  <si>
    <t>SC2455SO-Q-CK-10CR-2455</t>
  </si>
  <si>
    <t>电子换挡器，一汽项目</t>
    <phoneticPr fontId="2" type="noConversion"/>
  </si>
  <si>
    <t>A1106</t>
  </si>
  <si>
    <t>SC2436SO-TR</t>
    <phoneticPr fontId="2" type="noConversion"/>
  </si>
  <si>
    <t>电子换挡器，长安项目</t>
    <phoneticPr fontId="2" type="noConversion"/>
  </si>
  <si>
    <t>宁波高发汽车控制系统股份有限公司</t>
    <phoneticPr fontId="2" type="noConversion"/>
  </si>
  <si>
    <t>目前卡在胡万训上，主要矛盾点是对我司产品的不信任。不想当小白鼠。25年重点跟进项目</t>
    <phoneticPr fontId="2" type="noConversion"/>
  </si>
  <si>
    <t>平台产品</t>
    <phoneticPr fontId="2" type="noConversion"/>
  </si>
  <si>
    <t>SC69401HS-Q-HD-4XTR-69401</t>
    <phoneticPr fontId="2" type="noConversion"/>
  </si>
  <si>
    <t>高发未来主推产品，第三代电子油门踏板，目前在长安定点</t>
    <phoneticPr fontId="2" type="noConversion"/>
  </si>
  <si>
    <t>配合客户和车厂的相关测试。 价格讨论</t>
    <phoneticPr fontId="2" type="noConversion"/>
  </si>
  <si>
    <t>MT6511</t>
  </si>
  <si>
    <t>长安</t>
    <phoneticPr fontId="2" type="noConversion"/>
  </si>
  <si>
    <t>车身高度传感器-奇瑞定点项目</t>
    <phoneticPr fontId="2" type="noConversion"/>
  </si>
  <si>
    <t xml:space="preserve">NA </t>
    <phoneticPr fontId="2" type="noConversion"/>
  </si>
  <si>
    <t>配合客户和车厂的相关测试</t>
    <phoneticPr fontId="2" type="noConversion"/>
  </si>
  <si>
    <t>奇瑞</t>
    <phoneticPr fontId="2" type="noConversion"/>
  </si>
  <si>
    <t>SC4688SA-Q-DC-40CK-888K</t>
  </si>
  <si>
    <t>电子油门踏板，国内商用车市场，以及五菱，BYD等</t>
    <phoneticPr fontId="2" type="noConversion"/>
  </si>
  <si>
    <t>持续跟进项目状态，以及量产提量。同时，注重产品质量，重点关注24年8月之后出货质量</t>
    <phoneticPr fontId="2" type="noConversion"/>
  </si>
  <si>
    <t>国内商用车，广汽，五菱，BYD，长安等</t>
    <phoneticPr fontId="2" type="noConversion"/>
  </si>
  <si>
    <t>SC1138SO-N-TR-Q</t>
    <phoneticPr fontId="2" type="noConversion"/>
  </si>
  <si>
    <t>电子换挡器，主要终端是奇瑞和吉利</t>
    <phoneticPr fontId="2" type="noConversion"/>
  </si>
  <si>
    <t>鸣志电器（太仓）有限公司</t>
    <phoneticPr fontId="2" type="noConversion"/>
  </si>
  <si>
    <t>SC60370</t>
    <phoneticPr fontId="2" type="noConversion"/>
  </si>
  <si>
    <t>SC60370(STC9D05C)-60370</t>
  </si>
  <si>
    <t>无刷电机编码器项目-华为云台项目（108，145，146）</t>
    <phoneticPr fontId="2" type="noConversion"/>
  </si>
  <si>
    <t>工业伺服电机</t>
  </si>
  <si>
    <t>华为</t>
    <phoneticPr fontId="2" type="noConversion"/>
  </si>
  <si>
    <t>SC2442SO-N-Q-CP-10CR-2662</t>
  </si>
  <si>
    <t>无刷电机霍尔-华为天玑项目</t>
    <phoneticPr fontId="2" type="noConversion"/>
  </si>
  <si>
    <t>11月底华为将开始招标，目前鸣志成功率接近80%。最新消息，项目最终由1部量产。目前正在积极接触1部相关人员</t>
    <phoneticPr fontId="2" type="noConversion"/>
  </si>
  <si>
    <t>工业电机</t>
    <phoneticPr fontId="2" type="noConversion"/>
  </si>
  <si>
    <t>宁波汽车软轴软管有限公司</t>
    <phoneticPr fontId="2" type="noConversion"/>
  </si>
  <si>
    <t>上海致馨电子科技有限公司</t>
    <phoneticPr fontId="2" type="noConversion"/>
  </si>
  <si>
    <t>电子油门踏板，主要是出口市场以及国内电车市场</t>
    <phoneticPr fontId="2" type="noConversion"/>
  </si>
  <si>
    <t>客户目前准备全面切换，目前主要是量产产线跟进中。（同时客户在和飞仙接触，飞仙价格2元）</t>
    <phoneticPr fontId="2" type="noConversion"/>
  </si>
  <si>
    <t>领跑，出口项目</t>
    <phoneticPr fontId="2" type="noConversion"/>
  </si>
  <si>
    <t>苏州柯尔特测控技术有限公司</t>
    <phoneticPr fontId="2" type="noConversion"/>
  </si>
  <si>
    <t>SC4688DC-TR</t>
    <phoneticPr fontId="2" type="noConversion"/>
  </si>
  <si>
    <t>SC4688DC-DC-40AR-2425</t>
  </si>
  <si>
    <t>手柄</t>
    <phoneticPr fontId="2" type="noConversion"/>
  </si>
  <si>
    <t>客户移交给陈端淇</t>
    <phoneticPr fontId="2" type="noConversion"/>
  </si>
  <si>
    <t>壁挂炉水压力传感器</t>
  </si>
  <si>
    <t>浙江三花汽车零部件有限公司</t>
    <phoneticPr fontId="2" type="noConversion"/>
  </si>
  <si>
    <t>电子膨胀阀开合角度检测</t>
    <phoneticPr fontId="2" type="noConversion"/>
  </si>
  <si>
    <t>交货，和客户确认换封装厂事宜</t>
    <phoneticPr fontId="2" type="noConversion"/>
  </si>
  <si>
    <t>MLX92211</t>
    <phoneticPr fontId="2" type="noConversion"/>
  </si>
  <si>
    <t>电子膨胀阀</t>
  </si>
  <si>
    <t>项目延续，量少</t>
    <phoneticPr fontId="2" type="noConversion"/>
  </si>
  <si>
    <t>MLX92211</t>
  </si>
  <si>
    <t>深圳市七悦科技有限公司</t>
  </si>
  <si>
    <t>深圳市智邦电子有限公司</t>
    <phoneticPr fontId="2" type="noConversion"/>
  </si>
  <si>
    <t>Tom</t>
    <phoneticPr fontId="2" type="noConversion"/>
  </si>
  <si>
    <t>手持榨汁机</t>
    <phoneticPr fontId="2" type="noConversion"/>
  </si>
  <si>
    <t>Tom</t>
  </si>
  <si>
    <t>豆浆机/咖啡机</t>
  </si>
  <si>
    <t>余姚市瑞玛特电器有限公司</t>
    <phoneticPr fontId="2" type="noConversion"/>
  </si>
  <si>
    <t>天津越尔兴电子科技有限公司</t>
    <phoneticPr fontId="2" type="noConversion"/>
  </si>
  <si>
    <t>Sales</t>
    <phoneticPr fontId="2" type="noConversion"/>
  </si>
  <si>
    <t>SC4002UA-BK</t>
    <phoneticPr fontId="2" type="noConversion"/>
  </si>
  <si>
    <t>SC4002UA-CA-00AK-95A</t>
    <phoneticPr fontId="2" type="noConversion"/>
  </si>
  <si>
    <t>其他电机控制板</t>
    <phoneticPr fontId="2" type="noConversion"/>
  </si>
  <si>
    <t>其他</t>
    <phoneticPr fontId="2" type="noConversion"/>
  </si>
  <si>
    <t>电动工具电机电控</t>
  </si>
  <si>
    <t>SC4688DC-Q-DC-40CR-4688</t>
  </si>
  <si>
    <t>跟踪样品评估</t>
    <phoneticPr fontId="2" type="noConversion"/>
  </si>
  <si>
    <t>SC60224-D-16</t>
  </si>
  <si>
    <t>余姚市电控电器三厂</t>
    <phoneticPr fontId="2" type="noConversion"/>
  </si>
  <si>
    <t>上海养盈电子科技有限公司</t>
    <phoneticPr fontId="2" type="noConversion"/>
  </si>
  <si>
    <t>SL54123ADC-TR</t>
    <phoneticPr fontId="2" type="noConversion"/>
  </si>
  <si>
    <t>SL54123ADC-GB-00AR-54123A</t>
  </si>
  <si>
    <t>漏保插头</t>
    <phoneticPr fontId="2" type="noConversion"/>
  </si>
  <si>
    <t>M54123</t>
  </si>
  <si>
    <t>东莞龙阳电子有限公司</t>
  </si>
  <si>
    <t>SD477VB-BK</t>
    <phoneticPr fontId="2" type="noConversion"/>
  </si>
  <si>
    <t>SD477VB-GC-90AK-477S</t>
  </si>
  <si>
    <t>OCH477H</t>
  </si>
  <si>
    <t>消费电子</t>
  </si>
  <si>
    <t>电脑周边</t>
  </si>
  <si>
    <t>深圳盛鸿维科技有限公司</t>
  </si>
  <si>
    <t>SD2276VB-BK</t>
    <phoneticPr fontId="2" type="noConversion"/>
  </si>
  <si>
    <t>SD2276VB-CA-90AK-276</t>
  </si>
  <si>
    <t>SDC276</t>
  </si>
  <si>
    <t>苏州简单有为科技有限公司</t>
  </si>
  <si>
    <t>SD211VB-BK</t>
    <phoneticPr fontId="2" type="noConversion"/>
  </si>
  <si>
    <t>SD211VB-CA-90AK-211</t>
  </si>
  <si>
    <t>SDC211</t>
  </si>
  <si>
    <t>佛山市谱德电子科技有限公司</t>
  </si>
  <si>
    <t>外贸</t>
    <phoneticPr fontId="2" type="noConversion"/>
  </si>
  <si>
    <t>农机</t>
  </si>
  <si>
    <t>农机踏板/转把</t>
  </si>
  <si>
    <t>唐山共兴电子有限公司</t>
  </si>
  <si>
    <t>SC4002UA-CA-00AK-4002</t>
  </si>
  <si>
    <t>其他电机电机控制板</t>
    <phoneticPr fontId="2" type="noConversion"/>
  </si>
  <si>
    <t>杭州小飞电器科技有限公司</t>
  </si>
  <si>
    <t>SC2063UA-BK</t>
    <phoneticPr fontId="2" type="noConversion"/>
  </si>
  <si>
    <t>SC2063UA-GC-00AK-2063</t>
  </si>
  <si>
    <t>门磁开关</t>
    <phoneticPr fontId="2" type="noConversion"/>
  </si>
  <si>
    <t>嘉善博瑞特电子有限公司</t>
  </si>
  <si>
    <t>SC1134B1-BK</t>
    <phoneticPr fontId="2" type="noConversion"/>
  </si>
  <si>
    <t>SC1134B1-CI-00HK-43F</t>
    <phoneticPr fontId="2" type="noConversion"/>
  </si>
  <si>
    <t>深圳市航嘉驰源电气股份有限公司</t>
  </si>
  <si>
    <t>深圳市亚世欧实业有限公司</t>
    <phoneticPr fontId="2" type="noConversion"/>
  </si>
  <si>
    <t>SD477VB-GC-90AK-KH477</t>
  </si>
  <si>
    <t>SD2276VB-CA-90AK-KH276</t>
  </si>
  <si>
    <t>SD211VB-CA-90AK-KH211</t>
  </si>
  <si>
    <t>温州嘉迪电器有限公司</t>
    <phoneticPr fontId="2" type="noConversion"/>
  </si>
  <si>
    <t>SL002147DC-TR</t>
    <phoneticPr fontId="2" type="noConversion"/>
  </si>
  <si>
    <t>SL002147DC-GB-00AR-2147</t>
  </si>
  <si>
    <t>断路器</t>
    <phoneticPr fontId="2" type="noConversion"/>
  </si>
  <si>
    <t>LW310B</t>
  </si>
  <si>
    <t>LW54123A</t>
  </si>
  <si>
    <t>温州诚富电器有限公司</t>
    <phoneticPr fontId="2" type="noConversion"/>
  </si>
  <si>
    <t>深圳鑫宝电器科技有限公司</t>
    <phoneticPr fontId="2" type="noConversion"/>
  </si>
  <si>
    <t>其他无刷电机</t>
    <phoneticPr fontId="2" type="noConversion"/>
  </si>
  <si>
    <t>SC2402UA-GB-00AK-177</t>
  </si>
  <si>
    <t>深圳市粤科源兴科技有限公司</t>
    <phoneticPr fontId="2" type="noConversion"/>
  </si>
  <si>
    <t>SC9314UA-CF-0XAK-17CA</t>
  </si>
  <si>
    <t>深圳市航嘉驰源电气股份有限公司</t>
    <phoneticPr fontId="2" type="noConversion"/>
  </si>
  <si>
    <t>H项目</t>
    <phoneticPr fontId="2" type="noConversion"/>
  </si>
  <si>
    <t>绍兴鹏芯电子科技有限公司</t>
    <phoneticPr fontId="2" type="noConversion"/>
  </si>
  <si>
    <t>FD1014A</t>
  </si>
  <si>
    <t>PSTC9G001C</t>
    <phoneticPr fontId="2" type="noConversion"/>
  </si>
  <si>
    <t>PSTC9G001C</t>
  </si>
  <si>
    <t>电源开关</t>
    <phoneticPr fontId="2" type="noConversion"/>
  </si>
  <si>
    <t>宁波市欣新电器科技有限公司</t>
    <phoneticPr fontId="2" type="noConversion"/>
  </si>
  <si>
    <t>天窗电机</t>
    <phoneticPr fontId="2" type="noConversion"/>
  </si>
  <si>
    <t>宁波市北仑拓立模具技术有限公司</t>
    <phoneticPr fontId="2" type="noConversion"/>
  </si>
  <si>
    <t>SC9632VB-BK</t>
    <phoneticPr fontId="2" type="noConversion"/>
  </si>
  <si>
    <t>SC9632VB-CE-00CK-9632</t>
  </si>
  <si>
    <t>各类门机编码器</t>
  </si>
  <si>
    <t>编码器</t>
  </si>
  <si>
    <t>宁波北仑拓立摸具技术有限公司</t>
    <phoneticPr fontId="2" type="noConversion"/>
  </si>
  <si>
    <t>宁波精成车业电机有限公司</t>
    <phoneticPr fontId="2" type="noConversion"/>
  </si>
  <si>
    <t>SC2942SO-TR-Q</t>
    <phoneticPr fontId="2" type="noConversion"/>
  </si>
  <si>
    <t>车窗电机</t>
    <phoneticPr fontId="2" type="noConversion"/>
  </si>
  <si>
    <t>寻找跟进关键人</t>
    <phoneticPr fontId="2" type="noConversion"/>
  </si>
  <si>
    <t>车窗系统</t>
  </si>
  <si>
    <t>车窗电机</t>
  </si>
  <si>
    <t>宁波恒特汽车零部件有限公司</t>
    <phoneticPr fontId="2" type="noConversion"/>
  </si>
  <si>
    <t>加强客情关系</t>
    <phoneticPr fontId="2" type="noConversion"/>
  </si>
  <si>
    <t>宁波恒帅股份有限公司</t>
    <phoneticPr fontId="2" type="noConversion"/>
  </si>
  <si>
    <t>跟进样品测试</t>
    <phoneticPr fontId="2" type="noConversion"/>
  </si>
  <si>
    <t>A1220/1210</t>
  </si>
  <si>
    <t>尾门系统</t>
  </si>
  <si>
    <t>尾门电机</t>
  </si>
  <si>
    <t>惠州市卓邦电子有限公司</t>
    <phoneticPr fontId="2" type="noConversion"/>
  </si>
  <si>
    <t>杭州小飞电器科技有限公司</t>
    <phoneticPr fontId="2" type="noConversion"/>
  </si>
  <si>
    <t>SC2413SO-N-TR</t>
    <phoneticPr fontId="2" type="noConversion"/>
  </si>
  <si>
    <t>无锡迪仕电子有限公司</t>
    <phoneticPr fontId="2" type="noConversion"/>
  </si>
  <si>
    <t>SC4011SO-N-CB-90NR-49E</t>
    <phoneticPr fontId="2" type="noConversion"/>
  </si>
  <si>
    <t>深圳市旭益达无刷电机有限公司</t>
    <phoneticPr fontId="2" type="noConversion"/>
  </si>
  <si>
    <t>SC2402UA-CJ-90AK-2402</t>
    <phoneticPr fontId="2" type="noConversion"/>
  </si>
  <si>
    <t>东莞市巨搏悦科技有限公司</t>
    <phoneticPr fontId="2" type="noConversion"/>
  </si>
  <si>
    <t>电机</t>
  </si>
  <si>
    <t>宁波明芯智能科技有限公司</t>
    <phoneticPr fontId="2" type="noConversion"/>
  </si>
  <si>
    <t>ZH6338</t>
    <phoneticPr fontId="2" type="noConversion"/>
  </si>
  <si>
    <t>新能源</t>
  </si>
  <si>
    <t>太阳能</t>
  </si>
  <si>
    <t>逆变器</t>
  </si>
  <si>
    <t>宁波瀚朗智能驱动科技股份有限公司</t>
    <phoneticPr fontId="2" type="noConversion"/>
  </si>
  <si>
    <t>宁波晴控智能有限公司</t>
    <phoneticPr fontId="2" type="noConversion"/>
  </si>
  <si>
    <t>个人护理</t>
  </si>
  <si>
    <t>筋膜枪</t>
  </si>
  <si>
    <t>筋膜枪电机</t>
  </si>
  <si>
    <t>宁波瑞利特电子科技有限公司</t>
    <phoneticPr fontId="2" type="noConversion"/>
  </si>
  <si>
    <t>水位计</t>
    <phoneticPr fontId="2" type="noConversion"/>
  </si>
  <si>
    <t>水流检测</t>
  </si>
  <si>
    <t>水表</t>
  </si>
  <si>
    <t>东莞市鸿飞科技有限公司</t>
    <phoneticPr fontId="2" type="noConversion"/>
  </si>
  <si>
    <t>SC2402SO-N-GA-00NR-2402</t>
    <phoneticPr fontId="2" type="noConversion"/>
  </si>
  <si>
    <t>筋膜枪</t>
    <phoneticPr fontId="2" type="noConversion"/>
  </si>
  <si>
    <t>SC2498SO-Q-DB-60CR-2498</t>
    <phoneticPr fontId="2" type="noConversion"/>
  </si>
  <si>
    <t>长安</t>
  </si>
  <si>
    <t>南京艾驰电子科技有限公司</t>
  </si>
  <si>
    <t>宁波铭瑞传感器有限公司</t>
    <phoneticPr fontId="2" type="noConversion"/>
  </si>
  <si>
    <t>SC2462SO-CJ-10CR-2462</t>
  </si>
  <si>
    <t>SC2402UA-GB-0XAK-U18</t>
    <phoneticPr fontId="2" type="noConversion"/>
  </si>
  <si>
    <t>手柄摇杆</t>
    <phoneticPr fontId="2" type="noConversion"/>
  </si>
  <si>
    <t>玉环普天单向器科技有限公司</t>
    <phoneticPr fontId="2" type="noConversion"/>
  </si>
  <si>
    <t>SC2442SO-N-Q-DB-60CR-2442</t>
    <phoneticPr fontId="2" type="noConversion"/>
  </si>
  <si>
    <t>跟踪客户产线调试</t>
    <phoneticPr fontId="2" type="noConversion"/>
  </si>
  <si>
    <t>宁波纳福电子</t>
    <phoneticPr fontId="2" type="noConversion"/>
  </si>
  <si>
    <t>Pedro</t>
  </si>
  <si>
    <t>纺织电机</t>
  </si>
  <si>
    <t>深圳霍芯电子科技有限公司</t>
    <phoneticPr fontId="2" type="noConversion"/>
  </si>
  <si>
    <t>SC4001SE-CB-90CR-4001</t>
    <phoneticPr fontId="2" type="noConversion"/>
  </si>
  <si>
    <t>嘉兴礼海电气科技有限公司</t>
    <phoneticPr fontId="2" type="noConversion"/>
  </si>
  <si>
    <t>ZH6200</t>
    <phoneticPr fontId="2" type="noConversion"/>
  </si>
  <si>
    <t>SC2242UA-CE-00AK-2242</t>
    <phoneticPr fontId="2" type="noConversion"/>
  </si>
  <si>
    <t>大型家电其他</t>
  </si>
  <si>
    <t>热水器</t>
  </si>
  <si>
    <t>上海博泽汽车部件有限公司</t>
    <phoneticPr fontId="2" type="noConversion"/>
  </si>
  <si>
    <t>赛卓电子科技（上海）股份有限公司</t>
    <phoneticPr fontId="2" type="noConversion"/>
  </si>
  <si>
    <t>Pedro</t>
    <phoneticPr fontId="2" type="noConversion"/>
  </si>
  <si>
    <t>SC2527S6-AB-TR-Q</t>
    <phoneticPr fontId="2" type="noConversion"/>
  </si>
  <si>
    <t>SC2527S6-AB-Q-DA-40CR-2527</t>
    <phoneticPr fontId="5" type="noConversion"/>
  </si>
  <si>
    <t>尾门撑杆，全球平台，1*1，直径16，3对极，ESD目标8KV，MLX92351  1.5未税，赛卓需要做到0.9.</t>
    <phoneticPr fontId="2" type="noConversion"/>
  </si>
  <si>
    <t>芜湖莫森泰克汽车科技股份有限公司</t>
    <phoneticPr fontId="2" type="noConversion"/>
  </si>
  <si>
    <t>合肥贝森特电子科技有限公司</t>
    <phoneticPr fontId="2" type="noConversion"/>
  </si>
  <si>
    <t>徐彬</t>
    <phoneticPr fontId="2" type="noConversion"/>
  </si>
  <si>
    <t>SC2442SO-Q-DB-60CR-2442</t>
    <phoneticPr fontId="2" type="noConversion"/>
  </si>
  <si>
    <t>天窗</t>
    <phoneticPr fontId="2" type="noConversion"/>
  </si>
  <si>
    <t>250228：及时确认客户交货情况</t>
    <phoneticPr fontId="2" type="noConversion"/>
  </si>
  <si>
    <t>MLX92212LSE-AAA-000-R</t>
    <phoneticPr fontId="5" type="noConversion"/>
  </si>
  <si>
    <t>天窗总成</t>
    <phoneticPr fontId="5" type="noConversion"/>
  </si>
  <si>
    <t>天窗电机控制器</t>
    <phoneticPr fontId="5" type="noConversion"/>
  </si>
  <si>
    <t>奇瑞</t>
    <phoneticPr fontId="5" type="noConversion"/>
  </si>
  <si>
    <t>TRVE1430Q1CA3R5-1430Q</t>
    <phoneticPr fontId="5" type="noConversion"/>
  </si>
  <si>
    <t>250228：送样</t>
    <phoneticPr fontId="2" type="noConversion"/>
  </si>
  <si>
    <t>SC2527S6-SD-TR-Q</t>
    <phoneticPr fontId="2" type="noConversion"/>
  </si>
  <si>
    <t>SC2527S6-SD-Q-DA-40CR-2527</t>
    <phoneticPr fontId="2" type="noConversion"/>
  </si>
  <si>
    <t>车窗</t>
    <phoneticPr fontId="2" type="noConversion"/>
  </si>
  <si>
    <t>250427：跳过小批，直接批量比亚迪汉项目，预计3周左右时间。
250422：已确认本月会上车3K
250228：待新项目上车，争取三月底完成</t>
    <phoneticPr fontId="2" type="noConversion"/>
  </si>
  <si>
    <t>TLE4966-3G</t>
    <phoneticPr fontId="5" type="noConversion"/>
  </si>
  <si>
    <t>车窗总成</t>
    <phoneticPr fontId="2" type="noConversion"/>
  </si>
  <si>
    <t>车窗电机防夹</t>
    <phoneticPr fontId="2" type="noConversion"/>
  </si>
  <si>
    <t>上海依工塑料五金有限公司</t>
    <phoneticPr fontId="2" type="noConversion"/>
  </si>
  <si>
    <t>苏州台信达电子有限公司</t>
    <phoneticPr fontId="2" type="noConversion"/>
  </si>
  <si>
    <t>杨帆</t>
    <phoneticPr fontId="2" type="noConversion"/>
  </si>
  <si>
    <t>250506：信和达交付一个最小包装
2504009：本月确定商流
250328：依工在德昌指定赛卓物料，需要做供应链保护
250228：持续增量中</t>
    <phoneticPr fontId="2" type="noConversion"/>
  </si>
  <si>
    <t>车门系统</t>
    <phoneticPr fontId="5" type="noConversion"/>
  </si>
  <si>
    <t>隐藏式门把手</t>
    <phoneticPr fontId="5" type="noConversion"/>
  </si>
  <si>
    <t>理想，比亚迪，奇瑞</t>
    <phoneticPr fontId="5" type="noConversion"/>
  </si>
  <si>
    <t>SC243XSO-TR-Q</t>
    <phoneticPr fontId="2" type="noConversion"/>
  </si>
  <si>
    <t>SC243XSO-Q-CM-10CR-243X</t>
    <phoneticPr fontId="2" type="noConversion"/>
  </si>
  <si>
    <t>充电口盖板开关</t>
    <phoneticPr fontId="2" type="noConversion"/>
  </si>
  <si>
    <t>250228：配合客户改进编程器，当前每天有10多例需要多次标定的。</t>
    <phoneticPr fontId="2" type="noConversion"/>
  </si>
  <si>
    <t>充电口</t>
  </si>
  <si>
    <t>充电口盖板</t>
  </si>
  <si>
    <t>理想</t>
    <phoneticPr fontId="5" type="noConversion"/>
  </si>
  <si>
    <t>L9/8/7</t>
    <phoneticPr fontId="5" type="noConversion"/>
  </si>
  <si>
    <t>SC2242SO-Q-CH-10CR-2242</t>
    <phoneticPr fontId="2" type="noConversion"/>
  </si>
  <si>
    <t>充电口执行器</t>
    <phoneticPr fontId="2" type="noConversion"/>
  </si>
  <si>
    <t>250409：引导客户切换SC2493
250228：平台产品，需要我司内部完成车规</t>
    <phoneticPr fontId="2" type="noConversion"/>
  </si>
  <si>
    <t>充电口执行器</t>
  </si>
  <si>
    <t>阿维塔，理想，比亚迪，奇瑞</t>
    <phoneticPr fontId="5" type="noConversion"/>
  </si>
  <si>
    <t>E12，L9/8/7, ES3,A19,D609,740D</t>
    <phoneticPr fontId="5" type="noConversion"/>
  </si>
  <si>
    <t>苏州烨炜上品电气有限公司</t>
    <phoneticPr fontId="2" type="noConversion"/>
  </si>
  <si>
    <t>SC4624SP20B5</t>
    <phoneticPr fontId="2" type="noConversion"/>
  </si>
  <si>
    <t>SC4624SP20B5-SC4624</t>
    <phoneticPr fontId="5" type="noConversion"/>
  </si>
  <si>
    <t>电梯电源和控制板电流传感器</t>
    <phoneticPr fontId="2" type="noConversion"/>
  </si>
  <si>
    <t>250512：送样</t>
    <phoneticPr fontId="2" type="noConversion"/>
  </si>
  <si>
    <t>Wenjie</t>
    <phoneticPr fontId="2" type="noConversion"/>
  </si>
  <si>
    <t>浙江天成航空科技有限公司</t>
    <phoneticPr fontId="2" type="noConversion"/>
  </si>
  <si>
    <t>苏州柏达电子有限公司</t>
    <phoneticPr fontId="2" type="noConversion"/>
  </si>
  <si>
    <t>王俊佳</t>
    <phoneticPr fontId="2" type="noConversion"/>
  </si>
  <si>
    <t>座椅水平电机1*1</t>
    <phoneticPr fontId="2" type="noConversion"/>
  </si>
  <si>
    <t>250228：推动上量</t>
    <phoneticPr fontId="2" type="noConversion"/>
  </si>
  <si>
    <t>Harry</t>
    <phoneticPr fontId="5" type="noConversion"/>
  </si>
  <si>
    <t>座椅总成</t>
    <phoneticPr fontId="5" type="noConversion"/>
  </si>
  <si>
    <t>座椅水平电机</t>
    <phoneticPr fontId="5" type="noConversion"/>
  </si>
  <si>
    <t>比亚迪，广汽，东风，上汽</t>
    <phoneticPr fontId="5" type="noConversion"/>
  </si>
  <si>
    <t>调角电机1*1</t>
    <phoneticPr fontId="2" type="noConversion"/>
  </si>
  <si>
    <t>250228：跟进客户产线建设情况</t>
    <phoneticPr fontId="2" type="noConversion"/>
  </si>
  <si>
    <t>座椅调角电机</t>
    <phoneticPr fontId="5" type="noConversion"/>
  </si>
  <si>
    <t>山东凯欧电机科技有限公司</t>
    <phoneticPr fontId="2" type="noConversion"/>
  </si>
  <si>
    <t>杨小鸿</t>
    <phoneticPr fontId="2" type="noConversion"/>
  </si>
  <si>
    <t>SC2464SO-CJ-10CR-2464</t>
    <phoneticPr fontId="2" type="noConversion"/>
  </si>
  <si>
    <t>农机位置传感器</t>
    <phoneticPr fontId="2" type="noConversion"/>
  </si>
  <si>
    <t>25410：464t批次再PWM供电下异常，准备换货
拓尔微报价0.2， 凯欧小老板在主持测试工作</t>
    <phoneticPr fontId="2" type="noConversion"/>
  </si>
  <si>
    <t>湖北金镶银科技有限公司</t>
    <phoneticPr fontId="2" type="noConversion"/>
  </si>
  <si>
    <t>SC9675IM-LRF00-TR-Q</t>
    <phoneticPr fontId="2" type="noConversion"/>
  </si>
  <si>
    <t>SC9675IM-LRF00-Q-AB-4XAR-9675</t>
    <phoneticPr fontId="2" type="noConversion"/>
  </si>
  <si>
    <t>奇瑞凸轮轴， 刚开始做，芜湖力诺工程师</t>
    <phoneticPr fontId="2" type="noConversion"/>
  </si>
  <si>
    <t>250513：已经可以批产状态，终端还没有订单过来</t>
    <phoneticPr fontId="2" type="noConversion"/>
  </si>
  <si>
    <t>ATS675</t>
    <phoneticPr fontId="5" type="noConversion"/>
  </si>
  <si>
    <t>Josh</t>
    <phoneticPr fontId="2" type="noConversion"/>
  </si>
  <si>
    <t>工业和机器人</t>
    <phoneticPr fontId="5" type="noConversion"/>
  </si>
  <si>
    <t>液位传感器</t>
    <phoneticPr fontId="2" type="noConversion"/>
  </si>
  <si>
    <t>250228：推广在线编程凸轮轴和ABS摩托车传感器</t>
    <phoneticPr fontId="2" type="noConversion"/>
  </si>
  <si>
    <t>摩托车ABS传感器</t>
    <phoneticPr fontId="2" type="noConversion"/>
  </si>
  <si>
    <t>250513：需要确认ABS摩托车传感器状态，客户还开发？</t>
    <phoneticPr fontId="2" type="noConversion"/>
  </si>
  <si>
    <t>上海六盛电机有限公司</t>
    <phoneticPr fontId="2" type="noConversion"/>
  </si>
  <si>
    <t>上海创滦电子科技有限公司</t>
    <phoneticPr fontId="2" type="noConversion"/>
  </si>
  <si>
    <t>闵洁</t>
    <phoneticPr fontId="2" type="noConversion"/>
  </si>
  <si>
    <t>直流无刷冰箱电机风扇1*1</t>
    <phoneticPr fontId="2" type="noConversion"/>
  </si>
  <si>
    <t>250228：待PM与客户的驱动拜访结果</t>
    <phoneticPr fontId="2" type="noConversion"/>
  </si>
  <si>
    <t>N/A</t>
    <phoneticPr fontId="5" type="noConversion"/>
  </si>
  <si>
    <t>智能家居</t>
    <phoneticPr fontId="5" type="noConversion"/>
  </si>
  <si>
    <t>大家电</t>
    <phoneticPr fontId="5" type="noConversion"/>
  </si>
  <si>
    <t>冰箱</t>
    <phoneticPr fontId="5" type="noConversion"/>
  </si>
  <si>
    <t>冰箱电机风扇</t>
    <phoneticPr fontId="5" type="noConversion"/>
  </si>
  <si>
    <t>卧龙电气驱动集团股份有限公司</t>
    <phoneticPr fontId="2" type="noConversion"/>
  </si>
  <si>
    <t>空调压缩机电机1*3</t>
    <phoneticPr fontId="2" type="noConversion"/>
  </si>
  <si>
    <t>250228：挖掘更多业务机会点</t>
    <phoneticPr fontId="2" type="noConversion"/>
  </si>
  <si>
    <t>空调</t>
    <phoneticPr fontId="5" type="noConversion"/>
  </si>
  <si>
    <t>空调压缩机电机</t>
    <phoneticPr fontId="5" type="noConversion"/>
  </si>
  <si>
    <t>上海嘉辀电子科技有限公司</t>
    <phoneticPr fontId="2" type="noConversion"/>
  </si>
  <si>
    <t>奇瑞门把手</t>
    <phoneticPr fontId="2" type="noConversion"/>
  </si>
  <si>
    <t>约拓绅拜访</t>
    <phoneticPr fontId="2" type="noConversion"/>
  </si>
  <si>
    <t>车门系统</t>
  </si>
  <si>
    <t>隐藏式门把手</t>
  </si>
  <si>
    <t>江苏一东航空机械有限公司</t>
    <phoneticPr fontId="2" type="noConversion"/>
  </si>
  <si>
    <t>小米昆仑，车窗电机1*2，平行感应方式</t>
    <phoneticPr fontId="2" type="noConversion"/>
  </si>
  <si>
    <t>250228: 测试中， 跟进测试结果</t>
    <phoneticPr fontId="2" type="noConversion"/>
  </si>
  <si>
    <t>车身电子</t>
    <phoneticPr fontId="5" type="noConversion"/>
  </si>
  <si>
    <t>车窗总成</t>
    <phoneticPr fontId="5" type="noConversion"/>
  </si>
  <si>
    <t>车窗电机防夹</t>
    <phoneticPr fontId="5" type="noConversion"/>
  </si>
  <si>
    <t>华为尚界汽车，一东供电机给上实，车窗电机1*2，平行感应方式，预计月3万车，25年9月批量。</t>
    <phoneticPr fontId="2" type="noConversion"/>
  </si>
  <si>
    <t>SC2527S6-AB-Q-DA-40CR-2527</t>
    <phoneticPr fontId="2" type="noConversion"/>
  </si>
  <si>
    <t>平台件</t>
    <phoneticPr fontId="2" type="noConversion"/>
  </si>
  <si>
    <t>250512: 磁环位置评估中</t>
    <phoneticPr fontId="2" type="noConversion"/>
  </si>
  <si>
    <t>汪送华</t>
    <phoneticPr fontId="2" type="noConversion"/>
  </si>
  <si>
    <t>VE1430Q1VA3RADJ</t>
    <phoneticPr fontId="2" type="noConversion"/>
  </si>
  <si>
    <t>TRVE1430Q1VA3RADJ(VA2201E)-1430Q</t>
    <phoneticPr fontId="2" type="noConversion"/>
  </si>
  <si>
    <t>车用环境亮度传感器</t>
    <phoneticPr fontId="2" type="noConversion"/>
  </si>
  <si>
    <t>250314：角度传感器需要确认断线检测是否满足功能
250228：3月中前确认批量时间</t>
    <phoneticPr fontId="2" type="noConversion"/>
  </si>
  <si>
    <t>Torres</t>
    <phoneticPr fontId="2" type="noConversion"/>
  </si>
  <si>
    <t>VE8600EC-TR</t>
    <phoneticPr fontId="2" type="noConversion"/>
  </si>
  <si>
    <t>250512：PCB设计中</t>
    <phoneticPr fontId="2" type="noConversion"/>
  </si>
  <si>
    <t>250512：选型中</t>
    <phoneticPr fontId="2" type="noConversion"/>
  </si>
  <si>
    <t>制动灯开关接近开关</t>
    <phoneticPr fontId="2" type="noConversion"/>
  </si>
  <si>
    <t>250513：样件设计中</t>
    <phoneticPr fontId="2" type="noConversion"/>
  </si>
  <si>
    <t>制动系统</t>
  </si>
  <si>
    <t>制动灯传感器</t>
  </si>
  <si>
    <t>长春富晟汽车电子有限公司</t>
    <phoneticPr fontId="2" type="noConversion"/>
  </si>
  <si>
    <t>P301项目，SC2443SO 红旗HS5天窗项目，25年量产，到2030年，年100K， 单机1*1</t>
    <phoneticPr fontId="2" type="noConversion"/>
  </si>
  <si>
    <t>250228：争取更多业务机会</t>
    <phoneticPr fontId="2" type="noConversion"/>
  </si>
  <si>
    <t>青岛蚂蚁机器人有限责任公司</t>
    <phoneticPr fontId="2" type="noConversion"/>
  </si>
  <si>
    <t>SC4002BU-TR</t>
    <phoneticPr fontId="2" type="noConversion"/>
  </si>
  <si>
    <t>SC4002BU-CA-00CR-4002</t>
    <phoneticPr fontId="2" type="noConversion"/>
  </si>
  <si>
    <t>机器人导航，同立镖，单板64颗粒</t>
    <phoneticPr fontId="2" type="noConversion"/>
  </si>
  <si>
    <t>250214：客户批量28K
250228：3月落实订单</t>
    <phoneticPr fontId="2" type="noConversion"/>
  </si>
  <si>
    <t>Bill</t>
    <phoneticPr fontId="5" type="noConversion"/>
  </si>
  <si>
    <t>工业与机器人</t>
    <phoneticPr fontId="5" type="noConversion"/>
  </si>
  <si>
    <t>工业自动化</t>
    <phoneticPr fontId="5" type="noConversion"/>
  </si>
  <si>
    <t>筛选机器人</t>
    <phoneticPr fontId="5" type="noConversion"/>
  </si>
  <si>
    <t>磁导航条</t>
    <phoneticPr fontId="5" type="noConversion"/>
  </si>
  <si>
    <t>极速跃迁物流（苏州）有限公司</t>
  </si>
  <si>
    <t>磁导航机器人，单机64，3月开始DV， 预计6月开始批量上升使用，25年预计4000-6000套，送样测试， 隔离电压模块， 电机外购，代工带采的形式。</t>
    <phoneticPr fontId="2" type="noConversion"/>
  </si>
  <si>
    <t>250422：小批3K
25410：测试OK，近期会有小批订单。
250228：加深客情关系</t>
    <phoneticPr fontId="2" type="noConversion"/>
  </si>
  <si>
    <t>重庆讯华实业（集团）有限公司</t>
    <phoneticPr fontId="2" type="noConversion"/>
  </si>
  <si>
    <t>SC2462SO-Q-CJ-10CR-2462</t>
    <phoneticPr fontId="2" type="noConversion"/>
  </si>
  <si>
    <t>遮阳板开关1*1</t>
    <phoneticPr fontId="2" type="noConversion"/>
  </si>
  <si>
    <t>极速跃迁物流（苏州）有限公司</t>
    <phoneticPr fontId="2" type="noConversion"/>
  </si>
  <si>
    <t>重要客户</t>
    <phoneticPr fontId="5" type="noConversion"/>
  </si>
  <si>
    <t>VE8602EC-TR</t>
    <phoneticPr fontId="2" type="noConversion"/>
  </si>
  <si>
    <t>伺服电机驱动电源，24转48V，PINK 10A，300W</t>
    <phoneticPr fontId="2" type="noConversion"/>
  </si>
  <si>
    <t>250725：1，提供Demo 2, 提供原理图 3，提供PCB文件</t>
    <phoneticPr fontId="2" type="noConversion"/>
  </si>
  <si>
    <t>PL1</t>
    <phoneticPr fontId="5" type="noConversion"/>
  </si>
  <si>
    <t>1部</t>
    <phoneticPr fontId="5" type="noConversion"/>
  </si>
  <si>
    <t>苏州承逸电子有限公司</t>
    <phoneticPr fontId="2" type="noConversion"/>
  </si>
  <si>
    <t>谢国平</t>
    <phoneticPr fontId="2" type="noConversion"/>
  </si>
  <si>
    <t>SC9675T3-Q-AB-4XAR-9675</t>
    <phoneticPr fontId="2" type="noConversion"/>
  </si>
  <si>
    <t>后装凸轮轴传感器</t>
    <phoneticPr fontId="2" type="noConversion"/>
  </si>
  <si>
    <t>250427：订单需要PM安排人员做编程交付。
250228：落实3月订单DW</t>
    <phoneticPr fontId="2" type="noConversion"/>
  </si>
  <si>
    <t>TLE4986</t>
    <phoneticPr fontId="2" type="noConversion"/>
  </si>
  <si>
    <t>浙江奥正机电有限公司</t>
    <phoneticPr fontId="2" type="noConversion"/>
  </si>
  <si>
    <t>电机控制板</t>
    <phoneticPr fontId="2" type="noConversion"/>
  </si>
  <si>
    <t>250512：样品设计中</t>
    <phoneticPr fontId="2" type="noConversion"/>
  </si>
  <si>
    <t>浙江华诺康科技有限公司</t>
    <phoneticPr fontId="2" type="noConversion"/>
  </si>
  <si>
    <t>电子医疗内窥镜，接近开关</t>
    <phoneticPr fontId="2" type="noConversion"/>
  </si>
  <si>
    <t>250512：验证OK， 客户系统物料号建号。</t>
    <phoneticPr fontId="2" type="noConversion"/>
  </si>
  <si>
    <t>浙江中力机械股份有限公司</t>
    <phoneticPr fontId="2" type="noConversion"/>
  </si>
  <si>
    <t>星瀚微（上海）电子科技有限公司</t>
    <phoneticPr fontId="2" type="noConversion"/>
  </si>
  <si>
    <t>葛庆庆</t>
    <phoneticPr fontId="2" type="noConversion"/>
  </si>
  <si>
    <t>SC69401DC-Q-HD-4XCR-69401</t>
    <phoneticPr fontId="2" type="noConversion"/>
  </si>
  <si>
    <t>应用在 中力 牌 叉车的角度上</t>
    <phoneticPr fontId="2" type="noConversion"/>
  </si>
  <si>
    <t>250409：MLX90315库存消耗中，月需求大概4K</t>
    <phoneticPr fontId="2" type="noConversion"/>
  </si>
  <si>
    <t>Serge</t>
    <phoneticPr fontId="2" type="noConversion"/>
  </si>
  <si>
    <t>叉车</t>
  </si>
  <si>
    <t>电子油门踏板</t>
  </si>
  <si>
    <t>中力</t>
  </si>
  <si>
    <t>叉车油门踏板</t>
    <phoneticPr fontId="2" type="noConversion"/>
  </si>
  <si>
    <t>250416：需要紧急供货16K，月12K的需求</t>
    <phoneticPr fontId="2" type="noConversion"/>
  </si>
  <si>
    <t>叉车转向电机编码器</t>
    <phoneticPr fontId="2" type="noConversion"/>
  </si>
  <si>
    <t>250416：送样，做好客户Din支持</t>
    <phoneticPr fontId="2" type="noConversion"/>
  </si>
  <si>
    <t>A1230</t>
  </si>
  <si>
    <t>转把</t>
  </si>
  <si>
    <t>浙江立镖机器人有限公司</t>
    <phoneticPr fontId="2" type="noConversion"/>
  </si>
  <si>
    <t>用在 立镖 柔性分拣机器人上 用于导航功能使用</t>
    <phoneticPr fontId="2" type="noConversion"/>
  </si>
  <si>
    <t>250416：客户预计5月会提货150K， 后续需求在5月才能更新。</t>
    <phoneticPr fontId="2" type="noConversion"/>
  </si>
  <si>
    <t>工业自动化</t>
  </si>
  <si>
    <t>筛选机器人</t>
  </si>
  <si>
    <t>磁导航条</t>
  </si>
  <si>
    <t>宁波高悦电机技术有限公司</t>
    <phoneticPr fontId="2" type="noConversion"/>
  </si>
  <si>
    <t>SC2442UA-Q-DB-60AK-2442</t>
    <phoneticPr fontId="2" type="noConversion"/>
  </si>
  <si>
    <t>吉利的EDS 电机和康明斯第一版尿素泵上</t>
    <phoneticPr fontId="2" type="noConversion"/>
  </si>
  <si>
    <t>250416：SC2442UA变更封装尺寸， 急需提供样品给客户验证</t>
    <phoneticPr fontId="2" type="noConversion"/>
  </si>
  <si>
    <t>燃油箱</t>
  </si>
  <si>
    <t>尿素泵</t>
  </si>
  <si>
    <t>康明斯第二版尿素泵上</t>
    <phoneticPr fontId="2" type="noConversion"/>
  </si>
  <si>
    <t>250416：正常批量</t>
    <phoneticPr fontId="2" type="noConversion"/>
  </si>
  <si>
    <t>东风汽车</t>
  </si>
  <si>
    <t>S73</t>
  </si>
  <si>
    <t>美国Rivian的电子油泵项目上</t>
    <phoneticPr fontId="2" type="noConversion"/>
  </si>
  <si>
    <t>250408：正常批量</t>
    <phoneticPr fontId="2" type="noConversion"/>
  </si>
  <si>
    <t>热管理</t>
  </si>
  <si>
    <t>电子油泵</t>
  </si>
  <si>
    <t>侧滑门电机无刷控制器</t>
    <phoneticPr fontId="2" type="noConversion"/>
  </si>
  <si>
    <t>250408：送样，做好客户Din支持</t>
    <phoneticPr fontId="2" type="noConversion"/>
  </si>
  <si>
    <t>宁波拓普电器有限公司</t>
    <phoneticPr fontId="2" type="noConversion"/>
  </si>
  <si>
    <t>轮速传感器国产化项目</t>
    <phoneticPr fontId="2" type="noConversion"/>
  </si>
  <si>
    <t>250416: EC测试已OK，五菱试点，需要做客户拜访。
250408：了解客户项目时间节点</t>
    <phoneticPr fontId="2" type="noConversion"/>
  </si>
  <si>
    <t>TLE4942</t>
  </si>
  <si>
    <t>杭州智源电子有限公司</t>
    <phoneticPr fontId="2" type="noConversion"/>
  </si>
  <si>
    <t>用于宁波新思创的电磁阀项目上</t>
    <phoneticPr fontId="2" type="noConversion"/>
  </si>
  <si>
    <t>250416：客户在争取项目中</t>
    <phoneticPr fontId="2" type="noConversion"/>
  </si>
  <si>
    <t>电磁阀</t>
  </si>
  <si>
    <t>理想</t>
  </si>
  <si>
    <t>L9/8/7</t>
  </si>
  <si>
    <t>常州市富盛星特电子有限公司</t>
    <phoneticPr fontId="2" type="noConversion"/>
  </si>
  <si>
    <t>250626：送样，终端价格0.19内，替换灿瑞OCH40161TOAE</t>
    <phoneticPr fontId="2" type="noConversion"/>
  </si>
  <si>
    <t>北京经纬恒润科技股份有限公司</t>
    <phoneticPr fontId="2" type="noConversion"/>
  </si>
  <si>
    <t>麦格纳Xin1-奇瑞项目，三相电采样，多合一。</t>
    <phoneticPr fontId="2" type="noConversion"/>
  </si>
  <si>
    <t>250506：设计中</t>
    <phoneticPr fontId="2" type="noConversion"/>
  </si>
  <si>
    <t>吉利星驱E22H海外版电流传感器；±100A内精度误差不超过2A，±100A以外，精度误差不超过±2%。OEM：吉利；SOP时间：2026年6月30；配套年限：4年；配套量：共41W</t>
    <phoneticPr fontId="2" type="noConversion"/>
  </si>
  <si>
    <t>250506：定期跟进客户项目进度</t>
    <phoneticPr fontId="2" type="noConversion"/>
  </si>
  <si>
    <t>电机控制器</t>
  </si>
  <si>
    <t>吉利</t>
    <phoneticPr fontId="2" type="noConversion"/>
  </si>
  <si>
    <t>珠海英搏尔电气股份有限公司</t>
    <phoneticPr fontId="2" type="noConversion"/>
  </si>
  <si>
    <t>浙江绿源电动车有限公司</t>
  </si>
  <si>
    <t>SC1645A1-AI-00HK-1466</t>
    <phoneticPr fontId="2" type="noConversion"/>
  </si>
  <si>
    <t>南通杰玛电机有限公司</t>
  </si>
  <si>
    <t>SC1645A1-AI-00HK-65HA</t>
    <phoneticPr fontId="2" type="noConversion"/>
  </si>
  <si>
    <t>南通杰玛电机有限公司</t>
    <phoneticPr fontId="2" type="noConversion"/>
  </si>
  <si>
    <t>SC1645B1-AI-00HK-615HA</t>
  </si>
  <si>
    <t>SC1945B1</t>
    <phoneticPr fontId="2" type="noConversion"/>
  </si>
  <si>
    <t>SC1945B1(STC2899AJ)-N13</t>
    <phoneticPr fontId="2" type="noConversion"/>
  </si>
  <si>
    <t>SC1945A1-BK</t>
    <phoneticPr fontId="2" type="noConversion"/>
  </si>
  <si>
    <t>SC1945A1-AJ-00HK-N13</t>
    <phoneticPr fontId="2" type="noConversion"/>
  </si>
  <si>
    <t>苏州扬信德汽车零部件有限公司</t>
    <phoneticPr fontId="2" type="noConversion"/>
  </si>
  <si>
    <t>上海亚特联科技有限公司</t>
    <phoneticPr fontId="2" type="noConversion"/>
  </si>
  <si>
    <t>Elon</t>
    <phoneticPr fontId="2" type="noConversion"/>
  </si>
  <si>
    <t>朱晓贤</t>
    <phoneticPr fontId="2" type="noConversion"/>
  </si>
  <si>
    <t>SC1138SO-N-Q-CC-00LR-1138</t>
    <phoneticPr fontId="2" type="noConversion"/>
  </si>
  <si>
    <t>电子怀档</t>
    <phoneticPr fontId="2" type="noConversion"/>
  </si>
  <si>
    <t>换挡系统</t>
  </si>
  <si>
    <t>重汽</t>
  </si>
  <si>
    <t>T7</t>
  </si>
  <si>
    <t>SC1134SO-N-Q-CI-00LR-1134</t>
    <phoneticPr fontId="2" type="noConversion"/>
  </si>
  <si>
    <t>T81</t>
    <phoneticPr fontId="2" type="noConversion"/>
  </si>
  <si>
    <t>SC69401DC-SPI-TR-Q</t>
    <phoneticPr fontId="2" type="noConversion"/>
  </si>
  <si>
    <t>SC69401DC-SPI-Q-HD-4XCR-69401</t>
    <phoneticPr fontId="2" type="noConversion"/>
  </si>
  <si>
    <t>仪表开关组合</t>
    <phoneticPr fontId="2" type="noConversion"/>
  </si>
  <si>
    <t>浙江万超电器有限公司</t>
    <phoneticPr fontId="2" type="noConversion"/>
  </si>
  <si>
    <t>浙江长江汽车电子有限公司</t>
    <phoneticPr fontId="2" type="noConversion"/>
  </si>
  <si>
    <t>MT6511CT</t>
  </si>
  <si>
    <t>中控系统</t>
  </si>
  <si>
    <t>组合开关怀挡</t>
  </si>
  <si>
    <t>MT6501GT</t>
  </si>
  <si>
    <t>宁波精华电子科技股份有限公司</t>
    <phoneticPr fontId="2" type="noConversion"/>
  </si>
  <si>
    <t>周鑫</t>
    <phoneticPr fontId="2" type="noConversion"/>
  </si>
  <si>
    <t>MLX922llSE</t>
  </si>
  <si>
    <t>尾门撑杆电机</t>
  </si>
  <si>
    <t>上汽</t>
  </si>
  <si>
    <t>扶手箱位置检测</t>
    <phoneticPr fontId="2" type="noConversion"/>
  </si>
  <si>
    <t>SC2943SO-TR-Q</t>
  </si>
  <si>
    <t>SC2943SO-Q-DB-60CR-2943</t>
    <phoneticPr fontId="2" type="noConversion"/>
  </si>
  <si>
    <t>嘉兴市尚瑞电子科技有限公司</t>
    <phoneticPr fontId="2" type="noConversion"/>
  </si>
  <si>
    <t>SC2432SO-Q-CM-10CR-2432</t>
    <phoneticPr fontId="2" type="noConversion"/>
  </si>
  <si>
    <t>扶手箱开合</t>
    <phoneticPr fontId="2" type="noConversion"/>
  </si>
  <si>
    <t>扶手箱开合</t>
  </si>
  <si>
    <t>车载冰箱抽屉</t>
    <phoneticPr fontId="2" type="noConversion"/>
  </si>
  <si>
    <t>浙江泰康电子有限公司</t>
    <phoneticPr fontId="2" type="noConversion"/>
  </si>
  <si>
    <t>SC25891CUA-A-Q</t>
    <phoneticPr fontId="2" type="noConversion"/>
  </si>
  <si>
    <t>SC25891CUA-A-Q(STC11210G-Q)-25891C</t>
    <phoneticPr fontId="2" type="noConversion"/>
  </si>
  <si>
    <t>安全带卡扣</t>
    <phoneticPr fontId="2" type="noConversion"/>
  </si>
  <si>
    <t>MLX92241CUA</t>
  </si>
  <si>
    <t>安全带系统</t>
  </si>
  <si>
    <t>安全带插锁</t>
  </si>
  <si>
    <t>SC25891SE-TR-Q</t>
    <phoneticPr fontId="2" type="noConversion"/>
  </si>
  <si>
    <t>SC25891SE-Q-CG-40CR-5891</t>
    <phoneticPr fontId="2" type="noConversion"/>
  </si>
  <si>
    <t>SC2432SO-N-TR-Q</t>
    <phoneticPr fontId="2" type="noConversion"/>
  </si>
  <si>
    <t>SC2432SO-N-Q-CI-10CR-2432</t>
    <phoneticPr fontId="2" type="noConversion"/>
  </si>
  <si>
    <t>中控PAD支架</t>
    <phoneticPr fontId="2" type="noConversion"/>
  </si>
  <si>
    <t>PAD伸缩支架</t>
  </si>
  <si>
    <t>华为</t>
  </si>
  <si>
    <t>YF</t>
  </si>
  <si>
    <t>新料（低功耗）</t>
    <phoneticPr fontId="2" type="noConversion"/>
  </si>
  <si>
    <t>小桌板位置检测</t>
    <phoneticPr fontId="2" type="noConversion"/>
  </si>
  <si>
    <t>座椅控制器</t>
  </si>
  <si>
    <t>充电口盖检测</t>
    <phoneticPr fontId="2" type="noConversion"/>
  </si>
  <si>
    <t>VE1430Q1CA3R33</t>
    <phoneticPr fontId="2" type="noConversion"/>
  </si>
  <si>
    <t>TRVE1430Q1CA3R33(VA2201D)-1430Q</t>
    <phoneticPr fontId="2" type="noConversion"/>
  </si>
  <si>
    <t>方向盘开关板子</t>
    <phoneticPr fontId="2" type="noConversion"/>
  </si>
  <si>
    <t>组合开关方向盘滚轮</t>
  </si>
  <si>
    <t>浙江卡巴尔电气有限公司</t>
    <phoneticPr fontId="2" type="noConversion"/>
  </si>
  <si>
    <t>SC4624DC-20A-TR</t>
    <phoneticPr fontId="2" type="noConversion"/>
  </si>
  <si>
    <t>工程机械遥控设备</t>
    <phoneticPr fontId="2" type="noConversion"/>
  </si>
  <si>
    <t>工程机械遥控设备</t>
  </si>
  <si>
    <t>上海奥众汽车部件制造有限公司</t>
    <phoneticPr fontId="2" type="noConversion"/>
  </si>
  <si>
    <t>节气门</t>
    <phoneticPr fontId="2" type="noConversion"/>
  </si>
  <si>
    <t>MT6511</t>
    <phoneticPr fontId="2" type="noConversion"/>
  </si>
  <si>
    <t>·</t>
    <phoneticPr fontId="2" type="noConversion"/>
  </si>
  <si>
    <t>芜湖美达科技有限公司</t>
    <phoneticPr fontId="2" type="noConversion"/>
  </si>
  <si>
    <t>SC2434SO-TR</t>
    <phoneticPr fontId="2" type="noConversion"/>
  </si>
  <si>
    <t>SC2434SO-CM-10CR-2434</t>
    <phoneticPr fontId="2" type="noConversion"/>
  </si>
  <si>
    <t>方向盘滚轮</t>
    <phoneticPr fontId="2" type="noConversion"/>
  </si>
  <si>
    <t>江苏启达机电有限公司</t>
    <phoneticPr fontId="2" type="noConversion"/>
  </si>
  <si>
    <t>上海亿韧电子有限公司</t>
    <phoneticPr fontId="2" type="noConversion"/>
  </si>
  <si>
    <t>穆博伟</t>
    <phoneticPr fontId="2" type="noConversion"/>
  </si>
  <si>
    <t>湖北开特汽车电子有限公司</t>
    <phoneticPr fontId="2" type="noConversion"/>
  </si>
  <si>
    <t>电子水阀</t>
    <phoneticPr fontId="2" type="noConversion"/>
  </si>
  <si>
    <t>泵</t>
  </si>
  <si>
    <t>电子水泵</t>
  </si>
  <si>
    <t>斯丹德，松枝</t>
  </si>
  <si>
    <t>SC9675IM-LRF01-Q-AB-4XAR-9675</t>
    <phoneticPr fontId="2" type="noConversion"/>
  </si>
  <si>
    <t>ATS675</t>
    <phoneticPr fontId="2" type="noConversion"/>
  </si>
  <si>
    <t>福田</t>
  </si>
  <si>
    <t>TLE4942</t>
    <phoneticPr fontId="2" type="noConversion"/>
  </si>
  <si>
    <t>刹车系统</t>
  </si>
  <si>
    <t>ABS传感器</t>
  </si>
  <si>
    <t>福特</t>
    <phoneticPr fontId="2" type="noConversion"/>
  </si>
  <si>
    <t>MLX92211LSE</t>
    <phoneticPr fontId="2" type="noConversion"/>
  </si>
  <si>
    <t>BYD</t>
    <phoneticPr fontId="2" type="noConversion"/>
  </si>
  <si>
    <t>上海沃巴弗电子科技有限公司</t>
    <phoneticPr fontId="2" type="noConversion"/>
  </si>
  <si>
    <t>HAL3725</t>
    <phoneticPr fontId="2" type="noConversion"/>
  </si>
  <si>
    <t>江苏安智欣电子科技有限公司</t>
    <phoneticPr fontId="2" type="noConversion"/>
  </si>
  <si>
    <t>蓝牙控制器</t>
    <phoneticPr fontId="2" type="noConversion"/>
  </si>
  <si>
    <t>广东麦格纳汽车镜像有限公司</t>
    <phoneticPr fontId="2" type="noConversion"/>
  </si>
  <si>
    <t>杭州港德电子有限公司</t>
    <phoneticPr fontId="2" type="noConversion"/>
  </si>
  <si>
    <t>闫总</t>
    <phoneticPr fontId="2" type="noConversion"/>
  </si>
  <si>
    <t>伟速达（中国）汽车安全系统有限公司</t>
    <phoneticPr fontId="2" type="noConversion"/>
  </si>
  <si>
    <t>英纳法汽车天窗系统（上海）有限公司</t>
    <phoneticPr fontId="2" type="noConversion"/>
  </si>
  <si>
    <t xml:space="preserve">	孚津利（上海）电子科技有限公司</t>
    <phoneticPr fontId="2" type="noConversion"/>
  </si>
  <si>
    <t>王伟</t>
    <phoneticPr fontId="2" type="noConversion"/>
  </si>
  <si>
    <t>天窗控制器</t>
  </si>
  <si>
    <t>平台</t>
    <phoneticPr fontId="2" type="noConversion"/>
  </si>
  <si>
    <t>VE1430Q1BA3R5</t>
    <phoneticPr fontId="2" type="noConversion"/>
  </si>
  <si>
    <t>TRVE1430Q1BA3R5(VA2201D)-1430Q</t>
    <phoneticPr fontId="2" type="noConversion"/>
  </si>
  <si>
    <t>尾门控制器</t>
    <phoneticPr fontId="2" type="noConversion"/>
  </si>
  <si>
    <t>英纳法智联科技（北京）有限公司</t>
    <phoneticPr fontId="2" type="noConversion"/>
  </si>
  <si>
    <t>天窗氛围灯</t>
    <phoneticPr fontId="2" type="noConversion"/>
  </si>
  <si>
    <t xml:space="preserve">	宁波恒佑电机有限公司</t>
    <phoneticPr fontId="2" type="noConversion"/>
  </si>
  <si>
    <t>SC1445A1-41F</t>
    <phoneticPr fontId="2" type="noConversion"/>
  </si>
  <si>
    <t>跑步机电机位置检测</t>
    <phoneticPr fontId="2" type="noConversion"/>
  </si>
  <si>
    <t>上海拓殷电子科技技术有限公司</t>
    <phoneticPr fontId="2" type="noConversion"/>
  </si>
  <si>
    <t>上海继峰座椅有限公司</t>
    <phoneticPr fontId="2" type="noConversion"/>
  </si>
  <si>
    <t>隐藏式扶手</t>
    <phoneticPr fontId="2" type="noConversion"/>
  </si>
  <si>
    <t>苏州锐璟科技有限公司</t>
    <phoneticPr fontId="2" type="noConversion"/>
  </si>
  <si>
    <t>扶手箱移动</t>
    <phoneticPr fontId="2" type="noConversion"/>
  </si>
  <si>
    <t>座椅扶手位置</t>
  </si>
  <si>
    <t>广州爱者科技有限公司</t>
    <phoneticPr fontId="2" type="noConversion"/>
  </si>
  <si>
    <t>深圳诺信微科技有限公司</t>
    <phoneticPr fontId="2" type="noConversion"/>
  </si>
  <si>
    <t>黎海峰</t>
    <phoneticPr fontId="2" type="noConversion"/>
  </si>
  <si>
    <t>车门电机</t>
  </si>
  <si>
    <t>柳州五达汽车部件有限公司</t>
    <phoneticPr fontId="2" type="noConversion"/>
  </si>
  <si>
    <t>五菱</t>
  </si>
  <si>
    <t>宾果</t>
  </si>
  <si>
    <t>SC2438SO-Q-CM-10CR-2438</t>
    <phoneticPr fontId="2" type="noConversion"/>
  </si>
  <si>
    <t>天津英创汇智汽车技术有限公司</t>
    <phoneticPr fontId="2" type="noConversion"/>
  </si>
  <si>
    <t>王帅</t>
    <phoneticPr fontId="2" type="noConversion"/>
  </si>
  <si>
    <t>SC9641TS-PC-Q-AI-10LR-9641PC</t>
    <phoneticPr fontId="2" type="noConversion"/>
  </si>
  <si>
    <t>上海泰崇电气有限公司</t>
    <phoneticPr fontId="2" type="noConversion"/>
  </si>
  <si>
    <t>赵凯</t>
    <phoneticPr fontId="2" type="noConversion"/>
  </si>
  <si>
    <t>家居电机</t>
    <phoneticPr fontId="2" type="noConversion"/>
  </si>
  <si>
    <t>电动家具</t>
  </si>
  <si>
    <t>电动桌椅</t>
  </si>
  <si>
    <t>升降桌电机</t>
  </si>
  <si>
    <t>SC1245SO-N-CD-00NR-1245</t>
    <phoneticPr fontId="2" type="noConversion"/>
  </si>
  <si>
    <t>SC2943SO-TR-Q</t>
    <phoneticPr fontId="2" type="noConversion"/>
  </si>
  <si>
    <t>侧移门检测</t>
    <phoneticPr fontId="2" type="noConversion"/>
  </si>
  <si>
    <t>上海英汇科技发展有限公司</t>
    <phoneticPr fontId="2" type="noConversion"/>
  </si>
  <si>
    <t>车门踏板</t>
    <phoneticPr fontId="2" type="noConversion"/>
  </si>
  <si>
    <t>车门踏板电机</t>
  </si>
  <si>
    <t>浙江宏发精密科技有限公司</t>
    <phoneticPr fontId="2" type="noConversion"/>
  </si>
  <si>
    <t>Vivi</t>
    <phoneticPr fontId="2" type="noConversion"/>
  </si>
  <si>
    <t>SC3100VB-BK-Q</t>
    <phoneticPr fontId="2" type="noConversion"/>
  </si>
  <si>
    <t>SC3100VB-DG-00CK-3100</t>
    <phoneticPr fontId="2" type="noConversion"/>
  </si>
  <si>
    <t>光伏电流传感器</t>
    <phoneticPr fontId="2" type="noConversion"/>
  </si>
  <si>
    <t>Axel</t>
    <phoneticPr fontId="2" type="noConversion"/>
  </si>
  <si>
    <t>储能</t>
  </si>
  <si>
    <t>储能BMS</t>
  </si>
  <si>
    <t>BMS</t>
  </si>
  <si>
    <t>SC4643VB-Q-DE-40CK-4643</t>
    <phoneticPr fontId="2" type="noConversion"/>
  </si>
  <si>
    <t>储能电流传感器</t>
    <phoneticPr fontId="2" type="noConversion"/>
  </si>
  <si>
    <t>电摩电流传感器</t>
    <phoneticPr fontId="2" type="noConversion"/>
  </si>
  <si>
    <t>SC4643SA-Q-DE-40CK-4643</t>
    <phoneticPr fontId="2" type="noConversion"/>
  </si>
  <si>
    <t>厦门宏发电力电器有限公司</t>
    <phoneticPr fontId="2" type="noConversion"/>
  </si>
  <si>
    <t>SC4665VB-BK</t>
    <phoneticPr fontId="2" type="noConversion"/>
  </si>
  <si>
    <t>SC4665VB-HB-33CK-4665</t>
    <phoneticPr fontId="2" type="noConversion"/>
  </si>
  <si>
    <t>高压直流继电器</t>
    <phoneticPr fontId="2" type="noConversion"/>
  </si>
  <si>
    <t>奥托立夫（上海）汽车安全系统研发有限公司</t>
    <phoneticPr fontId="2" type="noConversion"/>
  </si>
  <si>
    <t>武汉艾捷芯汽车科技有限公司</t>
    <phoneticPr fontId="2" type="noConversion"/>
  </si>
  <si>
    <t>陈颖</t>
    <phoneticPr fontId="2" type="noConversion"/>
  </si>
  <si>
    <t>SC25791SE-TR-Q</t>
    <phoneticPr fontId="2" type="noConversion"/>
  </si>
  <si>
    <t>SC25791SE-Q-CG-40CR-5791</t>
    <phoneticPr fontId="2" type="noConversion"/>
  </si>
  <si>
    <t>安全带插锁</t>
    <phoneticPr fontId="2" type="noConversion"/>
  </si>
  <si>
    <t>MLX92241LSE</t>
  </si>
  <si>
    <t>SC25791CUA-A-Q</t>
    <phoneticPr fontId="2" type="noConversion"/>
  </si>
  <si>
    <t>SC25791CUA-A(STC11210G-Q)-25791C</t>
    <phoneticPr fontId="2" type="noConversion"/>
  </si>
  <si>
    <t>MLX92242LUA</t>
  </si>
  <si>
    <t>安全带卷收器</t>
    <phoneticPr fontId="2" type="noConversion"/>
  </si>
  <si>
    <t>TLE4963-1M</t>
  </si>
  <si>
    <t>安全带卷收器</t>
  </si>
  <si>
    <t>大众</t>
    <phoneticPr fontId="2" type="noConversion"/>
  </si>
  <si>
    <t>安全带支架</t>
    <phoneticPr fontId="2" type="noConversion"/>
  </si>
  <si>
    <t>HAL835A</t>
  </si>
  <si>
    <t>安全带BTS</t>
  </si>
  <si>
    <t>卡奥斯创智物联科技有限公司</t>
    <phoneticPr fontId="2" type="noConversion"/>
  </si>
  <si>
    <t>帕太国际贸易（上海）有限公司</t>
    <phoneticPr fontId="2" type="noConversion"/>
  </si>
  <si>
    <t>王金</t>
    <phoneticPr fontId="2" type="noConversion"/>
  </si>
  <si>
    <t>洗衣机排水泵</t>
    <phoneticPr fontId="2" type="noConversion"/>
  </si>
  <si>
    <t>海尔</t>
    <phoneticPr fontId="2" type="noConversion"/>
  </si>
  <si>
    <t>工业风机</t>
    <phoneticPr fontId="2" type="noConversion"/>
  </si>
  <si>
    <t>CC6904</t>
  </si>
  <si>
    <t>2部</t>
    <phoneticPr fontId="2" type="noConversion"/>
  </si>
  <si>
    <t>SC2473S5-TR</t>
    <phoneticPr fontId="2" type="noConversion"/>
  </si>
  <si>
    <t>冰箱门检测</t>
    <phoneticPr fontId="2" type="noConversion"/>
  </si>
  <si>
    <t>BD7411G</t>
    <phoneticPr fontId="2" type="noConversion"/>
  </si>
  <si>
    <t>深圳华美和控制系统有限公司</t>
    <phoneticPr fontId="2" type="noConversion"/>
  </si>
  <si>
    <t>童建东</t>
    <phoneticPr fontId="2" type="noConversion"/>
  </si>
  <si>
    <t>SC9641TS-PC-BK-Q</t>
  </si>
  <si>
    <t>摩托车ABS轮速传感器</t>
    <phoneticPr fontId="2" type="noConversion"/>
  </si>
  <si>
    <t>TLE4941</t>
  </si>
  <si>
    <t>八方电气（苏州）股份有限公司</t>
    <phoneticPr fontId="2" type="noConversion"/>
  </si>
  <si>
    <t>曹友生</t>
    <phoneticPr fontId="2" type="noConversion"/>
  </si>
  <si>
    <t>SC9641TS-TR-Q</t>
  </si>
  <si>
    <t>Ebike中置电机速度检测</t>
    <phoneticPr fontId="2" type="noConversion"/>
  </si>
  <si>
    <t>逸航汽车零部件（嘉善）有限公司</t>
    <phoneticPr fontId="2" type="noConversion"/>
  </si>
  <si>
    <t>待定</t>
    <phoneticPr fontId="2" type="noConversion"/>
  </si>
  <si>
    <t>尾门电撑杆</t>
    <phoneticPr fontId="2" type="noConversion"/>
  </si>
  <si>
    <t>BBA/Tesla</t>
    <phoneticPr fontId="2" type="noConversion"/>
  </si>
  <si>
    <t>座椅位置检测</t>
    <phoneticPr fontId="2" type="noConversion"/>
  </si>
  <si>
    <t>SC2452SO-TR-Q</t>
    <phoneticPr fontId="2" type="noConversion"/>
  </si>
  <si>
    <t>SC2452SO-Q-DD-60AR-2452</t>
    <phoneticPr fontId="2" type="noConversion"/>
  </si>
  <si>
    <t>转向角度检测</t>
    <phoneticPr fontId="2" type="noConversion"/>
  </si>
  <si>
    <t>TLE4906</t>
    <phoneticPr fontId="2" type="noConversion"/>
  </si>
  <si>
    <t>重庆伟时光电科技有限公司</t>
    <phoneticPr fontId="2" type="noConversion"/>
  </si>
  <si>
    <t>东芝家用电器制造（南海）有限公司</t>
    <phoneticPr fontId="2" type="noConversion"/>
  </si>
  <si>
    <t>鉴微信息科技（上海）有限公司</t>
    <phoneticPr fontId="2" type="noConversion"/>
  </si>
  <si>
    <t>王军</t>
    <phoneticPr fontId="2" type="noConversion"/>
  </si>
  <si>
    <t>SC2432SO-TR</t>
    <phoneticPr fontId="2" type="noConversion"/>
  </si>
  <si>
    <t>SC2432SO-CM-10CR-2432</t>
    <phoneticPr fontId="2" type="noConversion"/>
  </si>
  <si>
    <t>冰箱门开合检测</t>
    <phoneticPr fontId="2" type="noConversion"/>
  </si>
  <si>
    <t>SC2033SO-N-TR</t>
    <phoneticPr fontId="2" type="noConversion"/>
  </si>
  <si>
    <t>SC2033SO-N-GD-00NR-2033</t>
    <phoneticPr fontId="2" type="noConversion"/>
  </si>
  <si>
    <t>制冰机开合检测</t>
    <phoneticPr fontId="2" type="noConversion"/>
  </si>
  <si>
    <t>S-5716ANSL1-M3T1U</t>
    <phoneticPr fontId="2" type="noConversion"/>
  </si>
  <si>
    <t>合肥美的电冰箱有限公司</t>
    <phoneticPr fontId="2" type="noConversion"/>
  </si>
  <si>
    <t>冰箱门角度检测</t>
    <phoneticPr fontId="2" type="noConversion"/>
  </si>
  <si>
    <t>冰箱升降搁架</t>
    <phoneticPr fontId="2" type="noConversion"/>
  </si>
  <si>
    <t>宁波华德汽车零部件有限公司</t>
    <phoneticPr fontId="2" type="noConversion"/>
  </si>
  <si>
    <t>陆建明</t>
    <phoneticPr fontId="2" type="noConversion"/>
  </si>
  <si>
    <t>隐藏式门锁</t>
    <phoneticPr fontId="2" type="noConversion"/>
  </si>
  <si>
    <t>MT8315ET</t>
    <phoneticPr fontId="2" type="noConversion"/>
  </si>
  <si>
    <t>SC2948SO-TR-Q</t>
    <phoneticPr fontId="2" type="noConversion"/>
  </si>
  <si>
    <t>泛亚汽车技术中心有限公司</t>
    <phoneticPr fontId="2" type="noConversion"/>
  </si>
  <si>
    <t>SC2569X</t>
    <phoneticPr fontId="2" type="noConversion"/>
  </si>
  <si>
    <t>待确认</t>
    <phoneticPr fontId="2" type="noConversion"/>
  </si>
  <si>
    <t>合肥巨一动力系统有限公司</t>
    <phoneticPr fontId="2" type="noConversion"/>
  </si>
  <si>
    <t>麻龙龙</t>
    <phoneticPr fontId="2" type="noConversion"/>
  </si>
  <si>
    <t>MLX91209</t>
    <phoneticPr fontId="2" type="noConversion"/>
  </si>
  <si>
    <t>杰必机电（中国）有限公司</t>
    <phoneticPr fontId="2" type="noConversion"/>
  </si>
  <si>
    <t>智能后视镜</t>
    <phoneticPr fontId="2" type="noConversion"/>
  </si>
  <si>
    <t>后视镜</t>
  </si>
  <si>
    <t>老项目-电动尾门控制器</t>
    <phoneticPr fontId="2" type="noConversion"/>
  </si>
  <si>
    <t>上海保隆汽车科技（安徽）有限公司</t>
    <phoneticPr fontId="2" type="noConversion"/>
  </si>
  <si>
    <t>空气悬架压缩机控制器</t>
    <phoneticPr fontId="2" type="noConversion"/>
  </si>
  <si>
    <t>SC9632VB-CE-00CK-9632</t>
    <phoneticPr fontId="2" type="noConversion"/>
  </si>
  <si>
    <t>杭州神林电子有限公司</t>
    <phoneticPr fontId="2" type="noConversion"/>
  </si>
  <si>
    <t>SC9621VB-CF-00CK-9621</t>
    <phoneticPr fontId="2" type="noConversion"/>
  </si>
  <si>
    <t>SC4251D3-GA-00FR-4251</t>
    <phoneticPr fontId="2" type="noConversion"/>
  </si>
  <si>
    <t>温州市精一智能料技有限公司</t>
    <phoneticPr fontId="2" type="noConversion"/>
  </si>
  <si>
    <t>SC1134UA-CI-00AK-44E</t>
    <phoneticPr fontId="2" type="noConversion"/>
  </si>
  <si>
    <t>仪征三科智电子有限公司</t>
    <phoneticPr fontId="2" type="noConversion"/>
  </si>
  <si>
    <t>中山市利兴诚德电子有限公司</t>
    <phoneticPr fontId="2" type="noConversion"/>
  </si>
  <si>
    <t>华夏磁电子技术(河南)有限公司</t>
    <phoneticPr fontId="2" type="noConversion"/>
  </si>
  <si>
    <t>SC9633VB-BK</t>
  </si>
  <si>
    <t>SC9633VB-CF-00CK-9633</t>
  </si>
  <si>
    <t>上海茂晶电子科技有限公司</t>
    <phoneticPr fontId="2" type="noConversion"/>
  </si>
  <si>
    <t>NM.SC60104</t>
    <phoneticPr fontId="2" type="noConversion"/>
  </si>
  <si>
    <t>SC60228DC-DC-00AR-NM</t>
  </si>
  <si>
    <t>合肥德通电驱动系统有限公司</t>
    <phoneticPr fontId="2" type="noConversion"/>
  </si>
  <si>
    <t>SC4688SA-Q-DC-40CK-4688</t>
    <phoneticPr fontId="2" type="noConversion"/>
  </si>
  <si>
    <t xml:space="preserve">	宁波帅特龙汽车系统股份有限公司</t>
    <phoneticPr fontId="2" type="noConversion"/>
  </si>
  <si>
    <t>天窗带遮阳帘控制器</t>
    <phoneticPr fontId="2" type="noConversion"/>
  </si>
  <si>
    <t>俄罗斯客户（Keaz）</t>
    <phoneticPr fontId="2" type="noConversion"/>
  </si>
  <si>
    <t>SC2242UA-BK-Q</t>
    <phoneticPr fontId="2" type="noConversion"/>
  </si>
  <si>
    <t>SC2242UA-Q-CH-10AK-2242</t>
  </si>
  <si>
    <t>SC9684TS-Q-DB-4XAR-9684</t>
    <phoneticPr fontId="2" type="noConversion"/>
  </si>
  <si>
    <t>山东康泰智能科技股份有限公司</t>
    <phoneticPr fontId="2" type="noConversion"/>
  </si>
  <si>
    <t>SC1134UA-CI-00AK-1134</t>
    <phoneticPr fontId="2" type="noConversion"/>
  </si>
  <si>
    <t>按摩椅</t>
    <phoneticPr fontId="2" type="noConversion"/>
  </si>
  <si>
    <t>上海帝奇自动化设备有限公司</t>
    <phoneticPr fontId="2" type="noConversion"/>
  </si>
  <si>
    <t>温州江和汽车零部件制造有限公司</t>
    <phoneticPr fontId="2" type="noConversion"/>
  </si>
  <si>
    <t>SC9641TS-P-AI-10AR-G1630</t>
    <phoneticPr fontId="2" type="noConversion"/>
  </si>
  <si>
    <t>SC9648TS-AI-10AR-9648</t>
    <phoneticPr fontId="2" type="noConversion"/>
  </si>
  <si>
    <t>车速传感器</t>
    <phoneticPr fontId="2" type="noConversion"/>
  </si>
  <si>
    <t>微进电子科技（上海）有限公司</t>
    <phoneticPr fontId="2" type="noConversion"/>
  </si>
  <si>
    <t>立讯精密工业(昆山)有限公司</t>
    <phoneticPr fontId="2" type="noConversion"/>
  </si>
  <si>
    <t>赵光远</t>
    <phoneticPr fontId="2" type="noConversion"/>
  </si>
  <si>
    <t>传动机构</t>
    <phoneticPr fontId="2" type="noConversion"/>
  </si>
  <si>
    <t>深圳市英泰康科技有限公司</t>
    <phoneticPr fontId="2" type="noConversion"/>
  </si>
  <si>
    <t>SC2064SO-GC-00NR-2064</t>
    <phoneticPr fontId="2" type="noConversion"/>
  </si>
  <si>
    <t>加湿器</t>
    <phoneticPr fontId="2" type="noConversion"/>
  </si>
  <si>
    <t>小批量</t>
    <phoneticPr fontId="4" type="noConversion"/>
  </si>
  <si>
    <t>宁波华宇电子有限公司</t>
    <phoneticPr fontId="2" type="noConversion"/>
  </si>
  <si>
    <t>河北赫尔电子科技有限公司</t>
    <phoneticPr fontId="2" type="noConversion"/>
  </si>
  <si>
    <t>盐城思瑀智能控制系统有限公司</t>
    <phoneticPr fontId="2" type="noConversion"/>
  </si>
  <si>
    <t>西安泰德汽车技术有限公司</t>
    <phoneticPr fontId="2" type="noConversion"/>
  </si>
  <si>
    <t>浙江捷昌线性驱动科技股份有限公司</t>
    <phoneticPr fontId="2" type="noConversion"/>
  </si>
  <si>
    <t>上海朗大光电科技有限公司</t>
    <phoneticPr fontId="2" type="noConversion"/>
  </si>
  <si>
    <t>SC1245A3-CD-00CK-41F</t>
    <phoneticPr fontId="2" type="noConversion"/>
  </si>
  <si>
    <t>深圳朗特智能控制股份有限公司</t>
    <phoneticPr fontId="2" type="noConversion"/>
  </si>
  <si>
    <t>上海蕲太电子有限公司</t>
    <phoneticPr fontId="2" type="noConversion"/>
  </si>
  <si>
    <t>SC1445A2</t>
    <phoneticPr fontId="2" type="noConversion"/>
  </si>
  <si>
    <t>SC1445A2-713B</t>
    <phoneticPr fontId="2" type="noConversion"/>
  </si>
  <si>
    <t>SC1445B2</t>
    <phoneticPr fontId="2" type="noConversion"/>
  </si>
  <si>
    <t>SC1445B2-713</t>
    <phoneticPr fontId="2" type="noConversion"/>
  </si>
  <si>
    <t>大澳电器（江苏）有限公司</t>
    <phoneticPr fontId="2" type="noConversion"/>
  </si>
  <si>
    <t>常州帝美娜电子有限公司</t>
    <phoneticPr fontId="2" type="noConversion"/>
  </si>
  <si>
    <t>SC1002N2W-BK</t>
    <phoneticPr fontId="2" type="noConversion"/>
  </si>
  <si>
    <t>SC1002N2W-CL-00AK-N41F</t>
    <phoneticPr fontId="2" type="noConversion"/>
  </si>
  <si>
    <t>徐州南普机电科技有限公司</t>
    <phoneticPr fontId="2" type="noConversion"/>
  </si>
  <si>
    <t>SC1919UA-BK</t>
    <phoneticPr fontId="2" type="noConversion"/>
  </si>
  <si>
    <t>SC1919UA-CD-90AK-919H</t>
    <phoneticPr fontId="2" type="noConversion"/>
  </si>
  <si>
    <t>中山群荣电子有限公司</t>
    <phoneticPr fontId="2" type="noConversion"/>
  </si>
  <si>
    <t>SC2464UA-BK</t>
    <phoneticPr fontId="2" type="noConversion"/>
  </si>
  <si>
    <t>SC2464UA-CJ-10AK-2464</t>
    <phoneticPr fontId="2" type="noConversion"/>
  </si>
  <si>
    <t>SC2948S2-DB-60AK-61H</t>
    <phoneticPr fontId="2" type="noConversion"/>
  </si>
  <si>
    <t>深圳市霍芯电子科技有限公司</t>
    <phoneticPr fontId="2" type="noConversion"/>
  </si>
  <si>
    <t>SC4001UA-BK</t>
    <phoneticPr fontId="2" type="noConversion"/>
  </si>
  <si>
    <t>NM.SC4001UA-CB-90AK</t>
    <phoneticPr fontId="2" type="noConversion"/>
  </si>
  <si>
    <t>湖南静芯微电子技术有限公司</t>
    <phoneticPr fontId="2" type="noConversion"/>
  </si>
  <si>
    <t>SYLM358DC-TR</t>
    <phoneticPr fontId="2" type="noConversion"/>
  </si>
  <si>
    <t>SYLM358DC-GC-90AR-LM358</t>
    <phoneticPr fontId="2" type="noConversion"/>
  </si>
  <si>
    <t>其他数模混合</t>
  </si>
  <si>
    <t>SYLM358DC-GC-90AR-NM</t>
    <phoneticPr fontId="2" type="noConversion"/>
  </si>
  <si>
    <t>苏州简单有为科技有限公司</t>
    <phoneticPr fontId="2" type="noConversion"/>
  </si>
  <si>
    <t>日本电产三协电子（东莞）有限公司</t>
    <phoneticPr fontId="2" type="noConversion"/>
  </si>
  <si>
    <t>SC2434SO-CM-10CR-2434</t>
  </si>
  <si>
    <t>唐山共兴电子有限公司</t>
    <phoneticPr fontId="2" type="noConversion"/>
  </si>
  <si>
    <t>南京艾驰电子科技有限公司</t>
    <phoneticPr fontId="2" type="noConversion"/>
  </si>
  <si>
    <t>中山明盛电子科技有限公司</t>
    <phoneticPr fontId="2" type="noConversion"/>
  </si>
  <si>
    <t>NM.SC2402UA-CJ-00AK</t>
    <phoneticPr fontId="2" type="noConversion"/>
  </si>
  <si>
    <t>星瀚微（上海）电子</t>
    <phoneticPr fontId="2" type="noConversion"/>
  </si>
  <si>
    <t>中山市兴云磁科技有限公司</t>
    <phoneticPr fontId="2" type="noConversion"/>
  </si>
  <si>
    <t>美的厨卫电器制造有限公司</t>
    <phoneticPr fontId="4" type="noConversion"/>
  </si>
  <si>
    <t>SC2402SO-N-C(STC9902J)-2448</t>
    <phoneticPr fontId="4" type="noConversion"/>
  </si>
  <si>
    <t>金华和英智能科技有限公司</t>
    <phoneticPr fontId="4" type="noConversion"/>
  </si>
  <si>
    <t>SC2402SO-N-TR</t>
    <phoneticPr fontId="4" type="noConversion"/>
  </si>
  <si>
    <t>SC2402SO-N-GA-00NR-2402</t>
    <phoneticPr fontId="4" type="noConversion"/>
  </si>
  <si>
    <t>葛庆庆</t>
  </si>
  <si>
    <t>热管理，单机1*1，需要固定罩子，后面赛卓可出带罩子一体的产品。</t>
    <phoneticPr fontId="2" type="noConversion"/>
  </si>
  <si>
    <t>250718：首个订单10K，之前缺货时替了一部分英飞凌，项目丢失，近期抄3花方案。
2506220：万旭电子代工宁波拓普热管里项目，7月中交付小批。</t>
    <phoneticPr fontId="2" type="noConversion"/>
  </si>
  <si>
    <t>PL1</t>
    <phoneticPr fontId="2" type="noConversion"/>
  </si>
  <si>
    <t>TRVE1430Q1CA3R5-1430Q</t>
    <phoneticPr fontId="2" type="noConversion"/>
  </si>
  <si>
    <t xml:space="preserve">济南瑞云科信电器有限公司 </t>
    <phoneticPr fontId="2" type="noConversion"/>
  </si>
  <si>
    <t>东莞市傲雷移动照明设备有限公司</t>
    <phoneticPr fontId="2" type="noConversion"/>
  </si>
  <si>
    <t>广州市瑞宝电气有限公司</t>
  </si>
  <si>
    <t>无锡市科瑞特精机有限公司</t>
  </si>
  <si>
    <t>上海联宠智能科技有限公司</t>
  </si>
  <si>
    <t>SC2432SO-TR</t>
  </si>
  <si>
    <t>深圳华星恒泰泵阀有限公司</t>
  </si>
  <si>
    <t>深圳市鲲腾智控科技有限公司</t>
  </si>
  <si>
    <t>SC2442UA-BK-Q</t>
  </si>
  <si>
    <t>序号</t>
    <phoneticPr fontId="2" type="noConversion"/>
  </si>
  <si>
    <t>客户</t>
    <phoneticPr fontId="2" type="noConversion"/>
  </si>
  <si>
    <t>等级</t>
    <phoneticPr fontId="2" type="noConversion"/>
  </si>
  <si>
    <t>生产料号</t>
    <phoneticPr fontId="2" type="noConversion"/>
  </si>
  <si>
    <t>丝印</t>
    <phoneticPr fontId="2" type="noConversion"/>
  </si>
  <si>
    <t>档位</t>
    <phoneticPr fontId="2" type="noConversion"/>
  </si>
  <si>
    <t>1月预测2</t>
  </si>
  <si>
    <t>2月预测3</t>
    <phoneticPr fontId="2" type="noConversion"/>
  </si>
  <si>
    <t>PMM</t>
    <phoneticPr fontId="2" type="noConversion"/>
  </si>
  <si>
    <t>产品线</t>
    <phoneticPr fontId="2" type="noConversion"/>
  </si>
  <si>
    <t>5月</t>
    <phoneticPr fontId="2" type="noConversion"/>
  </si>
  <si>
    <t>6月</t>
    <phoneticPr fontId="2" type="noConversion"/>
  </si>
  <si>
    <t>7月</t>
  </si>
  <si>
    <t>8月</t>
  </si>
  <si>
    <t>9月</t>
  </si>
  <si>
    <t>10月</t>
  </si>
  <si>
    <t>11月</t>
  </si>
  <si>
    <t>12月</t>
  </si>
  <si>
    <t>3月预测</t>
    <phoneticPr fontId="2" type="noConversion"/>
  </si>
  <si>
    <t>SC69401DC-SPI3P3-Q-HD-4XCR-69401</t>
    <phoneticPr fontId="2" type="noConversion"/>
  </si>
  <si>
    <t>武汉盛硕电子有限公司</t>
    <phoneticPr fontId="2" type="noConversion"/>
  </si>
  <si>
    <t>SC9314UA-Q-CF-0XAK-94M</t>
    <phoneticPr fontId="2" type="noConversion"/>
  </si>
  <si>
    <t>SC69401HS-TR-Q</t>
  </si>
  <si>
    <t>深圳胜华波汽车电器有限公司</t>
    <phoneticPr fontId="2" type="noConversion"/>
  </si>
  <si>
    <t>leo</t>
    <phoneticPr fontId="2" type="noConversion"/>
  </si>
  <si>
    <t>Leo</t>
  </si>
  <si>
    <t>欧铂电子科技（上海）有限公司</t>
  </si>
  <si>
    <t>张翼鹏</t>
  </si>
  <si>
    <t>壹迦盛电子科技(嘉兴)有限公司</t>
    <phoneticPr fontId="2" type="noConversion"/>
  </si>
  <si>
    <t>温州市崎圣自动化设备有限公司</t>
    <phoneticPr fontId="2" type="noConversion"/>
  </si>
  <si>
    <t>温州海科森信汽配有限公司</t>
  </si>
  <si>
    <t>SC9648TS-TR</t>
  </si>
  <si>
    <t>天域智控科技（上海）科技有限公司</t>
  </si>
  <si>
    <t>瑞安市乾中机车部件有限公司</t>
  </si>
  <si>
    <t>瑞安市禾华汽车电子有限公司</t>
  </si>
  <si>
    <t>瑞安市辰光电子科技有限公司</t>
  </si>
  <si>
    <t>瑞安市标宇汽车电子有限公司</t>
  </si>
  <si>
    <t>美蓓亚三美株式会社</t>
    <phoneticPr fontId="2" type="noConversion"/>
  </si>
  <si>
    <t>加贺贸易（深圳）有限公司</t>
  </si>
  <si>
    <t>吕旭阳</t>
  </si>
  <si>
    <t>昆山苏迅电子有限公司</t>
  </si>
  <si>
    <t>SC2462SO-TR</t>
  </si>
  <si>
    <t>九阳股份有限公司</t>
  </si>
  <si>
    <t>加太尔（杭州）汽车电子有限公司</t>
  </si>
  <si>
    <t xml:space="preserve">济南瑞云科信电器有限公司 </t>
  </si>
  <si>
    <t>SC9641TS-PC-TR-Q</t>
  </si>
  <si>
    <t>合肥晟泰克汽车电子股份有限公司</t>
  </si>
  <si>
    <t>SC9314UA-BK</t>
  </si>
  <si>
    <t>杭州永富电子仪表有限公司</t>
  </si>
  <si>
    <t>杭州朝晖机电科技有限公司</t>
  </si>
  <si>
    <t>哈尔滨德利亚电子科技有限公司</t>
  </si>
  <si>
    <t>广州瑞立科密汽车电子股份有限公司</t>
  </si>
  <si>
    <t>SC2430UA-BK</t>
  </si>
  <si>
    <t>SC9641TS-P-AI-10AR-41CPA</t>
    <phoneticPr fontId="2" type="noConversion"/>
  </si>
  <si>
    <t>SC2430UA-CI-10AK-2430</t>
    <phoneticPr fontId="2" type="noConversion"/>
  </si>
  <si>
    <t>SC2943UA-TR-Q</t>
    <phoneticPr fontId="2" type="noConversion"/>
  </si>
  <si>
    <t>SC2943UA-Q-K01-DB-60AR-2943</t>
    <phoneticPr fontId="2" type="noConversion"/>
  </si>
  <si>
    <t>SC4616UA-10.2NF-BK</t>
    <phoneticPr fontId="2" type="noConversion"/>
  </si>
  <si>
    <t>250704：正常拉动
250606：代理商库存已经消耗完毕，6月开始下单拉动；大客户PPT完成编写。后续按拓展策略执行。</t>
    <phoneticPr fontId="2" type="noConversion"/>
  </si>
  <si>
    <t>250704：等待量产
250613：普天，电机霍尔控制板，300K/年，定点赛卓，2025年9月预计正式量产</t>
    <phoneticPr fontId="2" type="noConversion"/>
  </si>
  <si>
    <t>250704：正常供货，近期开始加量。
250606：又开始提货了</t>
    <phoneticPr fontId="2" type="noConversion"/>
  </si>
  <si>
    <t>250725：新框架8.14出来，8月底出样品， 信息更新到博泽采购
250620：博泽的需求List做匹配，待8月底样品回来
250613：OUT脚ESD接近，准备开样品。
250604：下周MLX9235的Out端ESD静电测试，同时安排做仿真确定磁铁位置。
250523：1，磁编AB信号OK， 2，2527手工AB信号OK，客户板子可以略微调整。3，3D数模图，做仿真使用。</t>
    <phoneticPr fontId="2" type="noConversion"/>
  </si>
  <si>
    <t>SC2943UA-BK-Q</t>
    <phoneticPr fontId="2" type="noConversion"/>
  </si>
  <si>
    <t>SC2943UA-Q-DB-60AK-2943</t>
    <phoneticPr fontId="2" type="noConversion"/>
  </si>
  <si>
    <t>SC2442SO-N-CP-10CR-2442</t>
    <phoneticPr fontId="2" type="noConversion"/>
  </si>
  <si>
    <t>SC2242SO-TR</t>
    <phoneticPr fontId="2" type="noConversion"/>
  </si>
  <si>
    <t>SC2242SO-CH-90NR-2242</t>
    <phoneticPr fontId="2" type="noConversion"/>
  </si>
  <si>
    <t>SC1002N1W-BK</t>
    <phoneticPr fontId="2" type="noConversion"/>
  </si>
  <si>
    <t>SC1002N1W-CL-00AK-N41H</t>
    <phoneticPr fontId="2" type="noConversion"/>
  </si>
  <si>
    <t>SC2442SO-CR-10CR-2442</t>
    <phoneticPr fontId="2" type="noConversion"/>
  </si>
  <si>
    <t>SC2948SO-Q-DB-60AR-2948</t>
    <phoneticPr fontId="2" type="noConversion"/>
  </si>
  <si>
    <t>常州富兴机电有限公司</t>
    <phoneticPr fontId="2" type="noConversion"/>
  </si>
  <si>
    <t>常州金顺光电科技有限公司</t>
    <phoneticPr fontId="2" type="noConversion"/>
  </si>
  <si>
    <t>SC1245S2-BK</t>
    <phoneticPr fontId="2" type="noConversion"/>
  </si>
  <si>
    <t>SC1245S2-CD-00AK-41HL</t>
    <phoneticPr fontId="2" type="noConversion"/>
  </si>
  <si>
    <t>常州市凯程精密汽车部件有限公司</t>
    <phoneticPr fontId="2" type="noConversion"/>
  </si>
  <si>
    <t>常州天安尼康达电器有限公司</t>
    <phoneticPr fontId="2" type="noConversion"/>
  </si>
  <si>
    <t>SC1002A3-BK</t>
    <phoneticPr fontId="2" type="noConversion"/>
  </si>
  <si>
    <t>SC1002A3-CG-00UK-41HS</t>
    <phoneticPr fontId="2" type="noConversion"/>
  </si>
  <si>
    <t>SC1002S1-CG-00AK-41H</t>
    <phoneticPr fontId="2" type="noConversion"/>
  </si>
  <si>
    <t>SC1002S2-BK</t>
    <phoneticPr fontId="2" type="noConversion"/>
  </si>
  <si>
    <t>SC1002S2-CG-00AK-41F</t>
    <phoneticPr fontId="2" type="noConversion"/>
  </si>
  <si>
    <t>湖州太平微特电机有限公司</t>
    <phoneticPr fontId="2" type="noConversion"/>
  </si>
  <si>
    <t>江苏淮海新能源车辆有限公司</t>
    <phoneticPr fontId="2" type="noConversion"/>
  </si>
  <si>
    <t>江苏金光电机科技有限公司</t>
    <phoneticPr fontId="2" type="noConversion"/>
  </si>
  <si>
    <t>SC1645B2-BK</t>
    <phoneticPr fontId="2" type="noConversion"/>
  </si>
  <si>
    <t>SC1645B2-AI-0EHK-4601</t>
    <phoneticPr fontId="2" type="noConversion"/>
  </si>
  <si>
    <t>南京顿恩电气有限公司</t>
    <phoneticPr fontId="2" type="noConversion"/>
  </si>
  <si>
    <t>SC1445A1-BK</t>
    <phoneticPr fontId="2" type="noConversion"/>
  </si>
  <si>
    <t>SC1445A1-AB-00HK-4451H</t>
    <phoneticPr fontId="2" type="noConversion"/>
  </si>
  <si>
    <t>赛卓微电子（深圳）有限公司</t>
  </si>
  <si>
    <t>SZW</t>
  </si>
  <si>
    <t>SC4015SO-N-TR</t>
  </si>
  <si>
    <t>SC4015SO-L-CE-90NR-CY19</t>
  </si>
  <si>
    <t>SC4015SO-H-CE-90NR-CY19</t>
  </si>
  <si>
    <t>SC4015SO-N-CE-90NR-4015</t>
  </si>
  <si>
    <t>SC4823S6-TR</t>
  </si>
  <si>
    <t>SC4823S6-GB-00NR-4823</t>
  </si>
  <si>
    <t>SC4015SO-N-CE-90NR-NM</t>
  </si>
  <si>
    <t>SC4703SO-GB-00NR-4703</t>
  </si>
  <si>
    <t>SC4001SE-CB-90LR-4001</t>
  </si>
  <si>
    <t>SC1133UA-BK</t>
  </si>
  <si>
    <t>SC1134SO-N-TR</t>
  </si>
  <si>
    <t>SC2402SO-N-TR</t>
  </si>
  <si>
    <t>SC2434SO-N-TR</t>
  </si>
  <si>
    <t>SC2432SO-N-TR</t>
  </si>
  <si>
    <t>SC2033SO-N-TR</t>
  </si>
  <si>
    <t>SC2033SO-N-GD-00NR-2033</t>
  </si>
  <si>
    <t>SC2063SO-TR</t>
  </si>
  <si>
    <t>SC2063UA-BK</t>
  </si>
  <si>
    <t>SC2064SO-TR</t>
  </si>
  <si>
    <t>SC2202SO-N-TR</t>
  </si>
  <si>
    <t>SC2402UA-BK</t>
  </si>
  <si>
    <t>SC2434SO-TR</t>
  </si>
  <si>
    <t>SC2434UA-BK</t>
  </si>
  <si>
    <t>SC2434UA-CI-10AK-2434</t>
  </si>
  <si>
    <t>SC2464SO-TR</t>
  </si>
  <si>
    <t>SC1134SO-N-TR-Q</t>
  </si>
  <si>
    <t>SC2442SO-TR-Q</t>
  </si>
  <si>
    <t>SC2442UA-Q-CP-10AK-2442</t>
  </si>
  <si>
    <t>SC2242SO-TR-Q</t>
  </si>
  <si>
    <t>SC60228DC-TR</t>
  </si>
  <si>
    <t>SC60228DC-DC-90AR-60228</t>
  </si>
  <si>
    <t>SC60221-D-256</t>
  </si>
  <si>
    <t>SC4015SO-N-CE-90NR-512</t>
    <phoneticPr fontId="2" type="noConversion"/>
  </si>
  <si>
    <t>SC1645S1-BK</t>
    <phoneticPr fontId="2" type="noConversion"/>
  </si>
  <si>
    <t>SC1645S1-AI-00AK-4601</t>
    <phoneticPr fontId="2" type="noConversion"/>
  </si>
  <si>
    <t>25年剩余预测</t>
    <phoneticPr fontId="2" type="noConversion"/>
  </si>
  <si>
    <t>SC2432UA-CI-10AK-2432</t>
    <phoneticPr fontId="2" type="noConversion"/>
  </si>
  <si>
    <t>SC2498TSO-Q-DB-60CR-2498T</t>
  </si>
  <si>
    <t>SC2498TSO-Q-DB-60CR-2498T</t>
    <phoneticPr fontId="2" type="noConversion"/>
  </si>
  <si>
    <t>SC2919SO-N-TR-Q</t>
  </si>
  <si>
    <t>SC2919SO-N-Q-CD-90AR-2919</t>
    <phoneticPr fontId="2" type="noConversion"/>
  </si>
  <si>
    <t>SC2413SO-N-CD-00NR-44E</t>
    <phoneticPr fontId="2" type="noConversion"/>
  </si>
  <si>
    <t>SC9625VB-TR-Q</t>
  </si>
  <si>
    <t>SC9625VB-Q-CE-4XCR-9625L</t>
    <phoneticPr fontId="2" type="noConversion"/>
  </si>
  <si>
    <t>SC9641TS-P-Q-AI-10LR-9641P</t>
  </si>
  <si>
    <t>SC2442SO-N-Q-CP-10CR-2442</t>
  </si>
  <si>
    <t>SC2443SO-Q-DB-60CR-2443</t>
  </si>
  <si>
    <t>SC2434SO-N-CI-10CR-2434</t>
    <phoneticPr fontId="2" type="noConversion"/>
  </si>
  <si>
    <t>SC1645S2-BK</t>
  </si>
  <si>
    <t>SC4643SA-BK-Q</t>
  </si>
  <si>
    <t>SC4643SA-Q-DE-40CK-4643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</si>
</sst>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76" formatCode="#,##0_);[Red]\(#,##0\)"/>
    <numFmt numFmtId="177" formatCode="\¥#,##0.000_);[Red]\(\¥#,##0.000\)"/>
    <numFmt numFmtId="178" formatCode="#,##0;[Red]#,##0"/>
    <numFmt numFmtId="179" formatCode="\¥#,##0.00_);[Red]\(\¥#,##0.00\)"/>
    <numFmt numFmtId="180" formatCode="_ * #,##0_ ;_ * \-#,##0_ ;_ * &quot;-&quot;??_ ;_ @_ "/>
    <numFmt numFmtId="181" formatCode="&quot;¥&quot;#,##0.00_);[Red]\(&quot;¥&quot;#,##0.00\)"/>
    <numFmt numFmtId="182" formatCode="&quot;¥&quot;#,##0_);[Red]\(&quot;¥&quot;#,##0\)"/>
    <numFmt numFmtId="183" formatCode="\¥#,##0_);[Red]\(\¥#,##0\)"/>
    <numFmt numFmtId="184" formatCode="\¥#,##0;[Red]\¥#,##0"/>
    <numFmt numFmtId="185" formatCode="&quot;¥&quot;#,##0.000_);[Red]\(&quot;¥&quot;#,##0.000\)"/>
  </numFmts>
  <fonts count="17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思源黑体 CN Regular"/>
      <family val="2"/>
      <charset val="134"/>
    </font>
    <font>
      <sz val="9"/>
      <name val="等线"/>
      <family val="2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2"/>
      <name val="宋体"/>
      <family val="3"/>
      <charset val="134"/>
    </font>
    <font>
      <b/>
      <sz val="14"/>
      <color theme="0" tint="-4.9989318521683403E-2"/>
      <name val="黑体"/>
      <family val="3"/>
      <charset val="134"/>
    </font>
    <font>
      <sz val="14"/>
      <name val="宋体"/>
      <family val="3"/>
      <charset val="134"/>
    </font>
    <font>
      <sz val="14"/>
      <color rgb="FFFF0000"/>
      <name val="宋体"/>
      <family val="3"/>
      <charset val="134"/>
    </font>
    <font>
      <sz val="14"/>
      <color rgb="FF00194C"/>
      <name val="宋体"/>
      <family val="3"/>
      <charset val="134"/>
    </font>
    <font>
      <sz val="14"/>
      <color theme="1"/>
      <name val="等线"/>
      <family val="2"/>
      <scheme val="minor"/>
    </font>
    <font>
      <b/>
      <sz val="14"/>
      <name val="黑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6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43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  <xf numFmtId="0" fontId="3" fillId="0" borderId="0"/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25">
    <xf numFmtId="0" fontId="0" fillId="0" borderId="0" xfId="0"/>
    <xf numFmtId="0" fontId="0" fillId="0" borderId="1" xfId="0" applyBorder="1"/>
    <xf numFmtId="0" fontId="11" fillId="3" borderId="1" xfId="6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78" fontId="11" fillId="3" borderId="1" xfId="0" applyNumberFormat="1" applyFont="1" applyFill="1" applyBorder="1" applyAlignment="1">
      <alignment horizontal="center" vertical="center"/>
    </xf>
    <xf numFmtId="14" fontId="11" fillId="3" borderId="1" xfId="0" applyNumberFormat="1" applyFont="1" applyFill="1" applyBorder="1" applyAlignment="1">
      <alignment horizontal="center" vertical="center"/>
    </xf>
    <xf numFmtId="9" fontId="11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180" fontId="11" fillId="3" borderId="1" xfId="1" applyNumberFormat="1" applyFont="1" applyFill="1" applyBorder="1" applyAlignment="1">
      <alignment horizontal="center"/>
    </xf>
    <xf numFmtId="0" fontId="12" fillId="2" borderId="1" xfId="5" applyFont="1" applyFill="1" applyBorder="1" applyAlignment="1">
      <alignment horizontal="left" vertical="center"/>
    </xf>
    <xf numFmtId="0" fontId="12" fillId="2" borderId="1" xfId="6" applyFont="1" applyFill="1" applyBorder="1" applyAlignment="1">
      <alignment horizontal="left" vertical="center"/>
    </xf>
    <xf numFmtId="176" fontId="12" fillId="2" borderId="1" xfId="6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178" fontId="12" fillId="2" borderId="1" xfId="6" applyNumberFormat="1" applyFont="1" applyFill="1" applyBorder="1" applyAlignment="1">
      <alignment horizontal="left" vertical="center"/>
    </xf>
    <xf numFmtId="14" fontId="12" fillId="2" borderId="1" xfId="6" applyNumberFormat="1" applyFont="1" applyFill="1" applyBorder="1" applyAlignment="1">
      <alignment horizontal="left" vertical="center"/>
    </xf>
    <xf numFmtId="9" fontId="12" fillId="2" borderId="1" xfId="8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/>
    </xf>
    <xf numFmtId="180" fontId="12" fillId="2" borderId="1" xfId="1" applyNumberFormat="1" applyFont="1" applyFill="1" applyBorder="1" applyAlignment="1">
      <alignment horizontal="left"/>
    </xf>
    <xf numFmtId="0" fontId="12" fillId="0" borderId="1" xfId="5" applyFont="1" applyBorder="1" applyAlignment="1">
      <alignment horizontal="left" vertical="center"/>
    </xf>
    <xf numFmtId="0" fontId="12" fillId="0" borderId="1" xfId="6" applyFont="1" applyBorder="1" applyAlignment="1">
      <alignment horizontal="left" vertical="center"/>
    </xf>
    <xf numFmtId="0" fontId="12" fillId="0" borderId="1" xfId="9" applyFont="1" applyBorder="1" applyAlignment="1">
      <alignment horizontal="left" vertical="center"/>
    </xf>
    <xf numFmtId="176" fontId="12" fillId="0" borderId="1" xfId="6" applyNumberFormat="1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180" fontId="12" fillId="0" borderId="1" xfId="1" applyNumberFormat="1" applyFont="1" applyBorder="1" applyAlignment="1">
      <alignment horizontal="left" vertical="center"/>
    </xf>
    <xf numFmtId="178" fontId="12" fillId="0" borderId="1" xfId="6" applyNumberFormat="1" applyFont="1" applyBorder="1" applyAlignment="1">
      <alignment horizontal="left" vertical="center"/>
    </xf>
    <xf numFmtId="14" fontId="12" fillId="0" borderId="1" xfId="6" applyNumberFormat="1" applyFont="1" applyBorder="1" applyAlignment="1">
      <alignment horizontal="left" vertical="center"/>
    </xf>
    <xf numFmtId="9" fontId="12" fillId="0" borderId="1" xfId="8" applyFont="1" applyBorder="1" applyAlignment="1">
      <alignment horizontal="left" vertical="center"/>
    </xf>
    <xf numFmtId="0" fontId="12" fillId="0" borderId="1" xfId="0" applyFont="1" applyBorder="1" applyAlignment="1">
      <alignment horizontal="left"/>
    </xf>
    <xf numFmtId="180" fontId="12" fillId="0" borderId="1" xfId="1" applyNumberFormat="1" applyFont="1" applyBorder="1" applyAlignment="1">
      <alignment horizontal="left"/>
    </xf>
    <xf numFmtId="0" fontId="12" fillId="2" borderId="1" xfId="9" applyFont="1" applyFill="1" applyBorder="1" applyAlignment="1">
      <alignment horizontal="left" vertical="center"/>
    </xf>
    <xf numFmtId="0" fontId="12" fillId="0" borderId="1" xfId="10" applyFont="1" applyBorder="1" applyAlignment="1">
      <alignment horizontal="left" vertical="center"/>
    </xf>
    <xf numFmtId="180" fontId="12" fillId="2" borderId="1" xfId="7" applyNumberFormat="1" applyFont="1" applyFill="1" applyBorder="1" applyAlignment="1">
      <alignment horizontal="left" vertical="center"/>
    </xf>
    <xf numFmtId="0" fontId="12" fillId="2" borderId="1" xfId="10" applyFont="1" applyFill="1" applyBorder="1" applyAlignment="1">
      <alignment horizontal="left" vertical="center"/>
    </xf>
    <xf numFmtId="180" fontId="12" fillId="0" borderId="1" xfId="7" applyNumberFormat="1" applyFont="1" applyBorder="1" applyAlignment="1">
      <alignment horizontal="left" vertical="center"/>
    </xf>
    <xf numFmtId="176" fontId="12" fillId="2" borderId="1" xfId="10" applyNumberFormat="1" applyFont="1" applyFill="1" applyBorder="1" applyAlignment="1">
      <alignment horizontal="left" vertical="center"/>
    </xf>
    <xf numFmtId="9" fontId="12" fillId="2" borderId="1" xfId="11" applyFont="1" applyFill="1" applyBorder="1" applyAlignment="1">
      <alignment horizontal="left" vertical="center"/>
    </xf>
    <xf numFmtId="176" fontId="12" fillId="0" borderId="1" xfId="10" applyNumberFormat="1" applyFont="1" applyBorder="1" applyAlignment="1">
      <alignment horizontal="left" vertical="center"/>
    </xf>
    <xf numFmtId="9" fontId="12" fillId="0" borderId="1" xfId="11" applyFont="1" applyBorder="1" applyAlignment="1">
      <alignment horizontal="left" vertical="center"/>
    </xf>
    <xf numFmtId="14" fontId="12" fillId="0" borderId="1" xfId="10" applyNumberFormat="1" applyFont="1" applyBorder="1" applyAlignment="1">
      <alignment horizontal="left" vertical="center"/>
    </xf>
    <xf numFmtId="14" fontId="12" fillId="2" borderId="1" xfId="10" applyNumberFormat="1" applyFont="1" applyFill="1" applyBorder="1" applyAlignment="1">
      <alignment horizontal="left" vertical="center"/>
    </xf>
    <xf numFmtId="9" fontId="12" fillId="0" borderId="1" xfId="5" applyNumberFormat="1" applyFont="1" applyBorder="1" applyAlignment="1">
      <alignment horizontal="left" vertical="center"/>
    </xf>
    <xf numFmtId="9" fontId="12" fillId="2" borderId="1" xfId="5" applyNumberFormat="1" applyFont="1" applyFill="1" applyBorder="1" applyAlignment="1">
      <alignment horizontal="left" vertical="center"/>
    </xf>
    <xf numFmtId="0" fontId="12" fillId="0" borderId="1" xfId="12" applyFont="1" applyBorder="1" applyAlignment="1">
      <alignment horizontal="left" vertical="center"/>
    </xf>
    <xf numFmtId="0" fontId="12" fillId="2" borderId="1" xfId="12" applyFont="1" applyFill="1" applyBorder="1" applyAlignment="1">
      <alignment horizontal="left" vertical="center"/>
    </xf>
    <xf numFmtId="176" fontId="12" fillId="2" borderId="1" xfId="0" applyNumberFormat="1" applyFont="1" applyFill="1" applyBorder="1" applyAlignment="1">
      <alignment horizontal="left" vertical="center"/>
    </xf>
    <xf numFmtId="176" fontId="12" fillId="2" borderId="1" xfId="0" applyNumberFormat="1" applyFont="1" applyFill="1" applyBorder="1" applyAlignment="1">
      <alignment horizontal="left"/>
    </xf>
    <xf numFmtId="176" fontId="12" fillId="0" borderId="1" xfId="0" applyNumberFormat="1" applyFont="1" applyBorder="1" applyAlignment="1">
      <alignment horizontal="left" vertical="center"/>
    </xf>
    <xf numFmtId="176" fontId="12" fillId="0" borderId="1" xfId="0" applyNumberFormat="1" applyFont="1" applyBorder="1" applyAlignment="1">
      <alignment horizontal="left"/>
    </xf>
    <xf numFmtId="14" fontId="12" fillId="0" borderId="1" xfId="0" applyNumberFormat="1" applyFont="1" applyBorder="1" applyAlignment="1">
      <alignment horizontal="left" vertical="center"/>
    </xf>
    <xf numFmtId="14" fontId="12" fillId="2" borderId="1" xfId="0" applyNumberFormat="1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left"/>
    </xf>
    <xf numFmtId="0" fontId="14" fillId="2" borderId="1" xfId="6" applyFont="1" applyFill="1" applyBorder="1" applyAlignment="1">
      <alignment horizontal="left" vertical="center"/>
    </xf>
    <xf numFmtId="180" fontId="14" fillId="2" borderId="1" xfId="7" applyNumberFormat="1" applyFont="1" applyFill="1" applyBorder="1" applyAlignment="1">
      <alignment horizontal="left" vertical="center"/>
    </xf>
    <xf numFmtId="176" fontId="14" fillId="2" borderId="1" xfId="6" applyNumberFormat="1" applyFont="1" applyFill="1" applyBorder="1" applyAlignment="1">
      <alignment horizontal="left" vertical="center"/>
    </xf>
    <xf numFmtId="178" fontId="14" fillId="2" borderId="1" xfId="6" applyNumberFormat="1" applyFont="1" applyFill="1" applyBorder="1" applyAlignment="1">
      <alignment horizontal="left" vertical="center"/>
    </xf>
    <xf numFmtId="14" fontId="14" fillId="2" borderId="1" xfId="6" applyNumberFormat="1" applyFont="1" applyFill="1" applyBorder="1" applyAlignment="1">
      <alignment horizontal="left" vertical="center"/>
    </xf>
    <xf numFmtId="9" fontId="14" fillId="2" borderId="1" xfId="11" applyFont="1" applyFill="1" applyBorder="1" applyAlignment="1">
      <alignment horizontal="left" vertical="center"/>
    </xf>
    <xf numFmtId="0" fontId="14" fillId="2" borderId="1" xfId="0" applyFont="1" applyFill="1" applyBorder="1" applyAlignment="1">
      <alignment horizontal="left"/>
    </xf>
    <xf numFmtId="180" fontId="14" fillId="2" borderId="1" xfId="1" applyNumberFormat="1" applyFont="1" applyFill="1" applyBorder="1" applyAlignment="1">
      <alignment horizontal="left"/>
    </xf>
    <xf numFmtId="0" fontId="14" fillId="0" borderId="1" xfId="6" applyFont="1" applyBorder="1" applyAlignment="1">
      <alignment horizontal="left" vertical="center"/>
    </xf>
    <xf numFmtId="180" fontId="14" fillId="0" borderId="1" xfId="7" applyNumberFormat="1" applyFont="1" applyBorder="1" applyAlignment="1">
      <alignment horizontal="left" vertical="center"/>
    </xf>
    <xf numFmtId="176" fontId="14" fillId="0" borderId="1" xfId="6" applyNumberFormat="1" applyFont="1" applyBorder="1" applyAlignment="1">
      <alignment horizontal="left" vertical="center"/>
    </xf>
    <xf numFmtId="178" fontId="14" fillId="0" borderId="1" xfId="6" applyNumberFormat="1" applyFont="1" applyBorder="1" applyAlignment="1">
      <alignment horizontal="left" vertical="center"/>
    </xf>
    <xf numFmtId="14" fontId="14" fillId="0" borderId="1" xfId="6" applyNumberFormat="1" applyFont="1" applyBorder="1" applyAlignment="1">
      <alignment horizontal="left" vertical="center"/>
    </xf>
    <xf numFmtId="9" fontId="14" fillId="0" borderId="1" xfId="11" applyFont="1" applyBorder="1" applyAlignment="1">
      <alignment horizontal="left" vertical="center"/>
    </xf>
    <xf numFmtId="0" fontId="14" fillId="0" borderId="1" xfId="0" applyFont="1" applyBorder="1" applyAlignment="1">
      <alignment horizontal="left"/>
    </xf>
    <xf numFmtId="180" fontId="14" fillId="0" borderId="1" xfId="1" applyNumberFormat="1" applyFont="1" applyBorder="1" applyAlignment="1">
      <alignment horizontal="left"/>
    </xf>
    <xf numFmtId="0" fontId="15" fillId="2" borderId="1" xfId="0" applyFont="1" applyFill="1" applyBorder="1"/>
    <xf numFmtId="0" fontId="15" fillId="0" borderId="1" xfId="0" applyFont="1" applyBorder="1"/>
    <xf numFmtId="0" fontId="10" fillId="0" borderId="1" xfId="4" applyFont="1" applyBorder="1" applyAlignment="1">
      <alignment horizontal="left" vertical="center"/>
    </xf>
    <xf numFmtId="0" fontId="10" fillId="0" borderId="1" xfId="5" applyFont="1" applyBorder="1" applyAlignment="1">
      <alignment horizontal="left" vertical="center"/>
    </xf>
    <xf numFmtId="0" fontId="10" fillId="0" borderId="1" xfId="6" applyFont="1" applyBorder="1" applyAlignment="1">
      <alignment horizontal="left" vertical="center"/>
    </xf>
    <xf numFmtId="176" fontId="10" fillId="0" borderId="1" xfId="6" applyNumberFormat="1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179" fontId="10" fillId="0" borderId="1" xfId="6" applyNumberFormat="1" applyFont="1" applyBorder="1" applyAlignment="1">
      <alignment horizontal="left" vertical="center"/>
    </xf>
    <xf numFmtId="176" fontId="10" fillId="0" borderId="1" xfId="1" applyNumberFormat="1" applyFont="1" applyFill="1" applyBorder="1" applyAlignment="1">
      <alignment horizontal="left" vertical="center"/>
    </xf>
    <xf numFmtId="176" fontId="10" fillId="0" borderId="1" xfId="7" applyNumberFormat="1" applyFont="1" applyFill="1" applyBorder="1" applyAlignment="1">
      <alignment horizontal="left" vertical="center"/>
    </xf>
    <xf numFmtId="180" fontId="10" fillId="0" borderId="1" xfId="1" applyNumberFormat="1" applyFont="1" applyFill="1" applyBorder="1" applyAlignment="1">
      <alignment horizontal="left" vertical="center"/>
    </xf>
    <xf numFmtId="0" fontId="10" fillId="0" borderId="1" xfId="9" applyFont="1" applyBorder="1" applyAlignment="1">
      <alignment horizontal="left" vertical="center"/>
    </xf>
    <xf numFmtId="0" fontId="10" fillId="0" borderId="1" xfId="10" applyFont="1" applyBorder="1" applyAlignment="1">
      <alignment horizontal="left" vertical="center"/>
    </xf>
    <xf numFmtId="180" fontId="10" fillId="0" borderId="1" xfId="7" applyNumberFormat="1" applyFont="1" applyFill="1" applyBorder="1" applyAlignment="1">
      <alignment horizontal="left" vertical="center"/>
    </xf>
    <xf numFmtId="176" fontId="10" fillId="0" borderId="1" xfId="10" applyNumberFormat="1" applyFont="1" applyBorder="1" applyAlignment="1">
      <alignment horizontal="left" vertical="center"/>
    </xf>
    <xf numFmtId="3" fontId="10" fillId="0" borderId="1" xfId="6" applyNumberFormat="1" applyFont="1" applyBorder="1" applyAlignment="1">
      <alignment horizontal="left" vertical="center"/>
    </xf>
    <xf numFmtId="179" fontId="10" fillId="0" borderId="1" xfId="5" applyNumberFormat="1" applyFont="1" applyBorder="1" applyAlignment="1">
      <alignment horizontal="left" vertical="center"/>
    </xf>
    <xf numFmtId="181" fontId="10" fillId="0" borderId="1" xfId="6" applyNumberFormat="1" applyFont="1" applyBorder="1" applyAlignment="1">
      <alignment horizontal="left" vertical="center"/>
    </xf>
    <xf numFmtId="0" fontId="10" fillId="0" borderId="1" xfId="0" applyFont="1" applyBorder="1" applyAlignment="1">
      <alignment horizontal="left"/>
    </xf>
    <xf numFmtId="0" fontId="10" fillId="0" borderId="1" xfId="12" applyFont="1" applyBorder="1" applyAlignment="1">
      <alignment horizontal="left" vertical="center"/>
    </xf>
    <xf numFmtId="0" fontId="10" fillId="0" borderId="1" xfId="13" applyFont="1" applyBorder="1" applyAlignment="1">
      <alignment horizontal="left" vertical="center"/>
    </xf>
    <xf numFmtId="182" fontId="10" fillId="0" borderId="1" xfId="7" applyNumberFormat="1" applyFont="1" applyFill="1" applyBorder="1" applyAlignment="1">
      <alignment horizontal="left" vertical="center"/>
    </xf>
    <xf numFmtId="176" fontId="10" fillId="0" borderId="1" xfId="12" applyNumberFormat="1" applyFont="1" applyBorder="1" applyAlignment="1">
      <alignment horizontal="left" vertical="center"/>
    </xf>
    <xf numFmtId="179" fontId="10" fillId="0" borderId="1" xfId="12" applyNumberFormat="1" applyFont="1" applyBorder="1" applyAlignment="1">
      <alignment horizontal="left" vertical="center"/>
    </xf>
    <xf numFmtId="183" fontId="10" fillId="0" borderId="1" xfId="7" applyNumberFormat="1" applyFont="1" applyFill="1" applyBorder="1" applyAlignment="1">
      <alignment horizontal="left" vertical="center"/>
    </xf>
    <xf numFmtId="183" fontId="10" fillId="0" borderId="1" xfId="14" applyNumberFormat="1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top"/>
    </xf>
    <xf numFmtId="176" fontId="10" fillId="0" borderId="1" xfId="0" applyNumberFormat="1" applyFont="1" applyBorder="1" applyAlignment="1">
      <alignment horizontal="left" vertical="center"/>
    </xf>
    <xf numFmtId="0" fontId="10" fillId="0" borderId="1" xfId="4" applyFont="1" applyBorder="1" applyAlignment="1">
      <alignment horizontal="left" vertical="top"/>
    </xf>
    <xf numFmtId="0" fontId="10" fillId="0" borderId="1" xfId="0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0" fontId="10" fillId="0" borderId="1" xfId="0" applyFont="1" applyBorder="1"/>
    <xf numFmtId="0" fontId="10" fillId="0" borderId="1" xfId="15" applyFont="1" applyBorder="1" applyAlignment="1">
      <alignment horizontal="left" vertical="top"/>
    </xf>
    <xf numFmtId="185" fontId="10" fillId="0" borderId="1" xfId="6" applyNumberFormat="1" applyFont="1" applyBorder="1" applyAlignment="1">
      <alignment horizontal="left" vertical="center"/>
    </xf>
    <xf numFmtId="185" fontId="10" fillId="0" borderId="1" xfId="10" applyNumberFormat="1" applyFont="1" applyBorder="1" applyAlignment="1">
      <alignment horizontal="left" vertical="center"/>
    </xf>
    <xf numFmtId="185" fontId="10" fillId="0" borderId="1" xfId="0" applyNumberFormat="1" applyFont="1" applyBorder="1" applyAlignment="1">
      <alignment horizontal="left"/>
    </xf>
    <xf numFmtId="185" fontId="10" fillId="0" borderId="1" xfId="12" applyNumberFormat="1" applyFont="1" applyBorder="1" applyAlignment="1">
      <alignment horizontal="left" vertical="center"/>
    </xf>
    <xf numFmtId="185" fontId="10" fillId="0" borderId="1" xfId="0" applyNumberFormat="1" applyFont="1" applyBorder="1" applyAlignment="1">
      <alignment horizontal="left" vertical="center"/>
    </xf>
    <xf numFmtId="185" fontId="10" fillId="0" borderId="1" xfId="0" applyNumberFormat="1" applyFont="1" applyBorder="1"/>
    <xf numFmtId="176" fontId="10" fillId="0" borderId="1" xfId="1" applyNumberFormat="1" applyFont="1" applyFill="1" applyBorder="1" applyAlignment="1">
      <alignment horizontal="left"/>
    </xf>
    <xf numFmtId="176" fontId="10" fillId="0" borderId="1" xfId="7" applyNumberFormat="1" applyFont="1" applyFill="1" applyBorder="1" applyAlignment="1">
      <alignment vertical="top"/>
    </xf>
    <xf numFmtId="0" fontId="16" fillId="0" borderId="1" xfId="6" applyFont="1" applyBorder="1" applyAlignment="1">
      <alignment horizontal="center" vertical="center"/>
    </xf>
    <xf numFmtId="176" fontId="16" fillId="0" borderId="1" xfId="6" applyNumberFormat="1" applyFont="1" applyBorder="1" applyAlignment="1">
      <alignment horizontal="center" vertical="center"/>
    </xf>
    <xf numFmtId="177" fontId="16" fillId="0" borderId="1" xfId="6" applyNumberFormat="1" applyFont="1" applyBorder="1" applyAlignment="1">
      <alignment horizontal="center" vertical="center"/>
    </xf>
    <xf numFmtId="185" fontId="16" fillId="0" borderId="1" xfId="6" applyNumberFormat="1" applyFont="1" applyBorder="1" applyAlignment="1">
      <alignment horizontal="center" vertical="center"/>
    </xf>
    <xf numFmtId="180" fontId="16" fillId="0" borderId="1" xfId="1" applyNumberFormat="1" applyFont="1" applyFill="1" applyBorder="1" applyAlignment="1">
      <alignment horizontal="center" vertical="center"/>
    </xf>
    <xf numFmtId="184" fontId="16" fillId="0" borderId="1" xfId="7" applyNumberFormat="1" applyFont="1" applyFill="1" applyBorder="1" applyAlignment="1">
      <alignment horizontal="center" vertical="center"/>
    </xf>
    <xf numFmtId="176" fontId="16" fillId="0" borderId="1" xfId="1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80" fontId="10" fillId="0" borderId="1" xfId="1" applyNumberFormat="1" applyFont="1" applyFill="1" applyBorder="1" applyAlignment="1"/>
    <xf numFmtId="176" fontId="10" fillId="0" borderId="1" xfId="0" applyNumberFormat="1" applyFont="1" applyBorder="1"/>
    <xf numFmtId="176" fontId="10" fillId="0" borderId="1" xfId="1" applyNumberFormat="1" applyFont="1" applyFill="1" applyBorder="1" applyAlignment="1"/>
    <xf numFmtId="0" fontId="12" fillId="0" borderId="1" xfId="0" applyFont="1" applyBorder="1"/>
    <xf numFmtId="185" fontId="16" fillId="4" borderId="1" xfId="6" applyNumberFormat="1" applyFont="1" applyFill="1" applyBorder="1" applyAlignment="1">
      <alignment horizontal="center" vertical="center"/>
    </xf>
    <xf numFmtId="185" fontId="10" fillId="4" borderId="1" xfId="6" applyNumberFormat="1" applyFont="1" applyFill="1" applyBorder="1" applyAlignment="1">
      <alignment horizontal="left" vertical="center"/>
    </xf>
    <xf numFmtId="0" fontId="10" fillId="4" borderId="1" xfId="6" applyFont="1" applyFill="1" applyBorder="1" applyAlignment="1">
      <alignment horizontal="left" vertical="center"/>
    </xf>
    <xf numFmtId="180" fontId="0" fillId="0" borderId="1" xfId="1" applyNumberFormat="1" applyFont="1" applyBorder="1" applyAlignment="1"/>
    <xf numFmtId="0" fontId="10" fillId="5" borderId="1" xfId="6" applyFont="1" applyFill="1" applyBorder="1" applyAlignment="1">
      <alignment horizontal="left" vertical="center"/>
    </xf>
  </cellXfs>
  <cellStyles count="16">
    <cellStyle name="百分比" xfId="2" builtinId="5"/>
    <cellStyle name="百分比 2 2" xfId="11" xr:uid="{DD79E79F-1A45-4063-9906-2D186570E421}"/>
    <cellStyle name="百分比 3 2" xfId="8" xr:uid="{3070CB44-2307-41D8-9F2E-AB6868728D62}"/>
    <cellStyle name="常规" xfId="0" builtinId="0"/>
    <cellStyle name="常规 12" xfId="15" xr:uid="{20E19B6D-9CA3-4707-BC12-BCA98808E654}"/>
    <cellStyle name="常规 2" xfId="13" xr:uid="{1B432403-708F-4BF6-92D1-AC8C6CDE5BFE}"/>
    <cellStyle name="常规 2 2 2 2" xfId="12" xr:uid="{BEA26D56-0270-4CBC-B957-E6D30D3CDDEC}"/>
    <cellStyle name="常规 2 3 2 2" xfId="10" xr:uid="{036E3579-7CDD-4F6A-856A-FFAF216DCB77}"/>
    <cellStyle name="常规 2 4 2" xfId="3" xr:uid="{1A4FDF06-F570-40D3-8E03-4D68D2C3A217}"/>
    <cellStyle name="常规 2 4 2 2" xfId="6" xr:uid="{6BCACAC4-5271-4CDF-BCAE-A33A7C2D4299}"/>
    <cellStyle name="常规 7" xfId="4" xr:uid="{C7148F1A-79E3-471E-BF85-A38E456B1E44}"/>
    <cellStyle name="常规 7 2" xfId="9" xr:uid="{21628238-5344-4BB6-BB52-B32CAC2D596D}"/>
    <cellStyle name="常规 8 2" xfId="5" xr:uid="{207E4A43-1A63-4C6B-A35B-034C90CECDF7}"/>
    <cellStyle name="千位分隔" xfId="1" builtinId="3"/>
    <cellStyle name="千位分隔 2" xfId="7" xr:uid="{9BF56B39-C939-4D91-B47A-274FE1274894}"/>
    <cellStyle name="千位分隔 4 2" xfId="14" xr:uid="{00D1AFD5-2423-4421-B7CB-F74EF63C8B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orecast\&#39044;&#27979;&#20998;&#26512;\&#39044;&#27979;&#20998;&#26512;.xlsx" TargetMode="External"/><Relationship Id="rId1" Type="http://schemas.openxmlformats.org/officeDocument/2006/relationships/externalLinkPath" Target="/Forecast/&#39044;&#27979;&#20998;&#26512;/&#39044;&#27979;&#20998;&#2651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C2" t="str">
            <v>品名</v>
          </cell>
        </row>
        <row r="3">
          <cell r="C3" t="str">
            <v>FD1014A</v>
          </cell>
        </row>
        <row r="4">
          <cell r="C4" t="str">
            <v>PSTC1898AD</v>
          </cell>
        </row>
        <row r="5">
          <cell r="C5" t="str">
            <v>PSTC1898AI</v>
          </cell>
        </row>
        <row r="6">
          <cell r="C6" t="str">
            <v>PSTC9901AF</v>
          </cell>
        </row>
        <row r="7">
          <cell r="C7" t="str">
            <v>PSTC9902J</v>
          </cell>
        </row>
        <row r="8">
          <cell r="C8" t="str">
            <v>PSTC9906I</v>
          </cell>
        </row>
        <row r="9">
          <cell r="C9" t="str">
            <v>PSTC9D03E-4</v>
          </cell>
        </row>
        <row r="10">
          <cell r="C10" t="str">
            <v>PSTC9D04C</v>
          </cell>
        </row>
        <row r="11">
          <cell r="C11" t="str">
            <v>PSTC9G001C</v>
          </cell>
        </row>
        <row r="12">
          <cell r="C12" t="str">
            <v>PSTC9G002A-0</v>
          </cell>
        </row>
        <row r="13">
          <cell r="C13" t="str">
            <v>S41F1-S41H</v>
          </cell>
        </row>
        <row r="14">
          <cell r="C14" t="str">
            <v>S41F1-41F</v>
          </cell>
        </row>
        <row r="15">
          <cell r="C15" t="str">
            <v>S41H-S41H</v>
          </cell>
        </row>
        <row r="16">
          <cell r="C16" t="str">
            <v>S41H-A2-S41H</v>
          </cell>
        </row>
        <row r="17">
          <cell r="C17" t="str">
            <v>SC1002N1-CL-00HK-42N</v>
          </cell>
        </row>
        <row r="18">
          <cell r="C18" t="str">
            <v>SC1002S1-CG-00AK-41F</v>
          </cell>
        </row>
        <row r="19">
          <cell r="C19" t="str">
            <v>SC1133UA-CJ-00AK-1133</v>
          </cell>
        </row>
        <row r="20">
          <cell r="C20" t="str">
            <v>SC1134B1-CI-00HK-43F</v>
          </cell>
        </row>
        <row r="21">
          <cell r="C21" t="str">
            <v>SC1134BU-CI-00CR-1134</v>
          </cell>
        </row>
        <row r="22">
          <cell r="C22" t="str">
            <v>SC1134BU-CI-00AR-1134</v>
          </cell>
        </row>
        <row r="23">
          <cell r="C23" t="str">
            <v>SC1134SO-N-CF-00LR-1134</v>
          </cell>
        </row>
        <row r="24">
          <cell r="C24" t="str">
            <v>SC1134SO-N-Q-CI-00LR-1134</v>
          </cell>
        </row>
        <row r="25">
          <cell r="C25" t="str">
            <v>SC1134UA-CI-00AK-44L</v>
          </cell>
        </row>
        <row r="26">
          <cell r="C26" t="str">
            <v>SC1134UA-CI-00AK-44E</v>
          </cell>
        </row>
        <row r="27">
          <cell r="C27" t="str">
            <v>SC1134UA-CI-00AK-43F</v>
          </cell>
        </row>
        <row r="28">
          <cell r="C28" t="str">
            <v>SC1134UA-CI-00AK-3144</v>
          </cell>
        </row>
        <row r="29">
          <cell r="C29" t="str">
            <v>SC1134UA-CI-00AK-1134</v>
          </cell>
        </row>
        <row r="30">
          <cell r="C30" t="str">
            <v>NM.SC1134UA-CI-00AK</v>
          </cell>
        </row>
        <row r="31">
          <cell r="C31" t="str">
            <v>SC1138SO-N-Q-CC-00LR-1138</v>
          </cell>
        </row>
        <row r="32">
          <cell r="C32" t="str">
            <v>SC1245A1-61HA</v>
          </cell>
        </row>
        <row r="33">
          <cell r="C33" t="str">
            <v>SC1245A1-41F</v>
          </cell>
        </row>
        <row r="34">
          <cell r="C34" t="str">
            <v>SC1245A3-CD-00CK-41F</v>
          </cell>
        </row>
        <row r="35">
          <cell r="C35" t="str">
            <v>SC1245B1-613HA</v>
          </cell>
        </row>
        <row r="36">
          <cell r="C36" t="str">
            <v>SC1245B1-41F</v>
          </cell>
        </row>
        <row r="37">
          <cell r="C37" t="str">
            <v>SC1245S2-CD-00AK-41HL</v>
          </cell>
        </row>
        <row r="38">
          <cell r="C38" t="str">
            <v>SC1245SO-N-CD-00NR-1245</v>
          </cell>
        </row>
        <row r="39">
          <cell r="C39" t="str">
            <v>SC1245UA-CD-0XHX-41F</v>
          </cell>
        </row>
        <row r="40">
          <cell r="C40" t="str">
            <v>SC1445A1-41F</v>
          </cell>
        </row>
        <row r="41">
          <cell r="C41" t="str">
            <v>SC1645A1-AI-00HK-4601H</v>
          </cell>
        </row>
        <row r="42">
          <cell r="C42" t="str">
            <v>SC1645A1-AI-00HK-65HA</v>
          </cell>
        </row>
        <row r="43">
          <cell r="C43" t="str">
            <v>SC1645A1-AI-00HK-1466</v>
          </cell>
        </row>
        <row r="44">
          <cell r="C44" t="str">
            <v>SC1645A1-AI-00HK-615HA</v>
          </cell>
        </row>
        <row r="45">
          <cell r="C45" t="str">
            <v>SC1645A2-AE-00HK-601HL</v>
          </cell>
        </row>
        <row r="46">
          <cell r="C46" t="str">
            <v>SC1645B1-AI-00HK-4601</v>
          </cell>
        </row>
        <row r="47">
          <cell r="C47" t="str">
            <v>SC1645B1-AI-00HK-615HA</v>
          </cell>
        </row>
        <row r="48">
          <cell r="C48" t="str">
            <v>SC1645B1-AE-00HK-4601</v>
          </cell>
        </row>
        <row r="49">
          <cell r="C49" t="str">
            <v>SC1645B2-AI-0EHK-4601</v>
          </cell>
        </row>
        <row r="50">
          <cell r="C50" t="str">
            <v>SC1645S1-AI-00AK-4601H</v>
          </cell>
        </row>
        <row r="51">
          <cell r="C51" t="str">
            <v>SC1845F1-AI-00HK-S41H</v>
          </cell>
        </row>
        <row r="52">
          <cell r="C52" t="str">
            <v>SC1845F1-AI-00HK-41F</v>
          </cell>
        </row>
        <row r="53">
          <cell r="C53" t="str">
            <v>SC1845S1-AI-00AK-S41H</v>
          </cell>
        </row>
        <row r="54">
          <cell r="C54" t="str">
            <v>SC1845S1-AI-00AK-41F</v>
          </cell>
        </row>
        <row r="55">
          <cell r="C55" t="str">
            <v>SC1945A1-AJ-00HK-N13</v>
          </cell>
        </row>
        <row r="56">
          <cell r="C56" t="str">
            <v>SC1945B1-AJ-00HK-N603</v>
          </cell>
        </row>
        <row r="57">
          <cell r="C57" t="str">
            <v>SC2033SO-N-GD-00NR-2033</v>
          </cell>
        </row>
        <row r="58">
          <cell r="C58" t="str">
            <v>SC2063SO-GC-00NR-2063</v>
          </cell>
        </row>
        <row r="59">
          <cell r="C59" t="str">
            <v>SC2063UA-GC-00AK-2063</v>
          </cell>
        </row>
        <row r="60">
          <cell r="C60" t="str">
            <v>SC2064SO-GC-00NR-2064</v>
          </cell>
        </row>
        <row r="61">
          <cell r="C61" t="str">
            <v>SC2202SO-N-CE-00NR-2202</v>
          </cell>
        </row>
        <row r="62">
          <cell r="C62" t="str">
            <v>SC2242SO-Q-CH-10CR-2242</v>
          </cell>
        </row>
        <row r="63">
          <cell r="C63" t="str">
            <v>SC2242SO-Q-CH-10CR-2642</v>
          </cell>
        </row>
        <row r="64">
          <cell r="C64" t="str">
            <v>SC2242UA-CE-00AK-2242</v>
          </cell>
        </row>
        <row r="65">
          <cell r="C65" t="str">
            <v>SC2242UA-Q-CH-10AK-2242</v>
          </cell>
        </row>
        <row r="66">
          <cell r="C66" t="str">
            <v>SC2402SO-N-Ag0.8-2402</v>
          </cell>
        </row>
        <row r="67">
          <cell r="C67" t="str">
            <v>SC2402SO-N-GA-00NR-2402</v>
          </cell>
        </row>
        <row r="68">
          <cell r="C68" t="str">
            <v>SC2402SO-N-CJ-90NR-2402</v>
          </cell>
        </row>
        <row r="69">
          <cell r="C69" t="str">
            <v>SC2402SO-N-CJ-90NR-NM</v>
          </cell>
        </row>
        <row r="70">
          <cell r="C70" t="str">
            <v>SC2402SO-N-CJ-90NR-6571</v>
          </cell>
        </row>
        <row r="71">
          <cell r="C71" t="str">
            <v>SC2402UA-GB-0XAK-U18</v>
          </cell>
        </row>
        <row r="72">
          <cell r="C72" t="str">
            <v>SC2402UA-GB-0XAK-2402</v>
          </cell>
        </row>
        <row r="73">
          <cell r="C73" t="str">
            <v>SC2402UA-GB-00AK-6501</v>
          </cell>
        </row>
        <row r="74">
          <cell r="C74" t="str">
            <v>SC2402UA-GB-00AK-177</v>
          </cell>
        </row>
        <row r="75">
          <cell r="C75" t="str">
            <v>NM.SC2402UA-GB-00AK</v>
          </cell>
        </row>
        <row r="76">
          <cell r="C76" t="str">
            <v>SC2402UA-CJ-90AK-2402</v>
          </cell>
        </row>
        <row r="77">
          <cell r="C77" t="str">
            <v>NM.SC2402UA-CJ-00AK</v>
          </cell>
        </row>
        <row r="78">
          <cell r="C78" t="str">
            <v>SC2413SO-N-CD-00LR-44E</v>
          </cell>
        </row>
        <row r="79">
          <cell r="C79" t="str">
            <v>SC2430UA-CI-10AK-2430</v>
          </cell>
        </row>
        <row r="80">
          <cell r="C80" t="str">
            <v>SC2432SO-N-CI-10CR-2432</v>
          </cell>
        </row>
        <row r="81">
          <cell r="C81" t="str">
            <v>SC2432SO-N-Q-CI-10CR-2432</v>
          </cell>
        </row>
        <row r="82">
          <cell r="C82" t="str">
            <v>SC2432SO-CM-10CR-2432</v>
          </cell>
        </row>
        <row r="83">
          <cell r="C83" t="str">
            <v>SC2432SO-Q-CM-10AR-NM</v>
          </cell>
        </row>
        <row r="84">
          <cell r="C84" t="str">
            <v>SC2432SO-Q-CM-10AR-2432</v>
          </cell>
        </row>
        <row r="85">
          <cell r="C85" t="str">
            <v>SC2432SO-Q-CM-10CR-2432</v>
          </cell>
        </row>
        <row r="86">
          <cell r="C86" t="str">
            <v>SC2432UA-CI-10AK-6232</v>
          </cell>
        </row>
        <row r="87">
          <cell r="C87" t="str">
            <v>SC2432UA-CI-10AK-2432</v>
          </cell>
        </row>
        <row r="88">
          <cell r="C88" t="str">
            <v>SC2434SO-N-CI-10CR-2434</v>
          </cell>
        </row>
        <row r="89">
          <cell r="C89" t="str">
            <v>SC2434SO-CM-10CR-2434</v>
          </cell>
        </row>
        <row r="90">
          <cell r="C90" t="str">
            <v>SC2434UA-CI-10AK-2434</v>
          </cell>
        </row>
        <row r="91">
          <cell r="C91" t="str">
            <v>SC2436SO-CM-10CR-2436</v>
          </cell>
        </row>
        <row r="92">
          <cell r="C92" t="str">
            <v>SC2436SO-Q-CM-10CR-2436</v>
          </cell>
        </row>
        <row r="93">
          <cell r="C93" t="str">
            <v>SC2436UA-CI-10AK-6210</v>
          </cell>
        </row>
        <row r="94">
          <cell r="C94" t="str">
            <v>SC2436UA-CI-10AK-2436</v>
          </cell>
        </row>
        <row r="95">
          <cell r="C95" t="str">
            <v>SC2438SO-CM-10CR-2438</v>
          </cell>
        </row>
        <row r="96">
          <cell r="C96" t="str">
            <v>SC2438SO-Q-CM-10CR-2438</v>
          </cell>
        </row>
        <row r="97">
          <cell r="C97" t="str">
            <v>SC2438UA-CI-10AK-2438</v>
          </cell>
        </row>
        <row r="98">
          <cell r="C98" t="str">
            <v>SC243XSO-Q-CM-10CR-243X</v>
          </cell>
        </row>
        <row r="99">
          <cell r="C99" t="str">
            <v>SC2442SO-N-CP-10CR-2442</v>
          </cell>
        </row>
        <row r="100">
          <cell r="C100" t="str">
            <v>SC2442SO-N-Q-CP-10CR-2662</v>
          </cell>
        </row>
        <row r="101">
          <cell r="C101" t="str">
            <v>SC2442SO-N-Q-CP-10CR-2442</v>
          </cell>
        </row>
        <row r="102">
          <cell r="C102" t="str">
            <v>SC2442SO-N-Q-DB-60CR-2442</v>
          </cell>
        </row>
        <row r="103">
          <cell r="C103" t="str">
            <v>SC2442SO-CR-10CR-2442</v>
          </cell>
        </row>
        <row r="104">
          <cell r="C104" t="str">
            <v>SC2442SO-Q-DB-60CR-2442</v>
          </cell>
        </row>
        <row r="105">
          <cell r="C105" t="str">
            <v>SC2442UA-CP-10AK-2442</v>
          </cell>
        </row>
        <row r="106">
          <cell r="C106" t="str">
            <v>SC2442UA-CP-10AK-U18</v>
          </cell>
        </row>
        <row r="107">
          <cell r="C107" t="str">
            <v>SC2442UA-Q-CP-10AK-2442</v>
          </cell>
        </row>
        <row r="108">
          <cell r="C108" t="str">
            <v>SC2442UA-Q-DB-60AK-2442</v>
          </cell>
        </row>
        <row r="109">
          <cell r="C109" t="str">
            <v>SC2443SO-Q-DB-60CR-2443</v>
          </cell>
        </row>
        <row r="110">
          <cell r="C110" t="str">
            <v>SC2443UA-Q-DB-60AK-2443</v>
          </cell>
        </row>
        <row r="111">
          <cell r="C111" t="str">
            <v>SC2448SO-Q-DB-60CR-2448</v>
          </cell>
        </row>
        <row r="112">
          <cell r="C112" t="str">
            <v>SC2448SO-Q-DB-40CR-2448</v>
          </cell>
        </row>
        <row r="113">
          <cell r="C113" t="str">
            <v>SC2448UA-N-Q-DB-60AK-2448</v>
          </cell>
        </row>
        <row r="114">
          <cell r="C114" t="str">
            <v>SC2452SO-Q-DD-60AR-2452</v>
          </cell>
        </row>
        <row r="115">
          <cell r="C115" t="str">
            <v>SC2455SO-Q-CK-10CR-2455</v>
          </cell>
        </row>
        <row r="116">
          <cell r="C116" t="str">
            <v>SC2462SO-CJ-10CR-2462</v>
          </cell>
        </row>
        <row r="117">
          <cell r="C117" t="str">
            <v>SC2462SO-Q-CJ-10CR-2462</v>
          </cell>
        </row>
        <row r="118">
          <cell r="C118" t="str">
            <v>SC2462UA-CJ-10AK-6472</v>
          </cell>
        </row>
        <row r="119">
          <cell r="C119" t="str">
            <v>SC2462UA-CJ-10AK-2462</v>
          </cell>
        </row>
        <row r="120">
          <cell r="C120" t="str">
            <v>SC2464SO-CJ-10CR-2464</v>
          </cell>
        </row>
        <row r="121">
          <cell r="C121" t="str">
            <v>SC2464UA-CJ-10AK-2464</v>
          </cell>
        </row>
        <row r="122">
          <cell r="C122" t="str">
            <v>SC2466SO-CO-10CR-2466</v>
          </cell>
        </row>
        <row r="123">
          <cell r="C123" t="str">
            <v>SC2498CUA-N-Q-DB-60CK-2498C</v>
          </cell>
        </row>
        <row r="124">
          <cell r="C124" t="str">
            <v>SC2498CUA-N-Q-DB-60AK-2498C</v>
          </cell>
        </row>
        <row r="125">
          <cell r="C125" t="str">
            <v>SC2498SO-Q-DB-60CR-2498</v>
          </cell>
        </row>
        <row r="126">
          <cell r="C126" t="str">
            <v>SC2498TSO-Q-DB-60CR-2498T</v>
          </cell>
        </row>
        <row r="127">
          <cell r="C127" t="str">
            <v>SC2498UA-N-Q-DB-60CK-2498</v>
          </cell>
        </row>
        <row r="128">
          <cell r="C128" t="str">
            <v>SC2498UA-N-Q-DB-60AK-2498</v>
          </cell>
        </row>
        <row r="129">
          <cell r="C129" t="str">
            <v>SC2527S6-AB-Q-DA-40CR-2527</v>
          </cell>
        </row>
        <row r="130">
          <cell r="C130" t="str">
            <v>SC2527S6-SD-Q-DA-40CR-2527</v>
          </cell>
        </row>
        <row r="131">
          <cell r="C131" t="str">
            <v>SC2546VB-AB-DA-00AK-2546</v>
          </cell>
        </row>
        <row r="132">
          <cell r="C132" t="str">
            <v>SC25791CUA-A(STC11210G-Q)-25791C</v>
          </cell>
        </row>
        <row r="133">
          <cell r="C133" t="str">
            <v>SC25791SE-Q-CG-40CR-5791</v>
          </cell>
        </row>
        <row r="134">
          <cell r="C134" t="str">
            <v>SC25891CUA-A-Q(STC11210G-Q)-25891C</v>
          </cell>
        </row>
        <row r="135">
          <cell r="C135" t="str">
            <v>SC25891SE-Q-CG-40CR-5891</v>
          </cell>
        </row>
        <row r="136">
          <cell r="C136" t="str">
            <v>SC2943A2-Q-DB-4XHK-S41H</v>
          </cell>
        </row>
        <row r="137">
          <cell r="C137" t="str">
            <v>SC2943SO-Q-DB-60CR-2943</v>
          </cell>
        </row>
        <row r="138">
          <cell r="C138" t="str">
            <v>SC2948S2-DB-60AK-61H</v>
          </cell>
        </row>
        <row r="139">
          <cell r="C139" t="str">
            <v>SC2968S1-N-DC-4XAK-S21C</v>
          </cell>
        </row>
        <row r="140">
          <cell r="C140" t="str">
            <v>SC3100VB-DG-00CK-3100</v>
          </cell>
        </row>
        <row r="141">
          <cell r="C141" t="str">
            <v>SC4001SE-CB-90CR-4001</v>
          </cell>
        </row>
        <row r="142">
          <cell r="C142" t="str">
            <v>SC4002BU-CA-00CR-4002</v>
          </cell>
        </row>
        <row r="143">
          <cell r="C143" t="str">
            <v>SC4002SO(STC4000AA)-4002</v>
          </cell>
        </row>
        <row r="144">
          <cell r="C144" t="str">
            <v>SC4002SO-N-CA-00NR-4002</v>
          </cell>
        </row>
        <row r="145">
          <cell r="C145" t="str">
            <v>SC4002UA-CA-00AK-4002</v>
          </cell>
        </row>
        <row r="146">
          <cell r="C146" t="str">
            <v>SC4002UA-CA-00AK-95A</v>
          </cell>
        </row>
        <row r="147">
          <cell r="C147" t="str">
            <v>SC4011DN-4011</v>
          </cell>
        </row>
        <row r="148">
          <cell r="C148" t="str">
            <v>SC4011SO-N-CB-90NR-49E</v>
          </cell>
        </row>
        <row r="149">
          <cell r="C149" t="str">
            <v>SC4015SO-N-A-CE-90NR-4015</v>
          </cell>
        </row>
        <row r="150">
          <cell r="C150" t="str">
            <v>SC4015SO-N-CE-90NR-QX11</v>
          </cell>
        </row>
        <row r="151">
          <cell r="C151" t="str">
            <v>SC4015SO-N-CE-90NR-NM</v>
          </cell>
        </row>
        <row r="152">
          <cell r="C152" t="str">
            <v>SC4015SO-N-CE-90NR-G01M</v>
          </cell>
        </row>
        <row r="153">
          <cell r="C153" t="str">
            <v>SC4015SO-N-CE-90NR-CY19</v>
          </cell>
        </row>
        <row r="154">
          <cell r="C154" t="str">
            <v>SC4015SO-N-CE-90NR-515</v>
          </cell>
        </row>
        <row r="155">
          <cell r="C155" t="str">
            <v>SC4015SO-N-CE-90NR-512</v>
          </cell>
        </row>
        <row r="156">
          <cell r="C156" t="str">
            <v>SC4015SO-N-CE-90NR-4015</v>
          </cell>
        </row>
        <row r="157">
          <cell r="C157" t="str">
            <v>SC4019S7-CC-90AK-49E</v>
          </cell>
        </row>
        <row r="158">
          <cell r="C158" t="str">
            <v>SC4101DN(STC11201B1)-4101</v>
          </cell>
        </row>
        <row r="159">
          <cell r="C159" t="str">
            <v>SC4103DN(STC11201B1)-4103</v>
          </cell>
        </row>
        <row r="160">
          <cell r="C160" t="str">
            <v>SC4251D3-GA-00FR-4251</v>
          </cell>
        </row>
        <row r="161">
          <cell r="C161" t="str">
            <v>SC4391S6-GB-00NR-4391</v>
          </cell>
        </row>
        <row r="162">
          <cell r="C162" t="str">
            <v>SC4616BU-4616</v>
          </cell>
        </row>
        <row r="163">
          <cell r="C163" t="str">
            <v>SC4616UA-10.2NF-CD-90AK-4616</v>
          </cell>
        </row>
        <row r="164">
          <cell r="C164" t="str">
            <v>SC4643SA-Q-DE-40HK-2100</v>
          </cell>
        </row>
        <row r="165">
          <cell r="C165" t="str">
            <v>SC4643SA-Q-DE-40CK-4643</v>
          </cell>
        </row>
        <row r="166">
          <cell r="C166" t="str">
            <v>SC4643SA-HBL-Q-DE-40HK-2100</v>
          </cell>
        </row>
        <row r="167">
          <cell r="C167" t="str">
            <v>SC4643SA-S-Q-DE-40HR-2100</v>
          </cell>
        </row>
        <row r="168">
          <cell r="C168" t="str">
            <v>SC4643VB-A-4643-2.5S</v>
          </cell>
        </row>
        <row r="169">
          <cell r="C169" t="str">
            <v>SC4643VB-Q-DE-40CK-FFH-L43</v>
          </cell>
        </row>
        <row r="170">
          <cell r="C170" t="str">
            <v>SC4643VB-Q-DE-40CK-4643</v>
          </cell>
        </row>
        <row r="171">
          <cell r="C171" t="str">
            <v>SC4643VB-G-Q-DE-40CK-4643</v>
          </cell>
        </row>
        <row r="172">
          <cell r="C172" t="str">
            <v>SC4643VB-P-2.5S(STC9D03E)-4643</v>
          </cell>
        </row>
        <row r="173">
          <cell r="C173" t="str">
            <v>SC4643VB-P-Q-DE-40CK-4643</v>
          </cell>
        </row>
        <row r="174">
          <cell r="C174" t="str">
            <v>SC4643VB-P-Q-DE-40CR-4643</v>
          </cell>
        </row>
        <row r="175">
          <cell r="C175" t="str">
            <v>SC4643VB-S-Q-DE-40CK-4643</v>
          </cell>
        </row>
        <row r="176">
          <cell r="C176" t="str">
            <v>SC4643VB-S-Q-DE-40CR-4643</v>
          </cell>
        </row>
        <row r="177">
          <cell r="C177" t="str">
            <v>SC4643VB-Q-DE-40CR-FFH-L43</v>
          </cell>
        </row>
        <row r="178">
          <cell r="C178" t="str">
            <v>SC4645VB-DF-00CK-4645</v>
          </cell>
        </row>
        <row r="179">
          <cell r="C179" t="str">
            <v>SC4665VB-HB-33CK-4665</v>
          </cell>
        </row>
        <row r="180">
          <cell r="C180" t="str">
            <v>SC4688DC-DC-40AR-2425</v>
          </cell>
        </row>
        <row r="181">
          <cell r="C181" t="str">
            <v>SC4688DC-Q-DC-40AR-6388</v>
          </cell>
        </row>
        <row r="182">
          <cell r="C182" t="str">
            <v>SC4688DC-Q-DC-40CR-4688</v>
          </cell>
        </row>
        <row r="183">
          <cell r="C183" t="str">
            <v>SC4688SA-Q-DC-40CK-888K</v>
          </cell>
        </row>
        <row r="184">
          <cell r="C184" t="str">
            <v>SC4688SA-Q-DC-40CK-4688</v>
          </cell>
        </row>
        <row r="185">
          <cell r="C185" t="str">
            <v>SC4689SA-Q-DF-40CK-4689</v>
          </cell>
        </row>
        <row r="186">
          <cell r="C186" t="str">
            <v>SC4703SO-GB-00NR-4703</v>
          </cell>
        </row>
        <row r="187">
          <cell r="C187" t="str">
            <v>SC4823S6-GA-00NR-4823</v>
          </cell>
        </row>
        <row r="188">
          <cell r="C188" t="str">
            <v>SC4923SO-N-CD-00NR-4923</v>
          </cell>
        </row>
        <row r="189">
          <cell r="C189" t="str">
            <v>NM.SC60104</v>
          </cell>
        </row>
        <row r="190">
          <cell r="C190" t="str">
            <v>SC60220SS-DC-00CB-60220</v>
          </cell>
        </row>
        <row r="191">
          <cell r="C191" t="str">
            <v>NP.SC60221-60221</v>
          </cell>
        </row>
        <row r="192">
          <cell r="C192" t="str">
            <v>SC60221-D-100</v>
          </cell>
        </row>
        <row r="193">
          <cell r="C193" t="str">
            <v>SC60221-D-256</v>
          </cell>
        </row>
        <row r="194">
          <cell r="C194" t="str">
            <v>SC60221-D-360</v>
          </cell>
        </row>
        <row r="195">
          <cell r="C195" t="str">
            <v>SC60221-D-400</v>
          </cell>
        </row>
        <row r="196">
          <cell r="C196" t="str">
            <v>SC60221-D-50</v>
          </cell>
        </row>
        <row r="197">
          <cell r="C197" t="str">
            <v>SC60221-D-64</v>
          </cell>
        </row>
        <row r="198">
          <cell r="C198" t="str">
            <v>SC60221-U-256-976</v>
          </cell>
        </row>
        <row r="199">
          <cell r="C199" t="str">
            <v>SC60221-U-P1-256</v>
          </cell>
        </row>
        <row r="200">
          <cell r="C200" t="str">
            <v>SC60221-U-P1-256-244-mai</v>
          </cell>
        </row>
        <row r="201">
          <cell r="C201" t="str">
            <v>SC60224-D-1000</v>
          </cell>
        </row>
        <row r="202">
          <cell r="C202" t="str">
            <v>SC60224-D-1024</v>
          </cell>
        </row>
        <row r="203">
          <cell r="C203" t="str">
            <v>SC60224-D-1024-976-BSD-01</v>
          </cell>
        </row>
        <row r="204">
          <cell r="C204" t="str">
            <v>SC60224-D-1024-Z1</v>
          </cell>
        </row>
        <row r="205">
          <cell r="C205" t="str">
            <v>SC60224-D-16</v>
          </cell>
        </row>
        <row r="206">
          <cell r="C206" t="str">
            <v>SC60224-D-200</v>
          </cell>
        </row>
        <row r="207">
          <cell r="C207" t="str">
            <v>SC60224-D-500</v>
          </cell>
        </row>
        <row r="208">
          <cell r="C208" t="str">
            <v>SC60224-D-600</v>
          </cell>
        </row>
        <row r="209">
          <cell r="C209" t="str">
            <v>SC60224-U-P1-1024</v>
          </cell>
        </row>
        <row r="210">
          <cell r="C210" t="str">
            <v>SC60224-U-P4-1024</v>
          </cell>
        </row>
        <row r="211">
          <cell r="C211" t="str">
            <v>NM.SC60226SS-DC-00CB</v>
          </cell>
        </row>
        <row r="212">
          <cell r="C212" t="str">
            <v>NA.SC60226SS-DC</v>
          </cell>
        </row>
        <row r="213">
          <cell r="C213" t="str">
            <v>SC60228DC-DC-00AR-NM</v>
          </cell>
        </row>
        <row r="214">
          <cell r="C214" t="str">
            <v>SC60228DC-DC-00AR-60228</v>
          </cell>
        </row>
        <row r="215">
          <cell r="C215" t="str">
            <v>SC60370(STC9D05C)-60370</v>
          </cell>
        </row>
        <row r="216">
          <cell r="C216" t="str">
            <v>SC69401DC-SPI-Q-HD-4XCR-69401</v>
          </cell>
        </row>
        <row r="217">
          <cell r="C217" t="str">
            <v>SC69401DC-HD-4XCR-69401</v>
          </cell>
        </row>
        <row r="218">
          <cell r="C218" t="str">
            <v>SC69401DC-Q-HD-4XCR-69401</v>
          </cell>
        </row>
        <row r="219">
          <cell r="C219" t="str">
            <v>SC69401HS-SPI-Q-HD-4XTR-69401</v>
          </cell>
        </row>
        <row r="220">
          <cell r="C220" t="str">
            <v>SC69401HS-HD-4XTR-69401</v>
          </cell>
        </row>
        <row r="221">
          <cell r="C221" t="str">
            <v>SC69401HS-Q-HD-4XTR-69401</v>
          </cell>
        </row>
        <row r="222">
          <cell r="C222" t="str">
            <v>SC919SO-N-Q-CD-90CR-919H</v>
          </cell>
        </row>
        <row r="223">
          <cell r="C223" t="str">
            <v>SC9314UA-CF-0XAK-94M</v>
          </cell>
        </row>
        <row r="224">
          <cell r="C224" t="str">
            <v>SC9314UA-CF-0XAK-9209</v>
          </cell>
        </row>
        <row r="225">
          <cell r="C225" t="str">
            <v>SC9314UA-CF-0XAK-9201L</v>
          </cell>
        </row>
        <row r="226">
          <cell r="C226" t="str">
            <v>SC9314UA-CF-0XAK-2414</v>
          </cell>
        </row>
        <row r="227">
          <cell r="C227" t="str">
            <v>SC9314UA-CF-0XAK-17CA</v>
          </cell>
        </row>
        <row r="228">
          <cell r="C228" t="str">
            <v>NM.SC9314UA-CF-0XAK</v>
          </cell>
        </row>
        <row r="229">
          <cell r="C229" t="str">
            <v>SC9314UA-Q-CF-0XAK-94M</v>
          </cell>
        </row>
        <row r="230">
          <cell r="C230" t="str">
            <v>SC9621VB-CF-00CK-9621</v>
          </cell>
        </row>
        <row r="231">
          <cell r="C231" t="str">
            <v>SC9621VB-Q-CN-4XCR-9621</v>
          </cell>
        </row>
        <row r="232">
          <cell r="C232" t="str">
            <v>SC9625VB-CE-00CK-9625L</v>
          </cell>
        </row>
        <row r="233">
          <cell r="C233" t="str">
            <v>NM.SC9625VB-CE-00CK</v>
          </cell>
        </row>
        <row r="234">
          <cell r="C234" t="str">
            <v>SC9625VB-Q-CE-4XCK-9625L</v>
          </cell>
        </row>
        <row r="235">
          <cell r="C235" t="str">
            <v>SC9625VB-CE-00CR-9625L</v>
          </cell>
        </row>
        <row r="236">
          <cell r="C236" t="str">
            <v>SC9625VB-Q-CE-4XCR-9625L</v>
          </cell>
        </row>
        <row r="237">
          <cell r="C237" t="str">
            <v>SC9632VB-CE-00CK-9632</v>
          </cell>
        </row>
        <row r="238">
          <cell r="C238" t="str">
            <v>SC9633VB-CF-00CK-9633</v>
          </cell>
        </row>
        <row r="239">
          <cell r="C239" t="str">
            <v>SC9634VB-CG-00CK-SZ48</v>
          </cell>
        </row>
        <row r="240">
          <cell r="C240" t="str">
            <v>SC9634VB-CG-00CK-9634</v>
          </cell>
        </row>
        <row r="241">
          <cell r="C241" t="str">
            <v>SC9641TS-P-AI-10AK-41CPA</v>
          </cell>
        </row>
        <row r="242">
          <cell r="C242" t="str">
            <v>SC9641TS-PC-Q-AI-10LK-9641PC</v>
          </cell>
        </row>
        <row r="243">
          <cell r="C243" t="str">
            <v>SC9641TS-PC-Q-AI-10LR-9641PC</v>
          </cell>
        </row>
        <row r="244">
          <cell r="C244" t="str">
            <v>SC9641TS-P-AI-10AR-G1630</v>
          </cell>
        </row>
        <row r="245">
          <cell r="C245" t="str">
            <v>SC9641TS-P-AI-10AR-41CPA</v>
          </cell>
        </row>
        <row r="246">
          <cell r="C246" t="str">
            <v>SC9641TS-P-AI-10LR-41CPA</v>
          </cell>
        </row>
        <row r="247">
          <cell r="C247" t="str">
            <v>SC9641TS-P-Q-AI-10LR-9641P</v>
          </cell>
        </row>
        <row r="248">
          <cell r="C248" t="str">
            <v>SC9641TS-Q-CB-10LR-9641</v>
          </cell>
        </row>
        <row r="249">
          <cell r="C249" t="str">
            <v>SC9641TS-362-Q-CB-10LR-9641</v>
          </cell>
        </row>
        <row r="250">
          <cell r="C250" t="str">
            <v>SC9642TS-EC-Q-AH-4XLR-9642</v>
          </cell>
        </row>
        <row r="251">
          <cell r="C251" t="str">
            <v>SC9642TS-E-AH-4XLR-9642</v>
          </cell>
        </row>
        <row r="252">
          <cell r="C252" t="str">
            <v>SC9642TS-E-Q-AH-4XLR-9642</v>
          </cell>
        </row>
        <row r="253">
          <cell r="C253" t="str">
            <v>SC9642TS-E362-Q-AH-4XLR-9642</v>
          </cell>
        </row>
        <row r="254">
          <cell r="C254" t="str">
            <v>SC9642TS-Q-AG-4XHR-9642</v>
          </cell>
        </row>
        <row r="255">
          <cell r="C255" t="str">
            <v>SC9648TS-AI-10AK-9648</v>
          </cell>
        </row>
        <row r="256">
          <cell r="C256" t="str">
            <v>SC9648TS-AI-10AR-9648</v>
          </cell>
        </row>
        <row r="257">
          <cell r="C257" t="str">
            <v>SC9675IM-HRF00-Q-AB-4XAR-9675</v>
          </cell>
        </row>
        <row r="258">
          <cell r="C258" t="str">
            <v>SC9675IM-HRF11-Q-AB-4XAR-9675</v>
          </cell>
        </row>
        <row r="259">
          <cell r="C259" t="str">
            <v>SC9675IM-LRF00-Q-AB-4XAR-9675</v>
          </cell>
        </row>
        <row r="260">
          <cell r="C260" t="str">
            <v>SC9675IM-LRF01-Q-AB-4XAR-9675</v>
          </cell>
        </row>
        <row r="261">
          <cell r="C261" t="str">
            <v>SC9675IM-Q-AB-4XAR-9675</v>
          </cell>
        </row>
        <row r="262">
          <cell r="C262" t="str">
            <v>SC9675T3-Q-AB-4XAR-9675</v>
          </cell>
        </row>
        <row r="263">
          <cell r="C263" t="str">
            <v>SC9683TS-Q-DB-4XAR-9683</v>
          </cell>
        </row>
        <row r="264">
          <cell r="C264" t="str">
            <v>SC9684TS-Q-DB-4XAR-9684</v>
          </cell>
        </row>
        <row r="265">
          <cell r="C265" t="str">
            <v>SC9685TS-RP120-Q-DB-46AR-96852</v>
          </cell>
        </row>
        <row r="266">
          <cell r="C266" t="str">
            <v>SD211VB-CA-90AK-KH211</v>
          </cell>
        </row>
        <row r="267">
          <cell r="C267" t="str">
            <v>SD211VB-CA-90AK-211</v>
          </cell>
        </row>
        <row r="268">
          <cell r="C268" t="str">
            <v>SD2276VB-CA-90AK-KH276</v>
          </cell>
        </row>
        <row r="269">
          <cell r="C269" t="str">
            <v>SD2276VB-CA-90AK-276</v>
          </cell>
        </row>
        <row r="270">
          <cell r="C270" t="str">
            <v>SD477VB-GC-90AK-477S</v>
          </cell>
        </row>
        <row r="271">
          <cell r="C271" t="str">
            <v>SD477VB-GC-90AK-KH477</v>
          </cell>
        </row>
        <row r="272">
          <cell r="C272" t="str">
            <v>SL002147DC-GB-00AR-2147</v>
          </cell>
        </row>
        <row r="273">
          <cell r="C273" t="str">
            <v>SL54123ADC-GB-00AR-54123A</v>
          </cell>
        </row>
        <row r="274">
          <cell r="C274" t="str">
            <v>SPD3242(STC35301)</v>
          </cell>
        </row>
        <row r="275">
          <cell r="C275" t="str">
            <v>STC4011B-DS</v>
          </cell>
        </row>
        <row r="276">
          <cell r="C276" t="str">
            <v>STC4011E-DS</v>
          </cell>
        </row>
        <row r="277">
          <cell r="C277" t="str">
            <v>STC9902J</v>
          </cell>
        </row>
        <row r="278">
          <cell r="C278" t="str">
            <v>TRVE1430Q1BA3R5(VA2201D)-1430Q</v>
          </cell>
        </row>
        <row r="279">
          <cell r="C279" t="str">
            <v>TRVE1430Q1CA3R33(VA2201D)-1430Q</v>
          </cell>
        </row>
        <row r="280">
          <cell r="C280" t="str">
            <v>TRVE1430Q1CA3R5-1430Q</v>
          </cell>
        </row>
        <row r="281">
          <cell r="C281" t="str">
            <v>TRVE1430Q1VA3RADJ(VA2201E)-1430Q</v>
          </cell>
        </row>
        <row r="282">
          <cell r="C282" t="str">
            <v>TRVE8602A5R-8602</v>
          </cell>
        </row>
        <row r="283">
          <cell r="C283" t="str">
            <v>VE8602AKR-8602</v>
          </cell>
        </row>
        <row r="284">
          <cell r="C284" t="str">
            <v>ZH6338</v>
          </cell>
        </row>
        <row r="285">
          <cell r="C285" t="str">
            <v>ZH6531</v>
          </cell>
        </row>
        <row r="286">
          <cell r="C286" t="str">
            <v>SC1945B1(STC2899AJ)-N13</v>
          </cell>
        </row>
        <row r="287">
          <cell r="C287" t="str">
            <v>SC1002N2W-CL-00AK-N41F</v>
          </cell>
        </row>
        <row r="288">
          <cell r="C288" t="str">
            <v>SC1919UA-CD-90AK-919H</v>
          </cell>
        </row>
        <row r="289">
          <cell r="C289" t="str">
            <v>NM.SC4001UA-CB-90AK</v>
          </cell>
        </row>
        <row r="290">
          <cell r="C290" t="str">
            <v>SYLM358DC-GC-90AR-LM358</v>
          </cell>
        </row>
        <row r="291">
          <cell r="C291" t="str">
            <v>SYLM358DC-GC-90AR-NM</v>
          </cell>
        </row>
        <row r="292">
          <cell r="C292" t="str">
            <v>SC1002A3-CG-00UK-41HS</v>
          </cell>
        </row>
        <row r="293">
          <cell r="C293" t="str">
            <v>SC1002N1W-CL-00AK-N41H</v>
          </cell>
        </row>
        <row r="294">
          <cell r="C294" t="str">
            <v>SC1002S1-CG-00AK-41H</v>
          </cell>
        </row>
        <row r="295">
          <cell r="C295" t="str">
            <v>SC1002S2-CG-00AK-41F</v>
          </cell>
        </row>
        <row r="296">
          <cell r="C296" t="str">
            <v>SC1245UA-1245</v>
          </cell>
        </row>
        <row r="297">
          <cell r="C297" t="str">
            <v>SC1445A1-AB-00HK-4451H</v>
          </cell>
        </row>
        <row r="298">
          <cell r="C298" t="str">
            <v>SC1445A2-713B</v>
          </cell>
        </row>
        <row r="299">
          <cell r="C299" t="str">
            <v>SC1445B2-713</v>
          </cell>
        </row>
        <row r="300">
          <cell r="C300" t="str">
            <v>SC1645S1-AI-00AK-4601</v>
          </cell>
        </row>
        <row r="301">
          <cell r="C301" t="str">
            <v>SC2242SO-CH-90NR-2242</v>
          </cell>
        </row>
        <row r="302">
          <cell r="C302" t="str">
            <v>SC2413SO-N-CD-00NR-44E</v>
          </cell>
        </row>
        <row r="303">
          <cell r="C303" t="str">
            <v>SC25898CUB-Q-DD-60AK-25898</v>
          </cell>
        </row>
        <row r="304">
          <cell r="C304" t="str">
            <v>SC2919SO-N-Q-CD-90AR-2919</v>
          </cell>
        </row>
        <row r="305">
          <cell r="C305" t="str">
            <v>SC2943UA-Q-DB-60AK-2943</v>
          </cell>
        </row>
        <row r="306">
          <cell r="C306" t="str">
            <v>SC2943UA-Q-K01-DB-60AR-2943</v>
          </cell>
        </row>
        <row r="307">
          <cell r="C307" t="str">
            <v>SC2948SO-Q-DB-60AR-2948</v>
          </cell>
        </row>
        <row r="308">
          <cell r="C308" t="str">
            <v>SC4001SE-CB-90LR-4001</v>
          </cell>
        </row>
        <row r="309">
          <cell r="C309" t="str">
            <v>SC4015SO-L-CE-90NR-CY19</v>
          </cell>
        </row>
        <row r="310">
          <cell r="C310" t="str">
            <v>SC4015SO-H-CE-90NR-CY19</v>
          </cell>
        </row>
        <row r="311">
          <cell r="C311" t="str">
            <v>SC4624SP20B5-SC4624</v>
          </cell>
        </row>
        <row r="312">
          <cell r="C312" t="str">
            <v>SC4823S6-GB-00NR-4823</v>
          </cell>
        </row>
        <row r="313">
          <cell r="C313" t="str">
            <v>SC60228DC-DC-90AR-60228</v>
          </cell>
        </row>
        <row r="314">
          <cell r="C314" t="str">
            <v>SC69401DC-SPI3P3-Q-HD-4XCR-69401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7E3C7-C936-43E3-AECA-BAF65509F08B}">
  <dimension ref="A1:BW614"/>
  <sheetViews>
    <sheetView tabSelected="1" zoomScale="85" zoomScaleNormal="85" workbookViewId="0">
      <selection activeCell="D8" sqref="D8"/>
    </sheetView>
  </sheetViews>
  <sheetFormatPr defaultRowHeight="13.8" outlineLevelCol="1" x14ac:dyDescent="0.25"/>
  <cols>
    <col min="1" max="1" width="7.33203125" bestFit="1" customWidth="1"/>
    <col min="2" max="2" width="32.109375" customWidth="1"/>
    <col min="3" max="3" width="10.44140625" bestFit="1" customWidth="1"/>
    <col min="4" max="4" width="32.5546875" customWidth="1"/>
    <col min="5" max="5" width="11.77734375" bestFit="1" customWidth="1"/>
    <col min="6" max="6" width="13.109375" bestFit="1" customWidth="1"/>
    <col min="7" max="7" width="20.21875" customWidth="1"/>
    <col min="8" max="8" width="45.21875" bestFit="1" customWidth="1"/>
    <col min="9" max="9" width="45.21875" customWidth="1"/>
    <col min="10" max="10" width="9.33203125" customWidth="1"/>
    <col min="11" max="11" width="7.33203125" customWidth="1"/>
    <col min="12" max="12" width="28.88671875" hidden="1" customWidth="1" outlineLevel="1"/>
    <col min="13" max="13" width="39.77734375" hidden="1" customWidth="1" outlineLevel="1"/>
    <col min="14" max="14" width="15.33203125" hidden="1" customWidth="1" outlineLevel="1"/>
    <col min="15" max="15" width="17.44140625" hidden="1" customWidth="1" outlineLevel="1"/>
    <col min="16" max="16" width="24.6640625" hidden="1" customWidth="1" outlineLevel="1"/>
    <col min="17" max="17" width="13.109375" hidden="1" customWidth="1" outlineLevel="1"/>
    <col min="18" max="18" width="14.109375" customWidth="1" collapsed="1"/>
    <col min="19" max="19" width="22.44140625" hidden="1" customWidth="1" outlineLevel="1"/>
    <col min="20" max="20" width="16.21875" hidden="1" customWidth="1" outlineLevel="1"/>
    <col min="21" max="21" width="24.44140625" hidden="1" customWidth="1" outlineLevel="1"/>
    <col min="22" max="24" width="14.109375" hidden="1" customWidth="1" outlineLevel="1"/>
    <col min="25" max="26" width="12.88671875" hidden="1" customWidth="1" outlineLevel="1"/>
    <col min="27" max="28" width="14.109375" hidden="1" customWidth="1" outlineLevel="1"/>
    <col min="29" max="29" width="12.88671875" hidden="1" customWidth="1" outlineLevel="1"/>
    <col min="30" max="30" width="14.88671875" hidden="1" customWidth="1" outlineLevel="1"/>
    <col min="31" max="31" width="13.21875" bestFit="1" customWidth="1" collapsed="1"/>
    <col min="32" max="35" width="13.21875" bestFit="1" customWidth="1"/>
    <col min="36" max="36" width="12.88671875" bestFit="1" customWidth="1"/>
    <col min="51" max="51" width="21.109375" bestFit="1" customWidth="1"/>
    <col min="72" max="75" width="16.77734375" bestFit="1" customWidth="1"/>
  </cols>
  <sheetData>
    <row r="1" spans="1:75" ht="17.399999999999999" x14ac:dyDescent="0.25">
      <c r="A1" s="108" t="s">
        <v>1857</v>
      </c>
      <c r="B1" s="108" t="s">
        <v>1858</v>
      </c>
      <c r="C1" s="108" t="s">
        <v>1859</v>
      </c>
      <c r="D1" s="108" t="s">
        <v>0</v>
      </c>
      <c r="E1" s="108" t="s">
        <v>1</v>
      </c>
      <c r="F1" s="108" t="s">
        <v>2</v>
      </c>
      <c r="G1" s="108" t="s">
        <v>3</v>
      </c>
      <c r="H1" s="108" t="s">
        <v>1860</v>
      </c>
      <c r="I1" s="108"/>
      <c r="J1" s="108" t="s">
        <v>1861</v>
      </c>
      <c r="K1" s="108" t="s">
        <v>1862</v>
      </c>
      <c r="L1" s="108" t="s">
        <v>4</v>
      </c>
      <c r="M1" s="109" t="s">
        <v>5</v>
      </c>
      <c r="N1" s="108" t="s">
        <v>6</v>
      </c>
      <c r="O1" s="108" t="s">
        <v>7</v>
      </c>
      <c r="P1" s="108" t="s">
        <v>8</v>
      </c>
      <c r="Q1" s="110" t="s">
        <v>9</v>
      </c>
      <c r="R1" s="120" t="s">
        <v>10</v>
      </c>
      <c r="S1" s="112" t="s">
        <v>11</v>
      </c>
      <c r="T1" s="113" t="s">
        <v>12</v>
      </c>
      <c r="U1" s="109" t="s">
        <v>1984</v>
      </c>
      <c r="V1" s="109" t="s">
        <v>14</v>
      </c>
      <c r="W1" s="109" t="s">
        <v>15</v>
      </c>
      <c r="X1" s="109" t="s">
        <v>16</v>
      </c>
      <c r="Y1" s="109" t="s">
        <v>17</v>
      </c>
      <c r="Z1" s="109" t="s">
        <v>18</v>
      </c>
      <c r="AA1" s="109" t="s">
        <v>19</v>
      </c>
      <c r="AB1" s="109" t="s">
        <v>20</v>
      </c>
      <c r="AC1" s="109" t="s">
        <v>21</v>
      </c>
      <c r="AD1" s="112" t="s">
        <v>22</v>
      </c>
      <c r="AE1" s="114" t="s">
        <v>23</v>
      </c>
      <c r="AF1" s="114" t="s">
        <v>24</v>
      </c>
      <c r="AG1" s="114" t="s">
        <v>25</v>
      </c>
      <c r="AH1" s="114" t="s">
        <v>1863</v>
      </c>
      <c r="AI1" s="114" t="s">
        <v>1864</v>
      </c>
      <c r="AJ1" s="114" t="s">
        <v>1875</v>
      </c>
      <c r="AK1" s="3" t="s">
        <v>26</v>
      </c>
      <c r="AL1" s="3" t="s">
        <v>27</v>
      </c>
      <c r="AM1" s="3" t="s">
        <v>28</v>
      </c>
      <c r="AN1" s="3" t="s">
        <v>29</v>
      </c>
      <c r="AO1" s="3" t="s">
        <v>30</v>
      </c>
      <c r="AP1" s="3" t="s">
        <v>31</v>
      </c>
      <c r="AQ1" s="3" t="s">
        <v>32</v>
      </c>
      <c r="AR1" s="3" t="s">
        <v>33</v>
      </c>
      <c r="AS1" s="3" t="s">
        <v>34</v>
      </c>
      <c r="AT1" s="3" t="s">
        <v>35</v>
      </c>
      <c r="AU1" s="3" t="s">
        <v>36</v>
      </c>
      <c r="AV1" s="3" t="s">
        <v>37</v>
      </c>
      <c r="AW1" s="2" t="s">
        <v>1865</v>
      </c>
      <c r="AX1" s="2" t="s">
        <v>38</v>
      </c>
      <c r="AY1" s="2" t="s">
        <v>1866</v>
      </c>
      <c r="AZ1" s="3" t="s">
        <v>39</v>
      </c>
      <c r="BA1" s="3" t="s">
        <v>40</v>
      </c>
      <c r="BB1" s="3" t="s">
        <v>41</v>
      </c>
      <c r="BC1" s="3" t="s">
        <v>42</v>
      </c>
      <c r="BD1" s="2" t="s">
        <v>43</v>
      </c>
      <c r="BE1" s="2" t="s">
        <v>44</v>
      </c>
      <c r="BF1" s="2" t="s">
        <v>45</v>
      </c>
      <c r="BG1" s="4" t="s">
        <v>46</v>
      </c>
      <c r="BH1" s="5" t="s">
        <v>47</v>
      </c>
      <c r="BI1" s="5" t="s">
        <v>48</v>
      </c>
      <c r="BJ1" s="5" t="s">
        <v>49</v>
      </c>
      <c r="BK1" s="5" t="s">
        <v>50</v>
      </c>
      <c r="BL1" s="5" t="s">
        <v>51</v>
      </c>
      <c r="BM1" s="5" t="s">
        <v>52</v>
      </c>
      <c r="BN1" s="6" t="s">
        <v>53</v>
      </c>
      <c r="BO1" s="6" t="s">
        <v>54</v>
      </c>
      <c r="BP1" s="7" t="s">
        <v>1867</v>
      </c>
      <c r="BQ1" s="7" t="s">
        <v>1868</v>
      </c>
      <c r="BR1" s="7" t="s">
        <v>1869</v>
      </c>
      <c r="BS1" s="7" t="s">
        <v>1870</v>
      </c>
      <c r="BT1" s="8" t="s">
        <v>1871</v>
      </c>
      <c r="BU1" s="8" t="s">
        <v>1872</v>
      </c>
      <c r="BV1" s="8" t="s">
        <v>1873</v>
      </c>
      <c r="BW1" s="8" t="s">
        <v>1874</v>
      </c>
    </row>
    <row r="2" spans="1:75" ht="17.399999999999999" x14ac:dyDescent="0.25">
      <c r="A2" s="69">
        <f t="shared" ref="A2:A33" si="0">ROW()-1</f>
        <v>1</v>
      </c>
      <c r="B2" s="70" t="s">
        <v>1069</v>
      </c>
      <c r="C2" s="71" t="s">
        <v>243</v>
      </c>
      <c r="D2" s="71" t="s">
        <v>549</v>
      </c>
      <c r="E2" s="71" t="s">
        <v>1070</v>
      </c>
      <c r="F2" s="71"/>
      <c r="G2" s="71" t="s">
        <v>591</v>
      </c>
      <c r="H2" s="71" t="s">
        <v>592</v>
      </c>
      <c r="I2" s="71" t="str">
        <f>VLOOKUP(H2,[1]Sheet1!$C:$C,1,0)</f>
        <v>SC4689SA-Q-DF-40CK-4689</v>
      </c>
      <c r="J2" s="87"/>
      <c r="K2" s="87"/>
      <c r="L2" s="71"/>
      <c r="M2" s="71" t="s">
        <v>1071</v>
      </c>
      <c r="N2" s="72">
        <v>3000000</v>
      </c>
      <c r="O2" s="73" t="s">
        <v>362</v>
      </c>
      <c r="P2" s="71" t="s">
        <v>1072</v>
      </c>
      <c r="Q2" s="74" t="s">
        <v>1073</v>
      </c>
      <c r="R2" s="100">
        <v>2.4</v>
      </c>
      <c r="S2" s="75">
        <f>R2*U2</f>
        <v>720000</v>
      </c>
      <c r="T2" s="76">
        <v>1320000</v>
      </c>
      <c r="U2" s="76">
        <f t="shared" ref="U2:U65" si="1">SUM(AE2:AG2)</f>
        <v>300000</v>
      </c>
      <c r="V2" s="72">
        <v>0</v>
      </c>
      <c r="W2" s="72">
        <v>0</v>
      </c>
      <c r="X2" s="72">
        <v>0</v>
      </c>
      <c r="Y2" s="72">
        <v>0</v>
      </c>
      <c r="Z2" s="72">
        <v>0</v>
      </c>
      <c r="AA2" s="72">
        <v>50000</v>
      </c>
      <c r="AB2" s="72">
        <v>50000</v>
      </c>
      <c r="AC2" s="72">
        <v>50000</v>
      </c>
      <c r="AD2" s="77">
        <v>100000</v>
      </c>
      <c r="AE2" s="75">
        <v>100000</v>
      </c>
      <c r="AF2" s="75">
        <v>100000</v>
      </c>
      <c r="AG2" s="75">
        <v>100000</v>
      </c>
      <c r="AH2" s="75">
        <v>100000</v>
      </c>
      <c r="AI2" s="75">
        <v>100000</v>
      </c>
      <c r="AJ2" s="75">
        <v>100000</v>
      </c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19" t="s">
        <v>1074</v>
      </c>
      <c r="AX2" s="19" t="s">
        <v>85</v>
      </c>
      <c r="AY2" s="19" t="s">
        <v>371</v>
      </c>
      <c r="AZ2" s="18" t="s">
        <v>62</v>
      </c>
      <c r="BA2" s="19" t="s">
        <v>1075</v>
      </c>
      <c r="BB2" s="19" t="s">
        <v>1076</v>
      </c>
      <c r="BC2" s="19"/>
      <c r="BD2" s="19" t="s">
        <v>1077</v>
      </c>
      <c r="BE2" s="19" t="s">
        <v>1078</v>
      </c>
      <c r="BF2" s="19"/>
      <c r="BG2" s="24">
        <v>2</v>
      </c>
      <c r="BH2" s="25"/>
      <c r="BI2" s="25">
        <v>45219</v>
      </c>
      <c r="BJ2" s="25">
        <v>45224</v>
      </c>
      <c r="BK2" s="25">
        <v>45324</v>
      </c>
      <c r="BL2" s="25">
        <v>45384</v>
      </c>
      <c r="BM2" s="25">
        <v>45414</v>
      </c>
      <c r="BN2" s="26">
        <v>0.8</v>
      </c>
      <c r="BO2" s="27"/>
      <c r="BP2" s="27">
        <f t="shared" ref="BP2:BW3" si="2">$R2*Z2</f>
        <v>0</v>
      </c>
      <c r="BQ2" s="27">
        <f t="shared" si="2"/>
        <v>120000</v>
      </c>
      <c r="BR2" s="27">
        <f t="shared" si="2"/>
        <v>120000</v>
      </c>
      <c r="BS2" s="27">
        <f t="shared" si="2"/>
        <v>120000</v>
      </c>
      <c r="BT2" s="28">
        <f t="shared" si="2"/>
        <v>240000</v>
      </c>
      <c r="BU2" s="28">
        <f t="shared" si="2"/>
        <v>240000</v>
      </c>
      <c r="BV2" s="28">
        <f t="shared" si="2"/>
        <v>240000</v>
      </c>
      <c r="BW2" s="28">
        <f t="shared" si="2"/>
        <v>240000</v>
      </c>
    </row>
    <row r="3" spans="1:75" ht="17.399999999999999" x14ac:dyDescent="0.25">
      <c r="A3" s="69">
        <f t="shared" si="0"/>
        <v>2</v>
      </c>
      <c r="B3" s="71" t="s">
        <v>1228</v>
      </c>
      <c r="C3" s="71" t="s">
        <v>243</v>
      </c>
      <c r="D3" s="71" t="s">
        <v>1228</v>
      </c>
      <c r="E3" s="71" t="s">
        <v>1160</v>
      </c>
      <c r="F3" s="71"/>
      <c r="G3" s="71" t="s">
        <v>1230</v>
      </c>
      <c r="H3" s="71" t="s">
        <v>1231</v>
      </c>
      <c r="I3" s="71" t="str">
        <f>VLOOKUP(H3,[1]Sheet1!$C:$C,1,0)</f>
        <v>PSTC9G001C</v>
      </c>
      <c r="J3" s="71"/>
      <c r="K3" s="71"/>
      <c r="L3" s="71" t="s">
        <v>1232</v>
      </c>
      <c r="M3" s="72"/>
      <c r="N3" s="71" t="s">
        <v>361</v>
      </c>
      <c r="O3" s="73"/>
      <c r="P3" s="71"/>
      <c r="Q3" s="74"/>
      <c r="R3" s="100">
        <v>4551.674</v>
      </c>
      <c r="S3" s="75">
        <f>R3*U3</f>
        <v>113791.85</v>
      </c>
      <c r="T3" s="92"/>
      <c r="U3" s="76">
        <f t="shared" si="1"/>
        <v>25</v>
      </c>
      <c r="V3" s="72">
        <v>0</v>
      </c>
      <c r="W3" s="72">
        <v>0</v>
      </c>
      <c r="X3" s="72">
        <v>25</v>
      </c>
      <c r="Y3" s="72">
        <v>25</v>
      </c>
      <c r="Z3" s="72">
        <v>25</v>
      </c>
      <c r="AA3" s="72">
        <v>25</v>
      </c>
      <c r="AB3" s="72">
        <v>0</v>
      </c>
      <c r="AC3" s="72">
        <v>0</v>
      </c>
      <c r="AD3" s="77">
        <v>25</v>
      </c>
      <c r="AE3" s="75">
        <v>0</v>
      </c>
      <c r="AF3" s="75">
        <v>0</v>
      </c>
      <c r="AG3" s="75">
        <v>25</v>
      </c>
      <c r="AH3" s="75">
        <v>25</v>
      </c>
      <c r="AI3" s="75"/>
      <c r="AJ3" s="75">
        <v>25</v>
      </c>
      <c r="AK3" s="21"/>
      <c r="AL3" s="21">
        <v>0</v>
      </c>
      <c r="AM3" s="21"/>
      <c r="AN3" s="21"/>
      <c r="AO3" s="21">
        <v>0</v>
      </c>
      <c r="AP3" s="21">
        <v>0</v>
      </c>
      <c r="AQ3" s="21">
        <v>0</v>
      </c>
      <c r="AR3" s="21"/>
      <c r="AS3" s="21"/>
      <c r="AT3" s="21"/>
      <c r="AU3" s="21"/>
      <c r="AV3" s="21"/>
      <c r="AW3" s="19" t="s">
        <v>155</v>
      </c>
      <c r="AX3" s="19" t="s">
        <v>120</v>
      </c>
      <c r="AY3" s="19" t="s">
        <v>261</v>
      </c>
      <c r="AZ3" s="18" t="s">
        <v>115</v>
      </c>
      <c r="BA3" s="19" t="s">
        <v>123</v>
      </c>
      <c r="BB3" s="19" t="s">
        <v>1163</v>
      </c>
      <c r="BC3" s="19" t="s">
        <v>1163</v>
      </c>
      <c r="BD3" s="19"/>
      <c r="BE3" s="19"/>
      <c r="BF3" s="19"/>
      <c r="BG3" s="24"/>
      <c r="BH3" s="19"/>
      <c r="BI3" s="25"/>
      <c r="BJ3" s="25"/>
      <c r="BK3" s="25"/>
      <c r="BL3" s="25"/>
      <c r="BM3" s="25"/>
      <c r="BN3" s="26"/>
      <c r="BO3" s="21"/>
      <c r="BP3" s="27">
        <f t="shared" si="2"/>
        <v>113791.85</v>
      </c>
      <c r="BQ3" s="27">
        <f t="shared" si="2"/>
        <v>113791.85</v>
      </c>
      <c r="BR3" s="27">
        <f t="shared" si="2"/>
        <v>0</v>
      </c>
      <c r="BS3" s="27">
        <f t="shared" si="2"/>
        <v>0</v>
      </c>
      <c r="BT3" s="28">
        <f t="shared" si="2"/>
        <v>113791.85</v>
      </c>
      <c r="BU3" s="28">
        <f t="shared" si="2"/>
        <v>0</v>
      </c>
      <c r="BV3" s="28">
        <f t="shared" si="2"/>
        <v>0</v>
      </c>
      <c r="BW3" s="28">
        <f t="shared" si="2"/>
        <v>113791.85</v>
      </c>
    </row>
    <row r="4" spans="1:75" ht="17.399999999999999" x14ac:dyDescent="0.25">
      <c r="A4" s="69">
        <f t="shared" si="0"/>
        <v>3</v>
      </c>
      <c r="B4" s="73" t="s">
        <v>1810</v>
      </c>
      <c r="C4" s="71" t="s">
        <v>243</v>
      </c>
      <c r="D4" s="71" t="s">
        <v>1811</v>
      </c>
      <c r="E4" s="71" t="s">
        <v>978</v>
      </c>
      <c r="F4" s="71" t="s">
        <v>978</v>
      </c>
      <c r="G4" s="71" t="s">
        <v>1934</v>
      </c>
      <c r="H4" s="71" t="s">
        <v>1935</v>
      </c>
      <c r="I4" s="71" t="str">
        <f>VLOOKUP(H4,[1]Sheet1!$C:$C,1,0)</f>
        <v>SC1002A3-CG-00UK-41HS</v>
      </c>
      <c r="J4" s="71"/>
      <c r="K4" s="71"/>
      <c r="L4" s="73"/>
      <c r="M4" s="80"/>
      <c r="N4" s="72"/>
      <c r="O4" s="73"/>
      <c r="P4" s="71"/>
      <c r="Q4" s="71"/>
      <c r="R4" s="100">
        <v>0.18</v>
      </c>
      <c r="S4" s="75"/>
      <c r="T4" s="91"/>
      <c r="U4" s="76">
        <f t="shared" si="1"/>
        <v>0</v>
      </c>
      <c r="V4" s="80"/>
      <c r="W4" s="80"/>
      <c r="X4" s="80"/>
      <c r="Y4" s="72"/>
      <c r="Z4" s="72"/>
      <c r="AA4" s="72"/>
      <c r="AB4" s="72"/>
      <c r="AC4" s="72"/>
      <c r="AD4" s="77"/>
      <c r="AE4" s="75"/>
      <c r="AF4" s="75"/>
      <c r="AG4" s="75"/>
      <c r="AH4" s="75"/>
      <c r="AI4" s="75"/>
      <c r="AJ4" s="75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19"/>
      <c r="AX4" s="19"/>
      <c r="AY4" s="19" t="s">
        <v>261</v>
      </c>
      <c r="AZ4" s="19"/>
      <c r="BA4" s="19"/>
      <c r="BB4" s="19"/>
      <c r="BC4" s="19"/>
      <c r="BD4" s="19"/>
      <c r="BE4" s="19"/>
      <c r="BF4" s="19"/>
      <c r="BG4" s="24"/>
      <c r="BH4" s="19"/>
      <c r="BI4" s="25"/>
      <c r="BJ4" s="25"/>
      <c r="BK4" s="25"/>
      <c r="BL4" s="25"/>
      <c r="BM4" s="25"/>
      <c r="BN4" s="37"/>
      <c r="BO4" s="21"/>
      <c r="BP4" s="27"/>
      <c r="BQ4" s="27"/>
      <c r="BR4" s="27"/>
      <c r="BS4" s="27"/>
      <c r="BT4" s="28"/>
      <c r="BU4" s="28">
        <f t="shared" ref="BU4:BU67" si="3">$R4*AE4</f>
        <v>0</v>
      </c>
      <c r="BV4" s="28">
        <f t="shared" ref="BV4:BV67" si="4">$R4*AF4</f>
        <v>0</v>
      </c>
      <c r="BW4" s="28">
        <f t="shared" ref="BW4:BW67" si="5">$R4*AG4</f>
        <v>0</v>
      </c>
    </row>
    <row r="5" spans="1:75" ht="17.399999999999999" x14ac:dyDescent="0.25">
      <c r="A5" s="69">
        <f t="shared" si="0"/>
        <v>4</v>
      </c>
      <c r="B5" s="70" t="s">
        <v>1086</v>
      </c>
      <c r="C5" s="71" t="s">
        <v>235</v>
      </c>
      <c r="D5" s="71" t="s">
        <v>1086</v>
      </c>
      <c r="E5" s="71" t="s">
        <v>1070</v>
      </c>
      <c r="F5" s="71"/>
      <c r="G5" s="71" t="s">
        <v>610</v>
      </c>
      <c r="H5" s="71" t="s">
        <v>611</v>
      </c>
      <c r="I5" s="71" t="str">
        <f>VLOOKUP(H5,[1]Sheet1!$C:$C,1,0)</f>
        <v>SC69401HS-Q-HD-4XTR-69401</v>
      </c>
      <c r="J5" s="87"/>
      <c r="K5" s="87"/>
      <c r="L5" s="71"/>
      <c r="M5" s="71" t="s">
        <v>1094</v>
      </c>
      <c r="N5" s="72">
        <v>1000000</v>
      </c>
      <c r="O5" s="73" t="s">
        <v>1095</v>
      </c>
      <c r="P5" s="71"/>
      <c r="Q5" s="74">
        <v>6.9</v>
      </c>
      <c r="R5" s="100">
        <v>6.5</v>
      </c>
      <c r="S5" s="75">
        <f>R5*U5</f>
        <v>19500</v>
      </c>
      <c r="T5" s="76">
        <v>39000</v>
      </c>
      <c r="U5" s="76">
        <f t="shared" si="1"/>
        <v>3000</v>
      </c>
      <c r="V5" s="72">
        <v>0</v>
      </c>
      <c r="W5" s="72">
        <v>0</v>
      </c>
      <c r="X5" s="72">
        <v>0</v>
      </c>
      <c r="Y5" s="72">
        <v>0</v>
      </c>
      <c r="Z5" s="72">
        <v>0</v>
      </c>
      <c r="AA5" s="72">
        <v>0</v>
      </c>
      <c r="AB5" s="72">
        <v>1000</v>
      </c>
      <c r="AC5" s="72">
        <v>1000</v>
      </c>
      <c r="AD5" s="77">
        <v>1000</v>
      </c>
      <c r="AE5" s="75">
        <v>1000</v>
      </c>
      <c r="AF5" s="75">
        <v>1000</v>
      </c>
      <c r="AG5" s="75">
        <v>1000</v>
      </c>
      <c r="AH5" s="75">
        <v>1000</v>
      </c>
      <c r="AI5" s="75">
        <v>1000</v>
      </c>
      <c r="AJ5" s="75">
        <v>1000</v>
      </c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0" t="s">
        <v>203</v>
      </c>
      <c r="AX5" s="10" t="s">
        <v>85</v>
      </c>
      <c r="AY5" s="19" t="s">
        <v>371</v>
      </c>
      <c r="AZ5" s="9" t="s">
        <v>62</v>
      </c>
      <c r="BA5" s="10" t="s">
        <v>1075</v>
      </c>
      <c r="BB5" s="10" t="s">
        <v>1076</v>
      </c>
      <c r="BC5" s="10"/>
      <c r="BD5" s="10" t="s">
        <v>1096</v>
      </c>
      <c r="BE5" s="10"/>
      <c r="BF5" s="10"/>
      <c r="BG5" s="13">
        <v>1</v>
      </c>
      <c r="BH5" s="14"/>
      <c r="BI5" s="14">
        <v>45401</v>
      </c>
      <c r="BJ5" s="14">
        <v>45401</v>
      </c>
      <c r="BK5" s="14">
        <v>45523</v>
      </c>
      <c r="BL5" s="14">
        <v>45645</v>
      </c>
      <c r="BM5" s="14">
        <v>45735</v>
      </c>
      <c r="BN5" s="15" t="s">
        <v>1073</v>
      </c>
      <c r="BO5" s="16"/>
      <c r="BP5" s="16">
        <f t="shared" ref="BP5:BT9" si="6">$R5*Z5</f>
        <v>0</v>
      </c>
      <c r="BQ5" s="16">
        <f t="shared" si="6"/>
        <v>0</v>
      </c>
      <c r="BR5" s="16">
        <f t="shared" si="6"/>
        <v>6500</v>
      </c>
      <c r="BS5" s="16">
        <f t="shared" si="6"/>
        <v>6500</v>
      </c>
      <c r="BT5" s="17">
        <f t="shared" si="6"/>
        <v>6500</v>
      </c>
      <c r="BU5" s="28">
        <f t="shared" si="3"/>
        <v>6500</v>
      </c>
      <c r="BV5" s="28">
        <f t="shared" si="4"/>
        <v>6500</v>
      </c>
      <c r="BW5" s="28">
        <f t="shared" si="5"/>
        <v>6500</v>
      </c>
    </row>
    <row r="6" spans="1:75" ht="17.399999999999999" x14ac:dyDescent="0.25">
      <c r="A6" s="69">
        <f t="shared" si="0"/>
        <v>5</v>
      </c>
      <c r="B6" s="70" t="s">
        <v>1086</v>
      </c>
      <c r="C6" s="71" t="s">
        <v>235</v>
      </c>
      <c r="D6" s="71" t="s">
        <v>1086</v>
      </c>
      <c r="E6" s="71" t="s">
        <v>1070</v>
      </c>
      <c r="F6" s="71"/>
      <c r="G6" s="71" t="s">
        <v>255</v>
      </c>
      <c r="H6" s="71" t="s">
        <v>256</v>
      </c>
      <c r="I6" s="71" t="str">
        <f>VLOOKUP(H6,[1]Sheet1!$C:$C,1,0)</f>
        <v>SC69401DC-Q-HD-4XCR-69401</v>
      </c>
      <c r="J6" s="87"/>
      <c r="K6" s="87"/>
      <c r="L6" s="71"/>
      <c r="M6" s="71" t="s">
        <v>1097</v>
      </c>
      <c r="N6" s="72">
        <v>100000</v>
      </c>
      <c r="O6" s="73" t="s">
        <v>1098</v>
      </c>
      <c r="P6" s="71" t="s">
        <v>1099</v>
      </c>
      <c r="Q6" s="74"/>
      <c r="R6" s="100">
        <v>4.5</v>
      </c>
      <c r="S6" s="75">
        <f>R6*U6</f>
        <v>13500</v>
      </c>
      <c r="T6" s="76">
        <v>27000</v>
      </c>
      <c r="U6" s="76">
        <f t="shared" si="1"/>
        <v>3000</v>
      </c>
      <c r="V6" s="72">
        <v>0</v>
      </c>
      <c r="W6" s="72">
        <v>0</v>
      </c>
      <c r="X6" s="72">
        <v>0</v>
      </c>
      <c r="Y6" s="72">
        <v>0</v>
      </c>
      <c r="Z6" s="72">
        <v>0</v>
      </c>
      <c r="AA6" s="72">
        <v>0</v>
      </c>
      <c r="AB6" s="72">
        <v>1000</v>
      </c>
      <c r="AC6" s="72">
        <v>1000</v>
      </c>
      <c r="AD6" s="77">
        <v>1000</v>
      </c>
      <c r="AE6" s="75">
        <v>1000</v>
      </c>
      <c r="AF6" s="75">
        <v>1000</v>
      </c>
      <c r="AG6" s="75">
        <v>1000</v>
      </c>
      <c r="AH6" s="75">
        <v>1000</v>
      </c>
      <c r="AI6" s="75">
        <v>1000</v>
      </c>
      <c r="AJ6" s="75">
        <v>1000</v>
      </c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19" t="s">
        <v>203</v>
      </c>
      <c r="AX6" s="19" t="s">
        <v>85</v>
      </c>
      <c r="AY6" s="19" t="s">
        <v>371</v>
      </c>
      <c r="AZ6" s="18" t="s">
        <v>62</v>
      </c>
      <c r="BA6" s="19" t="s">
        <v>1100</v>
      </c>
      <c r="BB6" s="19" t="s">
        <v>79</v>
      </c>
      <c r="BC6" s="19"/>
      <c r="BD6" s="19" t="s">
        <v>1101</v>
      </c>
      <c r="BE6" s="19"/>
      <c r="BF6" s="19"/>
      <c r="BG6" s="24">
        <v>1</v>
      </c>
      <c r="BH6" s="25"/>
      <c r="BI6" s="25">
        <v>45401</v>
      </c>
      <c r="BJ6" s="25">
        <v>45401</v>
      </c>
      <c r="BK6" s="25">
        <v>45485</v>
      </c>
      <c r="BL6" s="25">
        <v>45608</v>
      </c>
      <c r="BM6" s="25">
        <v>45700</v>
      </c>
      <c r="BN6" s="26" t="s">
        <v>1073</v>
      </c>
      <c r="BO6" s="27"/>
      <c r="BP6" s="27">
        <f t="shared" si="6"/>
        <v>0</v>
      </c>
      <c r="BQ6" s="27">
        <f t="shared" si="6"/>
        <v>0</v>
      </c>
      <c r="BR6" s="27">
        <f t="shared" si="6"/>
        <v>4500</v>
      </c>
      <c r="BS6" s="27">
        <f t="shared" si="6"/>
        <v>4500</v>
      </c>
      <c r="BT6" s="28">
        <f t="shared" si="6"/>
        <v>4500</v>
      </c>
      <c r="BU6" s="28">
        <f t="shared" si="3"/>
        <v>4500</v>
      </c>
      <c r="BV6" s="28">
        <f t="shared" si="4"/>
        <v>4500</v>
      </c>
      <c r="BW6" s="28">
        <f t="shared" si="5"/>
        <v>4500</v>
      </c>
    </row>
    <row r="7" spans="1:75" ht="17.399999999999999" x14ac:dyDescent="0.25">
      <c r="A7" s="69">
        <f t="shared" si="0"/>
        <v>6</v>
      </c>
      <c r="B7" s="70" t="s">
        <v>1086</v>
      </c>
      <c r="C7" s="71" t="s">
        <v>235</v>
      </c>
      <c r="D7" s="71" t="s">
        <v>1102</v>
      </c>
      <c r="E7" s="71" t="s">
        <v>1070</v>
      </c>
      <c r="F7" s="71"/>
      <c r="G7" s="71" t="s">
        <v>591</v>
      </c>
      <c r="H7" s="71" t="s">
        <v>592</v>
      </c>
      <c r="I7" s="71" t="str">
        <f>VLOOKUP(H7,[1]Sheet1!$C:$C,1,0)</f>
        <v>SC4689SA-Q-DF-40CK-4689</v>
      </c>
      <c r="J7" s="87"/>
      <c r="K7" s="87"/>
      <c r="L7" s="71"/>
      <c r="M7" s="71" t="s">
        <v>1103</v>
      </c>
      <c r="N7" s="72">
        <v>4500000</v>
      </c>
      <c r="O7" s="73" t="s">
        <v>1104</v>
      </c>
      <c r="P7" s="71" t="s">
        <v>1105</v>
      </c>
      <c r="Q7" s="74">
        <v>3.5</v>
      </c>
      <c r="R7" s="100">
        <v>2.1</v>
      </c>
      <c r="S7" s="75">
        <f>R7*U7</f>
        <v>1260000</v>
      </c>
      <c r="T7" s="76">
        <v>2926000</v>
      </c>
      <c r="U7" s="76">
        <f t="shared" si="1"/>
        <v>600000</v>
      </c>
      <c r="V7" s="72">
        <v>100000</v>
      </c>
      <c r="W7" s="72">
        <v>100000</v>
      </c>
      <c r="X7" s="72">
        <v>100000</v>
      </c>
      <c r="Y7" s="72">
        <v>100000</v>
      </c>
      <c r="Z7" s="72">
        <v>100000</v>
      </c>
      <c r="AA7" s="72">
        <v>100000</v>
      </c>
      <c r="AB7" s="72">
        <v>150000</v>
      </c>
      <c r="AC7" s="72">
        <v>200000</v>
      </c>
      <c r="AD7" s="77">
        <v>200000</v>
      </c>
      <c r="AE7" s="75">
        <v>200000</v>
      </c>
      <c r="AF7" s="75">
        <v>200000</v>
      </c>
      <c r="AG7" s="75">
        <v>200000</v>
      </c>
      <c r="AH7" s="75">
        <v>200000</v>
      </c>
      <c r="AI7" s="75">
        <v>200000</v>
      </c>
      <c r="AJ7" s="75">
        <v>200000</v>
      </c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0" t="s">
        <v>1074</v>
      </c>
      <c r="AX7" s="10" t="s">
        <v>85</v>
      </c>
      <c r="AY7" s="19" t="s">
        <v>371</v>
      </c>
      <c r="AZ7" s="9" t="s">
        <v>62</v>
      </c>
      <c r="BA7" s="10" t="s">
        <v>1075</v>
      </c>
      <c r="BB7" s="10" t="s">
        <v>1076</v>
      </c>
      <c r="BC7" s="10"/>
      <c r="BD7" s="10"/>
      <c r="BE7" s="10"/>
      <c r="BF7" s="10"/>
      <c r="BG7" s="13">
        <v>2</v>
      </c>
      <c r="BH7" s="14"/>
      <c r="BI7" s="14">
        <v>45219</v>
      </c>
      <c r="BJ7" s="14">
        <v>45224</v>
      </c>
      <c r="BK7" s="14">
        <v>45324</v>
      </c>
      <c r="BL7" s="14">
        <v>45384</v>
      </c>
      <c r="BM7" s="14">
        <v>45414</v>
      </c>
      <c r="BN7" s="15" t="s">
        <v>1073</v>
      </c>
      <c r="BO7" s="16"/>
      <c r="BP7" s="16">
        <f t="shared" si="6"/>
        <v>210000</v>
      </c>
      <c r="BQ7" s="16">
        <f t="shared" si="6"/>
        <v>210000</v>
      </c>
      <c r="BR7" s="16">
        <f t="shared" si="6"/>
        <v>315000</v>
      </c>
      <c r="BS7" s="16">
        <f t="shared" si="6"/>
        <v>420000</v>
      </c>
      <c r="BT7" s="17">
        <f t="shared" si="6"/>
        <v>420000</v>
      </c>
      <c r="BU7" s="28">
        <f t="shared" si="3"/>
        <v>420000</v>
      </c>
      <c r="BV7" s="28">
        <f t="shared" si="4"/>
        <v>420000</v>
      </c>
      <c r="BW7" s="28">
        <f t="shared" si="5"/>
        <v>420000</v>
      </c>
    </row>
    <row r="8" spans="1:75" ht="17.399999999999999" x14ac:dyDescent="0.25">
      <c r="A8" s="69">
        <f t="shared" si="0"/>
        <v>7</v>
      </c>
      <c r="B8" s="70" t="s">
        <v>1086</v>
      </c>
      <c r="C8" s="71" t="s">
        <v>235</v>
      </c>
      <c r="D8" s="71" t="s">
        <v>1086</v>
      </c>
      <c r="E8" s="71" t="s">
        <v>1070</v>
      </c>
      <c r="F8" s="71"/>
      <c r="G8" s="71" t="s">
        <v>1106</v>
      </c>
      <c r="H8" s="71" t="s">
        <v>1107</v>
      </c>
      <c r="I8" s="71" t="str">
        <f>VLOOKUP(H8,[1]Sheet1!$C:$C,1,0)</f>
        <v>SC2455SO-Q-CK-10CR-2455</v>
      </c>
      <c r="J8" s="87"/>
      <c r="K8" s="87"/>
      <c r="L8" s="71"/>
      <c r="M8" s="71" t="s">
        <v>1108</v>
      </c>
      <c r="N8" s="72">
        <v>200000</v>
      </c>
      <c r="O8" s="73" t="s">
        <v>362</v>
      </c>
      <c r="P8" s="71" t="s">
        <v>1109</v>
      </c>
      <c r="Q8" s="74" t="s">
        <v>1073</v>
      </c>
      <c r="R8" s="100">
        <v>0.55000000000000004</v>
      </c>
      <c r="S8" s="75">
        <f>R8*U8</f>
        <v>8250</v>
      </c>
      <c r="T8" s="76">
        <v>22550.000000000004</v>
      </c>
      <c r="U8" s="76">
        <f t="shared" si="1"/>
        <v>15000</v>
      </c>
      <c r="V8" s="72">
        <v>0</v>
      </c>
      <c r="W8" s="72">
        <v>5000</v>
      </c>
      <c r="X8" s="72">
        <v>5000</v>
      </c>
      <c r="Y8" s="72">
        <v>5000</v>
      </c>
      <c r="Z8" s="72">
        <v>5000</v>
      </c>
      <c r="AA8" s="72">
        <v>5000</v>
      </c>
      <c r="AB8" s="72">
        <v>6000</v>
      </c>
      <c r="AC8" s="72">
        <v>5000</v>
      </c>
      <c r="AD8" s="77">
        <v>5000</v>
      </c>
      <c r="AE8" s="75">
        <v>5000</v>
      </c>
      <c r="AF8" s="75">
        <v>5000</v>
      </c>
      <c r="AG8" s="75">
        <v>5000</v>
      </c>
      <c r="AH8" s="75">
        <v>5000</v>
      </c>
      <c r="AI8" s="75">
        <v>5000</v>
      </c>
      <c r="AJ8" s="75">
        <v>5000</v>
      </c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19" t="s">
        <v>1074</v>
      </c>
      <c r="AX8" s="19" t="s">
        <v>85</v>
      </c>
      <c r="AY8" s="19" t="s">
        <v>261</v>
      </c>
      <c r="AZ8" s="18" t="s">
        <v>62</v>
      </c>
      <c r="BA8" s="19" t="s">
        <v>1075</v>
      </c>
      <c r="BB8" s="19" t="s">
        <v>1093</v>
      </c>
      <c r="BC8" s="19"/>
      <c r="BD8" s="19"/>
      <c r="BE8" s="19"/>
      <c r="BF8" s="19"/>
      <c r="BG8" s="24">
        <v>3</v>
      </c>
      <c r="BH8" s="25"/>
      <c r="BI8" s="25"/>
      <c r="BJ8" s="25"/>
      <c r="BK8" s="25"/>
      <c r="BL8" s="25"/>
      <c r="BM8" s="25"/>
      <c r="BN8" s="26" t="s">
        <v>1073</v>
      </c>
      <c r="BO8" s="27"/>
      <c r="BP8" s="27">
        <f t="shared" si="6"/>
        <v>2750</v>
      </c>
      <c r="BQ8" s="27">
        <f t="shared" si="6"/>
        <v>2750</v>
      </c>
      <c r="BR8" s="27">
        <f t="shared" si="6"/>
        <v>3300.0000000000005</v>
      </c>
      <c r="BS8" s="27">
        <f t="shared" si="6"/>
        <v>2750</v>
      </c>
      <c r="BT8" s="28">
        <f t="shared" si="6"/>
        <v>2750</v>
      </c>
      <c r="BU8" s="28">
        <f t="shared" si="3"/>
        <v>2750</v>
      </c>
      <c r="BV8" s="28">
        <f t="shared" si="4"/>
        <v>2750</v>
      </c>
      <c r="BW8" s="28">
        <f t="shared" si="5"/>
        <v>2750</v>
      </c>
    </row>
    <row r="9" spans="1:75" ht="17.399999999999999" x14ac:dyDescent="0.25">
      <c r="A9" s="69">
        <f t="shared" si="0"/>
        <v>8</v>
      </c>
      <c r="B9" s="70" t="s">
        <v>1086</v>
      </c>
      <c r="C9" s="71" t="s">
        <v>235</v>
      </c>
      <c r="D9" s="71" t="s">
        <v>1086</v>
      </c>
      <c r="E9" s="71" t="s">
        <v>1070</v>
      </c>
      <c r="F9" s="71"/>
      <c r="G9" s="71" t="s">
        <v>1110</v>
      </c>
      <c r="H9" s="71" t="s">
        <v>404</v>
      </c>
      <c r="I9" s="71" t="str">
        <f>VLOOKUP(H9,[1]Sheet1!$C:$C,1,0)</f>
        <v>SC2436SO-CM-10CR-2436</v>
      </c>
      <c r="J9" s="87"/>
      <c r="K9" s="87"/>
      <c r="L9" s="71"/>
      <c r="M9" s="71" t="s">
        <v>1111</v>
      </c>
      <c r="N9" s="72">
        <v>200000</v>
      </c>
      <c r="O9" s="73" t="s">
        <v>362</v>
      </c>
      <c r="P9" s="71" t="s">
        <v>1109</v>
      </c>
      <c r="Q9" s="74" t="s">
        <v>1073</v>
      </c>
      <c r="R9" s="100">
        <v>0.55000000000000004</v>
      </c>
      <c r="S9" s="75">
        <f>R9*U9</f>
        <v>0</v>
      </c>
      <c r="T9" s="76">
        <v>132000</v>
      </c>
      <c r="U9" s="76">
        <f t="shared" si="1"/>
        <v>0</v>
      </c>
      <c r="V9" s="72">
        <v>30000</v>
      </c>
      <c r="W9" s="72">
        <v>30000</v>
      </c>
      <c r="X9" s="72">
        <v>30000</v>
      </c>
      <c r="Y9" s="72">
        <v>30000</v>
      </c>
      <c r="Z9" s="72">
        <v>30000</v>
      </c>
      <c r="AA9" s="72">
        <v>30000</v>
      </c>
      <c r="AB9" s="72">
        <v>30000</v>
      </c>
      <c r="AC9" s="72">
        <v>30000</v>
      </c>
      <c r="AD9" s="77">
        <v>30000</v>
      </c>
      <c r="AE9" s="75"/>
      <c r="AF9" s="75"/>
      <c r="AG9" s="75"/>
      <c r="AH9" s="75"/>
      <c r="AI9" s="75"/>
      <c r="AJ9" s="75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0" t="s">
        <v>1074</v>
      </c>
      <c r="AX9" s="10" t="s">
        <v>85</v>
      </c>
      <c r="AY9" s="19" t="s">
        <v>261</v>
      </c>
      <c r="AZ9" s="9" t="s">
        <v>62</v>
      </c>
      <c r="BA9" s="10" t="s">
        <v>1075</v>
      </c>
      <c r="BB9" s="10" t="s">
        <v>1093</v>
      </c>
      <c r="BC9" s="10"/>
      <c r="BD9" s="10"/>
      <c r="BE9" s="10"/>
      <c r="BF9" s="10"/>
      <c r="BG9" s="13">
        <v>3</v>
      </c>
      <c r="BH9" s="14"/>
      <c r="BI9" s="14"/>
      <c r="BJ9" s="14"/>
      <c r="BK9" s="14"/>
      <c r="BL9" s="14"/>
      <c r="BM9" s="14"/>
      <c r="BN9" s="15" t="s">
        <v>1073</v>
      </c>
      <c r="BO9" s="16"/>
      <c r="BP9" s="16">
        <f t="shared" si="6"/>
        <v>16500</v>
      </c>
      <c r="BQ9" s="16">
        <f t="shared" si="6"/>
        <v>16500</v>
      </c>
      <c r="BR9" s="16">
        <f t="shared" si="6"/>
        <v>16500</v>
      </c>
      <c r="BS9" s="16">
        <f t="shared" si="6"/>
        <v>16500</v>
      </c>
      <c r="BT9" s="17">
        <f t="shared" si="6"/>
        <v>16500</v>
      </c>
      <c r="BU9" s="28">
        <f t="shared" si="3"/>
        <v>0</v>
      </c>
      <c r="BV9" s="28">
        <f t="shared" si="4"/>
        <v>0</v>
      </c>
      <c r="BW9" s="28">
        <f t="shared" si="5"/>
        <v>0</v>
      </c>
    </row>
    <row r="10" spans="1:75" ht="17.399999999999999" x14ac:dyDescent="0.25">
      <c r="A10" s="69">
        <f t="shared" si="0"/>
        <v>9</v>
      </c>
      <c r="B10" s="73" t="s">
        <v>1810</v>
      </c>
      <c r="C10" s="71" t="s">
        <v>243</v>
      </c>
      <c r="D10" s="71" t="s">
        <v>1811</v>
      </c>
      <c r="E10" s="71" t="s">
        <v>978</v>
      </c>
      <c r="F10" s="71" t="s">
        <v>978</v>
      </c>
      <c r="G10" s="71" t="s">
        <v>1924</v>
      </c>
      <c r="H10" s="71" t="s">
        <v>1925</v>
      </c>
      <c r="I10" s="71" t="str">
        <f>VLOOKUP(H10,[1]Sheet1!$C:$C,1,0)</f>
        <v>SC1002N1W-CL-00AK-N41H</v>
      </c>
      <c r="J10" s="71"/>
      <c r="K10" s="71"/>
      <c r="L10" s="73"/>
      <c r="M10" s="80"/>
      <c r="N10" s="72"/>
      <c r="O10" s="73"/>
      <c r="P10" s="71"/>
      <c r="Q10" s="71"/>
      <c r="R10" s="100">
        <v>0.18</v>
      </c>
      <c r="S10" s="75"/>
      <c r="T10" s="91"/>
      <c r="U10" s="76">
        <f t="shared" si="1"/>
        <v>500000</v>
      </c>
      <c r="V10" s="80"/>
      <c r="W10" s="80"/>
      <c r="X10" s="80"/>
      <c r="Y10" s="72"/>
      <c r="Z10" s="72"/>
      <c r="AA10" s="72"/>
      <c r="AB10" s="72"/>
      <c r="AC10" s="72"/>
      <c r="AD10" s="77"/>
      <c r="AE10" s="123">
        <v>500000</v>
      </c>
      <c r="AF10" s="75"/>
      <c r="AG10" s="75"/>
      <c r="AH10" s="75"/>
      <c r="AI10" s="75"/>
      <c r="AJ10" s="75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19"/>
      <c r="AX10" s="19"/>
      <c r="AY10" s="19" t="s">
        <v>258</v>
      </c>
      <c r="AZ10" s="19"/>
      <c r="BA10" s="19"/>
      <c r="BB10" s="19"/>
      <c r="BC10" s="19"/>
      <c r="BD10" s="19"/>
      <c r="BE10" s="19"/>
      <c r="BF10" s="19"/>
      <c r="BG10" s="24"/>
      <c r="BH10" s="19"/>
      <c r="BI10" s="25"/>
      <c r="BJ10" s="25"/>
      <c r="BK10" s="25"/>
      <c r="BL10" s="25"/>
      <c r="BM10" s="25"/>
      <c r="BN10" s="37"/>
      <c r="BO10" s="21"/>
      <c r="BP10" s="27"/>
      <c r="BQ10" s="27"/>
      <c r="BR10" s="27"/>
      <c r="BS10" s="27"/>
      <c r="BT10" s="28"/>
      <c r="BU10" s="28">
        <f t="shared" si="3"/>
        <v>90000</v>
      </c>
      <c r="BV10" s="28">
        <f t="shared" si="4"/>
        <v>0</v>
      </c>
      <c r="BW10" s="28">
        <f t="shared" si="5"/>
        <v>0</v>
      </c>
    </row>
    <row r="11" spans="1:75" ht="17.399999999999999" x14ac:dyDescent="0.25">
      <c r="A11" s="69">
        <f t="shared" si="0"/>
        <v>10</v>
      </c>
      <c r="B11" s="70" t="s">
        <v>1112</v>
      </c>
      <c r="C11" s="71" t="s">
        <v>290</v>
      </c>
      <c r="D11" s="70" t="s">
        <v>1112</v>
      </c>
      <c r="E11" s="71" t="s">
        <v>1070</v>
      </c>
      <c r="F11" s="71"/>
      <c r="G11" s="71" t="s">
        <v>610</v>
      </c>
      <c r="H11" s="71" t="s">
        <v>1115</v>
      </c>
      <c r="I11" s="71" t="str">
        <f>VLOOKUP(H11,[1]Sheet1!$C:$C,1,0)</f>
        <v>SC69401HS-Q-HD-4XTR-69401</v>
      </c>
      <c r="J11" s="87"/>
      <c r="K11" s="87"/>
      <c r="L11" s="71"/>
      <c r="M11" s="71" t="s">
        <v>1116</v>
      </c>
      <c r="N11" s="72">
        <v>1500000</v>
      </c>
      <c r="O11" s="73" t="s">
        <v>1117</v>
      </c>
      <c r="P11" s="71" t="s">
        <v>1118</v>
      </c>
      <c r="Q11" s="74">
        <v>5.0999999999999996</v>
      </c>
      <c r="R11" s="100">
        <v>4.8</v>
      </c>
      <c r="S11" s="75">
        <f t="shared" ref="S11:S38" si="7">R11*U11</f>
        <v>1008000</v>
      </c>
      <c r="T11" s="76">
        <v>1680000</v>
      </c>
      <c r="U11" s="76">
        <f t="shared" si="1"/>
        <v>210000</v>
      </c>
      <c r="V11" s="72">
        <v>0</v>
      </c>
      <c r="W11" s="72">
        <v>0</v>
      </c>
      <c r="X11" s="72">
        <v>0</v>
      </c>
      <c r="Y11" s="72">
        <v>0</v>
      </c>
      <c r="Z11" s="72">
        <v>0</v>
      </c>
      <c r="AA11" s="72">
        <v>50000</v>
      </c>
      <c r="AB11" s="72">
        <v>50000</v>
      </c>
      <c r="AC11" s="72">
        <v>50000</v>
      </c>
      <c r="AD11" s="77">
        <v>50000</v>
      </c>
      <c r="AE11" s="75">
        <v>70000</v>
      </c>
      <c r="AF11" s="75">
        <v>70000</v>
      </c>
      <c r="AG11" s="75">
        <v>70000</v>
      </c>
      <c r="AH11" s="75">
        <v>70000</v>
      </c>
      <c r="AI11" s="75">
        <v>70000</v>
      </c>
      <c r="AJ11" s="75">
        <v>70000</v>
      </c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0" t="s">
        <v>203</v>
      </c>
      <c r="AX11" s="10" t="s">
        <v>85</v>
      </c>
      <c r="AY11" s="19" t="s">
        <v>371</v>
      </c>
      <c r="AZ11" s="9" t="s">
        <v>62</v>
      </c>
      <c r="BA11" s="10" t="s">
        <v>1075</v>
      </c>
      <c r="BB11" s="10" t="s">
        <v>1076</v>
      </c>
      <c r="BC11" s="10"/>
      <c r="BD11" s="10" t="s">
        <v>1119</v>
      </c>
      <c r="BE11" s="10"/>
      <c r="BF11" s="10"/>
      <c r="BG11" s="13">
        <v>1</v>
      </c>
      <c r="BH11" s="14"/>
      <c r="BI11" s="14">
        <v>45358</v>
      </c>
      <c r="BJ11" s="14">
        <v>45358</v>
      </c>
      <c r="BK11" s="14">
        <v>45389</v>
      </c>
      <c r="BL11" s="14">
        <v>45511</v>
      </c>
      <c r="BM11" s="14">
        <v>45633</v>
      </c>
      <c r="BN11" s="15" t="s">
        <v>1073</v>
      </c>
      <c r="BO11" s="16"/>
      <c r="BP11" s="16">
        <f t="shared" ref="BP11:BT18" si="8">$R11*Z11</f>
        <v>0</v>
      </c>
      <c r="BQ11" s="16">
        <f t="shared" si="8"/>
        <v>240000</v>
      </c>
      <c r="BR11" s="16">
        <f t="shared" si="8"/>
        <v>240000</v>
      </c>
      <c r="BS11" s="16">
        <f t="shared" si="8"/>
        <v>240000</v>
      </c>
      <c r="BT11" s="17">
        <f t="shared" si="8"/>
        <v>240000</v>
      </c>
      <c r="BU11" s="28">
        <f t="shared" si="3"/>
        <v>336000</v>
      </c>
      <c r="BV11" s="28">
        <f t="shared" si="4"/>
        <v>336000</v>
      </c>
      <c r="BW11" s="28">
        <f t="shared" si="5"/>
        <v>336000</v>
      </c>
    </row>
    <row r="12" spans="1:75" ht="17.399999999999999" x14ac:dyDescent="0.25">
      <c r="A12" s="69">
        <f t="shared" si="0"/>
        <v>11</v>
      </c>
      <c r="B12" s="70" t="s">
        <v>1112</v>
      </c>
      <c r="C12" s="71" t="s">
        <v>290</v>
      </c>
      <c r="D12" s="70" t="s">
        <v>1112</v>
      </c>
      <c r="E12" s="71" t="s">
        <v>1070</v>
      </c>
      <c r="F12" s="71"/>
      <c r="G12" s="71" t="s">
        <v>255</v>
      </c>
      <c r="H12" s="71" t="s">
        <v>256</v>
      </c>
      <c r="I12" s="71" t="str">
        <f>VLOOKUP(H12,[1]Sheet1!$C:$C,1,0)</f>
        <v>SC69401DC-Q-HD-4XCR-69401</v>
      </c>
      <c r="J12" s="87"/>
      <c r="K12" s="87"/>
      <c r="L12" s="71"/>
      <c r="M12" s="71" t="s">
        <v>1120</v>
      </c>
      <c r="N12" s="72" t="s">
        <v>1121</v>
      </c>
      <c r="O12" s="73" t="s">
        <v>1122</v>
      </c>
      <c r="P12" s="71" t="s">
        <v>1118</v>
      </c>
      <c r="Q12" s="74">
        <v>3.6</v>
      </c>
      <c r="R12" s="100">
        <v>3.62</v>
      </c>
      <c r="S12" s="75">
        <f t="shared" si="7"/>
        <v>32580</v>
      </c>
      <c r="T12" s="76">
        <v>398200</v>
      </c>
      <c r="U12" s="76">
        <f t="shared" si="1"/>
        <v>9000</v>
      </c>
      <c r="V12" s="72">
        <v>0</v>
      </c>
      <c r="W12" s="72">
        <v>0</v>
      </c>
      <c r="X12" s="72">
        <v>0</v>
      </c>
      <c r="Y12" s="72">
        <v>0</v>
      </c>
      <c r="Z12" s="72">
        <v>0</v>
      </c>
      <c r="AA12" s="72">
        <v>5000</v>
      </c>
      <c r="AB12" s="72">
        <v>5000</v>
      </c>
      <c r="AC12" s="72">
        <v>20000</v>
      </c>
      <c r="AD12" s="77">
        <v>20000</v>
      </c>
      <c r="AE12" s="75">
        <v>3000</v>
      </c>
      <c r="AF12" s="75">
        <v>3000</v>
      </c>
      <c r="AG12" s="75">
        <v>3000</v>
      </c>
      <c r="AH12" s="75">
        <v>3000</v>
      </c>
      <c r="AI12" s="75">
        <v>3000</v>
      </c>
      <c r="AJ12" s="75">
        <v>3000</v>
      </c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19"/>
      <c r="AX12" s="19" t="s">
        <v>85</v>
      </c>
      <c r="AY12" s="19" t="s">
        <v>371</v>
      </c>
      <c r="AZ12" s="18"/>
      <c r="BA12" s="19"/>
      <c r="BB12" s="19"/>
      <c r="BC12" s="19"/>
      <c r="BD12" s="19" t="s">
        <v>1123</v>
      </c>
      <c r="BE12" s="19"/>
      <c r="BF12" s="19"/>
      <c r="BG12" s="24">
        <v>1</v>
      </c>
      <c r="BH12" s="25"/>
      <c r="BI12" s="25">
        <v>45555</v>
      </c>
      <c r="BJ12" s="25">
        <v>45556</v>
      </c>
      <c r="BK12" s="25">
        <v>45626</v>
      </c>
      <c r="BL12" s="25">
        <v>45745</v>
      </c>
      <c r="BM12" s="25">
        <v>45806</v>
      </c>
      <c r="BN12" s="26" t="s">
        <v>504</v>
      </c>
      <c r="BO12" s="27"/>
      <c r="BP12" s="27">
        <f t="shared" si="8"/>
        <v>0</v>
      </c>
      <c r="BQ12" s="27">
        <f t="shared" si="8"/>
        <v>18100</v>
      </c>
      <c r="BR12" s="27">
        <f t="shared" si="8"/>
        <v>18100</v>
      </c>
      <c r="BS12" s="27">
        <f t="shared" si="8"/>
        <v>72400</v>
      </c>
      <c r="BT12" s="28">
        <f t="shared" si="8"/>
        <v>72400</v>
      </c>
      <c r="BU12" s="28">
        <f t="shared" si="3"/>
        <v>10860</v>
      </c>
      <c r="BV12" s="28">
        <f t="shared" si="4"/>
        <v>10860</v>
      </c>
      <c r="BW12" s="28">
        <f t="shared" si="5"/>
        <v>10860</v>
      </c>
    </row>
    <row r="13" spans="1:75" ht="17.399999999999999" x14ac:dyDescent="0.25">
      <c r="A13" s="69">
        <f t="shared" si="0"/>
        <v>12</v>
      </c>
      <c r="B13" s="70" t="s">
        <v>1112</v>
      </c>
      <c r="C13" s="71" t="s">
        <v>290</v>
      </c>
      <c r="D13" s="70" t="s">
        <v>1112</v>
      </c>
      <c r="E13" s="71" t="s">
        <v>1070</v>
      </c>
      <c r="F13" s="71"/>
      <c r="G13" s="71" t="s">
        <v>434</v>
      </c>
      <c r="H13" s="71" t="s">
        <v>1124</v>
      </c>
      <c r="I13" s="71" t="str">
        <f>VLOOKUP(H13,[1]Sheet1!$C:$C,1,0)</f>
        <v>SC4688SA-Q-DC-40CK-888K</v>
      </c>
      <c r="J13" s="87"/>
      <c r="K13" s="87"/>
      <c r="L13" s="71"/>
      <c r="M13" s="71" t="s">
        <v>1125</v>
      </c>
      <c r="N13" s="72">
        <v>9000000</v>
      </c>
      <c r="O13" s="73" t="s">
        <v>1126</v>
      </c>
      <c r="P13" s="71" t="s">
        <v>1105</v>
      </c>
      <c r="Q13" s="74">
        <v>3</v>
      </c>
      <c r="R13" s="100">
        <v>2.2000000000000002</v>
      </c>
      <c r="S13" s="75">
        <f t="shared" si="7"/>
        <v>3960000.0000000005</v>
      </c>
      <c r="T13" s="76">
        <v>8833000</v>
      </c>
      <c r="U13" s="76">
        <f t="shared" si="1"/>
        <v>1800000</v>
      </c>
      <c r="V13" s="72">
        <v>450000</v>
      </c>
      <c r="W13" s="72">
        <v>300000</v>
      </c>
      <c r="X13" s="72">
        <v>300000</v>
      </c>
      <c r="Y13" s="72">
        <v>300000</v>
      </c>
      <c r="Z13" s="72">
        <v>300000</v>
      </c>
      <c r="AA13" s="72">
        <v>450000</v>
      </c>
      <c r="AB13" s="72">
        <v>450000</v>
      </c>
      <c r="AC13" s="72">
        <v>600000</v>
      </c>
      <c r="AD13" s="77">
        <v>600000</v>
      </c>
      <c r="AE13" s="75">
        <v>600000</v>
      </c>
      <c r="AF13" s="75">
        <v>600000</v>
      </c>
      <c r="AG13" s="75">
        <v>600000</v>
      </c>
      <c r="AH13" s="75">
        <v>600000</v>
      </c>
      <c r="AI13" s="75">
        <v>600000</v>
      </c>
      <c r="AJ13" s="75">
        <v>600000</v>
      </c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0" t="s">
        <v>1074</v>
      </c>
      <c r="AX13" s="10" t="s">
        <v>85</v>
      </c>
      <c r="AY13" s="19" t="s">
        <v>371</v>
      </c>
      <c r="AZ13" s="9" t="s">
        <v>62</v>
      </c>
      <c r="BA13" s="10" t="s">
        <v>1075</v>
      </c>
      <c r="BB13" s="10" t="s">
        <v>1076</v>
      </c>
      <c r="BC13" s="10"/>
      <c r="BD13" s="10" t="s">
        <v>1127</v>
      </c>
      <c r="BE13" s="10"/>
      <c r="BF13" s="10"/>
      <c r="BG13" s="13">
        <v>2</v>
      </c>
      <c r="BH13" s="14">
        <v>44621</v>
      </c>
      <c r="BI13" s="14">
        <v>43891</v>
      </c>
      <c r="BJ13" s="14">
        <v>43922</v>
      </c>
      <c r="BK13" s="14">
        <v>44105</v>
      </c>
      <c r="BL13" s="14">
        <v>44348</v>
      </c>
      <c r="BM13" s="14">
        <v>44593</v>
      </c>
      <c r="BN13" s="15">
        <v>0.7</v>
      </c>
      <c r="BO13" s="16"/>
      <c r="BP13" s="16">
        <f t="shared" si="8"/>
        <v>660000</v>
      </c>
      <c r="BQ13" s="16">
        <f t="shared" si="8"/>
        <v>990000.00000000012</v>
      </c>
      <c r="BR13" s="16">
        <f t="shared" si="8"/>
        <v>990000.00000000012</v>
      </c>
      <c r="BS13" s="16">
        <f t="shared" si="8"/>
        <v>1320000</v>
      </c>
      <c r="BT13" s="17">
        <f t="shared" si="8"/>
        <v>1320000</v>
      </c>
      <c r="BU13" s="28">
        <f t="shared" si="3"/>
        <v>1320000</v>
      </c>
      <c r="BV13" s="28">
        <f t="shared" si="4"/>
        <v>1320000</v>
      </c>
      <c r="BW13" s="28">
        <f t="shared" si="5"/>
        <v>1320000</v>
      </c>
    </row>
    <row r="14" spans="1:75" ht="17.399999999999999" x14ac:dyDescent="0.25">
      <c r="A14" s="69">
        <f t="shared" si="0"/>
        <v>13</v>
      </c>
      <c r="B14" s="70" t="s">
        <v>1112</v>
      </c>
      <c r="C14" s="71" t="s">
        <v>290</v>
      </c>
      <c r="D14" s="70" t="s">
        <v>1112</v>
      </c>
      <c r="E14" s="71" t="s">
        <v>1070</v>
      </c>
      <c r="F14" s="71"/>
      <c r="G14" s="71" t="s">
        <v>1128</v>
      </c>
      <c r="H14" s="71" t="s">
        <v>308</v>
      </c>
      <c r="I14" s="71" t="str">
        <f>VLOOKUP(H14,[1]Sheet1!$C:$C,1,0)</f>
        <v>SC1138SO-N-Q-CC-00LR-1138</v>
      </c>
      <c r="J14" s="87"/>
      <c r="K14" s="87" t="s">
        <v>1055</v>
      </c>
      <c r="L14" s="71"/>
      <c r="M14" s="71" t="s">
        <v>1129</v>
      </c>
      <c r="N14" s="72">
        <v>2350000</v>
      </c>
      <c r="O14" s="73" t="s">
        <v>362</v>
      </c>
      <c r="P14" s="71" t="s">
        <v>95</v>
      </c>
      <c r="Q14" s="74" t="s">
        <v>95</v>
      </c>
      <c r="R14" s="100">
        <v>0.55000000000000004</v>
      </c>
      <c r="S14" s="75">
        <f t="shared" si="7"/>
        <v>330000</v>
      </c>
      <c r="T14" s="76">
        <v>420000</v>
      </c>
      <c r="U14" s="76">
        <f t="shared" si="1"/>
        <v>600000</v>
      </c>
      <c r="V14" s="72">
        <v>180000</v>
      </c>
      <c r="W14" s="72">
        <v>0</v>
      </c>
      <c r="X14" s="72">
        <v>180000</v>
      </c>
      <c r="Y14" s="72">
        <v>180000</v>
      </c>
      <c r="Z14" s="72">
        <v>0</v>
      </c>
      <c r="AA14" s="72">
        <v>0</v>
      </c>
      <c r="AB14" s="72">
        <v>0</v>
      </c>
      <c r="AC14" s="72">
        <v>200000</v>
      </c>
      <c r="AD14" s="77">
        <v>200000</v>
      </c>
      <c r="AE14" s="75">
        <v>200000</v>
      </c>
      <c r="AF14" s="75">
        <v>200000</v>
      </c>
      <c r="AG14" s="75">
        <v>200000</v>
      </c>
      <c r="AH14" s="75">
        <v>200000</v>
      </c>
      <c r="AI14" s="75">
        <v>200000</v>
      </c>
      <c r="AJ14" s="75">
        <v>200000</v>
      </c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19" t="s">
        <v>1074</v>
      </c>
      <c r="AX14" s="19" t="s">
        <v>85</v>
      </c>
      <c r="AY14" s="19" t="s">
        <v>261</v>
      </c>
      <c r="AZ14" s="18" t="s">
        <v>62</v>
      </c>
      <c r="BA14" s="19" t="s">
        <v>1075</v>
      </c>
      <c r="BB14" s="19" t="s">
        <v>1093</v>
      </c>
      <c r="BC14" s="19"/>
      <c r="BD14" s="19" t="s">
        <v>98</v>
      </c>
      <c r="BE14" s="19"/>
      <c r="BF14" s="19"/>
      <c r="BG14" s="24">
        <v>3</v>
      </c>
      <c r="BH14" s="25">
        <v>44621</v>
      </c>
      <c r="BI14" s="25">
        <v>43891</v>
      </c>
      <c r="BJ14" s="25">
        <v>43922</v>
      </c>
      <c r="BK14" s="25">
        <v>44105</v>
      </c>
      <c r="BL14" s="25">
        <v>44348</v>
      </c>
      <c r="BM14" s="25">
        <v>44593</v>
      </c>
      <c r="BN14" s="26" t="s">
        <v>1073</v>
      </c>
      <c r="BO14" s="27"/>
      <c r="BP14" s="27">
        <f t="shared" si="8"/>
        <v>0</v>
      </c>
      <c r="BQ14" s="27">
        <f t="shared" si="8"/>
        <v>0</v>
      </c>
      <c r="BR14" s="27">
        <f t="shared" si="8"/>
        <v>0</v>
      </c>
      <c r="BS14" s="27">
        <f t="shared" si="8"/>
        <v>110000.00000000001</v>
      </c>
      <c r="BT14" s="28">
        <f t="shared" si="8"/>
        <v>110000.00000000001</v>
      </c>
      <c r="BU14" s="28">
        <f t="shared" si="3"/>
        <v>110000.00000000001</v>
      </c>
      <c r="BV14" s="28">
        <f t="shared" si="4"/>
        <v>110000.00000000001</v>
      </c>
      <c r="BW14" s="28">
        <f t="shared" si="5"/>
        <v>110000.00000000001</v>
      </c>
    </row>
    <row r="15" spans="1:75" ht="17.399999999999999" x14ac:dyDescent="0.25">
      <c r="A15" s="69">
        <f t="shared" si="0"/>
        <v>14</v>
      </c>
      <c r="B15" s="70" t="s">
        <v>1112</v>
      </c>
      <c r="C15" s="71" t="s">
        <v>290</v>
      </c>
      <c r="D15" s="70" t="s">
        <v>1112</v>
      </c>
      <c r="E15" s="71" t="s">
        <v>1070</v>
      </c>
      <c r="F15" s="71"/>
      <c r="G15" s="71" t="s">
        <v>400</v>
      </c>
      <c r="H15" s="71" t="s">
        <v>401</v>
      </c>
      <c r="I15" s="71" t="str">
        <f>VLOOKUP(H15,[1]Sheet1!$C:$C,1,0)</f>
        <v>SC1134SO-N-Q-CI-00LR-1134</v>
      </c>
      <c r="J15" s="87"/>
      <c r="K15" s="87" t="s">
        <v>1055</v>
      </c>
      <c r="L15" s="71"/>
      <c r="M15" s="71" t="s">
        <v>1129</v>
      </c>
      <c r="N15" s="72">
        <v>540000</v>
      </c>
      <c r="O15" s="73" t="s">
        <v>362</v>
      </c>
      <c r="P15" s="71" t="s">
        <v>95</v>
      </c>
      <c r="Q15" s="74" t="s">
        <v>95</v>
      </c>
      <c r="R15" s="100">
        <v>0.55000000000000004</v>
      </c>
      <c r="S15" s="75">
        <f t="shared" si="7"/>
        <v>82500</v>
      </c>
      <c r="T15" s="76">
        <v>168000</v>
      </c>
      <c r="U15" s="76">
        <f t="shared" si="1"/>
        <v>150000</v>
      </c>
      <c r="V15" s="72">
        <v>0</v>
      </c>
      <c r="W15" s="72">
        <v>0</v>
      </c>
      <c r="X15" s="72">
        <v>50000</v>
      </c>
      <c r="Y15" s="72">
        <v>50000</v>
      </c>
      <c r="Z15" s="72">
        <v>50000</v>
      </c>
      <c r="AA15" s="72">
        <v>50000</v>
      </c>
      <c r="AB15" s="72">
        <v>50000</v>
      </c>
      <c r="AC15" s="72">
        <v>50000</v>
      </c>
      <c r="AD15" s="77">
        <v>50000</v>
      </c>
      <c r="AE15" s="75">
        <v>50000</v>
      </c>
      <c r="AF15" s="75">
        <v>50000</v>
      </c>
      <c r="AG15" s="75">
        <v>50000</v>
      </c>
      <c r="AH15" s="75">
        <v>50000</v>
      </c>
      <c r="AI15" s="75">
        <v>50000</v>
      </c>
      <c r="AJ15" s="75">
        <v>50000</v>
      </c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0" t="s">
        <v>1074</v>
      </c>
      <c r="AX15" s="10" t="s">
        <v>85</v>
      </c>
      <c r="AY15" s="19" t="s">
        <v>261</v>
      </c>
      <c r="AZ15" s="9" t="s">
        <v>62</v>
      </c>
      <c r="BA15" s="10" t="s">
        <v>1075</v>
      </c>
      <c r="BB15" s="10" t="s">
        <v>1093</v>
      </c>
      <c r="BC15" s="10"/>
      <c r="BD15" s="10" t="s">
        <v>98</v>
      </c>
      <c r="BE15" s="10"/>
      <c r="BF15" s="10"/>
      <c r="BG15" s="13">
        <v>2</v>
      </c>
      <c r="BH15" s="14">
        <v>44621</v>
      </c>
      <c r="BI15" s="14">
        <v>43891</v>
      </c>
      <c r="BJ15" s="14">
        <v>43922</v>
      </c>
      <c r="BK15" s="14">
        <v>44105</v>
      </c>
      <c r="BL15" s="14">
        <v>44348</v>
      </c>
      <c r="BM15" s="14">
        <v>44593</v>
      </c>
      <c r="BN15" s="15" t="s">
        <v>1073</v>
      </c>
      <c r="BO15" s="16"/>
      <c r="BP15" s="16">
        <f t="shared" si="8"/>
        <v>27500.000000000004</v>
      </c>
      <c r="BQ15" s="16">
        <f t="shared" si="8"/>
        <v>27500.000000000004</v>
      </c>
      <c r="BR15" s="16">
        <f t="shared" si="8"/>
        <v>27500.000000000004</v>
      </c>
      <c r="BS15" s="16">
        <f t="shared" si="8"/>
        <v>27500.000000000004</v>
      </c>
      <c r="BT15" s="17">
        <f t="shared" si="8"/>
        <v>27500.000000000004</v>
      </c>
      <c r="BU15" s="28">
        <f t="shared" si="3"/>
        <v>27500.000000000004</v>
      </c>
      <c r="BV15" s="28">
        <f t="shared" si="4"/>
        <v>27500.000000000004</v>
      </c>
      <c r="BW15" s="28">
        <f t="shared" si="5"/>
        <v>27500.000000000004</v>
      </c>
    </row>
    <row r="16" spans="1:75" ht="17.399999999999999" x14ac:dyDescent="0.25">
      <c r="A16" s="69">
        <f t="shared" si="0"/>
        <v>15</v>
      </c>
      <c r="B16" s="70" t="s">
        <v>1140</v>
      </c>
      <c r="C16" s="71" t="s">
        <v>243</v>
      </c>
      <c r="D16" s="71" t="s">
        <v>1141</v>
      </c>
      <c r="E16" s="71" t="s">
        <v>1070</v>
      </c>
      <c r="F16" s="71"/>
      <c r="G16" s="71" t="s">
        <v>434</v>
      </c>
      <c r="H16" s="71" t="s">
        <v>435</v>
      </c>
      <c r="I16" s="71" t="str">
        <f>VLOOKUP(H16,[1]Sheet1!$C:$C,1,0)</f>
        <v>SC4688SA-Q-DC-40CK-4688</v>
      </c>
      <c r="J16" s="87"/>
      <c r="K16" s="87"/>
      <c r="L16" s="71"/>
      <c r="M16" s="71" t="s">
        <v>1142</v>
      </c>
      <c r="N16" s="72">
        <v>500000</v>
      </c>
      <c r="O16" s="73" t="s">
        <v>1143</v>
      </c>
      <c r="P16" s="71" t="s">
        <v>1105</v>
      </c>
      <c r="Q16" s="74">
        <v>4.2</v>
      </c>
      <c r="R16" s="100">
        <v>2.66</v>
      </c>
      <c r="S16" s="75">
        <f t="shared" si="7"/>
        <v>159600</v>
      </c>
      <c r="T16" s="76">
        <v>425600</v>
      </c>
      <c r="U16" s="76">
        <f t="shared" si="1"/>
        <v>60000</v>
      </c>
      <c r="V16" s="72">
        <v>0</v>
      </c>
      <c r="W16" s="72">
        <v>0</v>
      </c>
      <c r="X16" s="72">
        <v>0</v>
      </c>
      <c r="Y16" s="72">
        <v>20000</v>
      </c>
      <c r="Z16" s="72">
        <v>20000</v>
      </c>
      <c r="AA16" s="72">
        <v>20000</v>
      </c>
      <c r="AB16" s="72">
        <v>20000</v>
      </c>
      <c r="AC16" s="72">
        <v>20000</v>
      </c>
      <c r="AD16" s="77">
        <v>20000</v>
      </c>
      <c r="AE16" s="75">
        <v>20000</v>
      </c>
      <c r="AF16" s="75">
        <v>20000</v>
      </c>
      <c r="AG16" s="75">
        <v>20000</v>
      </c>
      <c r="AH16" s="75">
        <v>20000</v>
      </c>
      <c r="AI16" s="75">
        <v>20000</v>
      </c>
      <c r="AJ16" s="75">
        <v>20000</v>
      </c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19" t="s">
        <v>1074</v>
      </c>
      <c r="AX16" s="19" t="s">
        <v>85</v>
      </c>
      <c r="AY16" s="19" t="s">
        <v>371</v>
      </c>
      <c r="AZ16" s="18"/>
      <c r="BA16" s="19"/>
      <c r="BB16" s="19"/>
      <c r="BC16" s="19"/>
      <c r="BD16" s="19" t="s">
        <v>1144</v>
      </c>
      <c r="BE16" s="19"/>
      <c r="BF16" s="19"/>
      <c r="BG16" s="24">
        <v>2</v>
      </c>
      <c r="BH16" s="25"/>
      <c r="BI16" s="25">
        <v>44197</v>
      </c>
      <c r="BJ16" s="25">
        <v>44197</v>
      </c>
      <c r="BK16" s="25">
        <v>44348</v>
      </c>
      <c r="BL16" s="25">
        <v>44562</v>
      </c>
      <c r="BM16" s="25">
        <v>45444</v>
      </c>
      <c r="BN16" s="26" t="s">
        <v>504</v>
      </c>
      <c r="BO16" s="27"/>
      <c r="BP16" s="27">
        <f t="shared" si="8"/>
        <v>53200</v>
      </c>
      <c r="BQ16" s="27">
        <f t="shared" si="8"/>
        <v>53200</v>
      </c>
      <c r="BR16" s="27">
        <f t="shared" si="8"/>
        <v>53200</v>
      </c>
      <c r="BS16" s="27">
        <f t="shared" si="8"/>
        <v>53200</v>
      </c>
      <c r="BT16" s="28">
        <f t="shared" si="8"/>
        <v>53200</v>
      </c>
      <c r="BU16" s="28">
        <f t="shared" si="3"/>
        <v>53200</v>
      </c>
      <c r="BV16" s="28">
        <f t="shared" si="4"/>
        <v>53200</v>
      </c>
      <c r="BW16" s="28">
        <f t="shared" si="5"/>
        <v>53200</v>
      </c>
    </row>
    <row r="17" spans="1:75" ht="17.399999999999999" x14ac:dyDescent="0.25">
      <c r="A17" s="69">
        <f t="shared" si="0"/>
        <v>16</v>
      </c>
      <c r="B17" s="70" t="s">
        <v>1151</v>
      </c>
      <c r="C17" s="71" t="s">
        <v>235</v>
      </c>
      <c r="D17" s="71" t="s">
        <v>1151</v>
      </c>
      <c r="E17" s="71" t="s">
        <v>1070</v>
      </c>
      <c r="F17" s="71"/>
      <c r="G17" s="71" t="s">
        <v>574</v>
      </c>
      <c r="H17" s="71" t="s">
        <v>575</v>
      </c>
      <c r="I17" s="71" t="str">
        <f>VLOOKUP(H17,[1]Sheet1!$C:$C,1,0)</f>
        <v>SC2443UA-Q-DB-60AK-2443</v>
      </c>
      <c r="J17" s="87"/>
      <c r="K17" s="87"/>
      <c r="L17" s="71"/>
      <c r="M17" s="71" t="s">
        <v>1152</v>
      </c>
      <c r="N17" s="72">
        <v>8000000</v>
      </c>
      <c r="O17" s="73" t="s">
        <v>1153</v>
      </c>
      <c r="P17" s="71" t="s">
        <v>1154</v>
      </c>
      <c r="Q17" s="74" t="s">
        <v>504</v>
      </c>
      <c r="R17" s="100">
        <v>0.65</v>
      </c>
      <c r="S17" s="75">
        <f t="shared" si="7"/>
        <v>1560000</v>
      </c>
      <c r="T17" s="76">
        <v>4160000</v>
      </c>
      <c r="U17" s="76">
        <f t="shared" si="1"/>
        <v>2400000</v>
      </c>
      <c r="V17" s="72">
        <v>288187</v>
      </c>
      <c r="W17" s="72">
        <v>212300</v>
      </c>
      <c r="X17" s="72">
        <v>536969</v>
      </c>
      <c r="Y17" s="72">
        <v>529507</v>
      </c>
      <c r="Z17" s="72">
        <v>800000</v>
      </c>
      <c r="AA17" s="72">
        <v>800000</v>
      </c>
      <c r="AB17" s="72">
        <v>903893</v>
      </c>
      <c r="AC17" s="72">
        <v>800000</v>
      </c>
      <c r="AD17" s="77">
        <v>800000</v>
      </c>
      <c r="AE17" s="75">
        <v>800000</v>
      </c>
      <c r="AF17" s="75">
        <v>800000</v>
      </c>
      <c r="AG17" s="75">
        <v>800000</v>
      </c>
      <c r="AH17" s="75">
        <v>800000</v>
      </c>
      <c r="AI17" s="75">
        <v>800000</v>
      </c>
      <c r="AJ17" s="75">
        <v>800000</v>
      </c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19" t="s">
        <v>1074</v>
      </c>
      <c r="AX17" s="19" t="s">
        <v>85</v>
      </c>
      <c r="AY17" s="19" t="s">
        <v>261</v>
      </c>
      <c r="AZ17" s="18" t="s">
        <v>62</v>
      </c>
      <c r="BA17" s="19" t="s">
        <v>204</v>
      </c>
      <c r="BB17" s="19" t="s">
        <v>1155</v>
      </c>
      <c r="BC17" s="19"/>
      <c r="BD17" s="19"/>
      <c r="BE17" s="19"/>
      <c r="BF17" s="19"/>
      <c r="BG17" s="24">
        <v>2</v>
      </c>
      <c r="BH17" s="25"/>
      <c r="BI17" s="25">
        <v>44621</v>
      </c>
      <c r="BJ17" s="25">
        <v>44630</v>
      </c>
      <c r="BK17" s="25">
        <v>44691</v>
      </c>
      <c r="BL17" s="25">
        <v>44844</v>
      </c>
      <c r="BM17" s="25">
        <v>44896</v>
      </c>
      <c r="BN17" s="26" t="s">
        <v>1073</v>
      </c>
      <c r="BO17" s="27"/>
      <c r="BP17" s="27">
        <f t="shared" si="8"/>
        <v>520000</v>
      </c>
      <c r="BQ17" s="27">
        <f t="shared" si="8"/>
        <v>520000</v>
      </c>
      <c r="BR17" s="27">
        <f t="shared" si="8"/>
        <v>587530.45000000007</v>
      </c>
      <c r="BS17" s="27">
        <f t="shared" si="8"/>
        <v>520000</v>
      </c>
      <c r="BT17" s="28">
        <f t="shared" si="8"/>
        <v>520000</v>
      </c>
      <c r="BU17" s="28">
        <f t="shared" si="3"/>
        <v>520000</v>
      </c>
      <c r="BV17" s="28">
        <f t="shared" si="4"/>
        <v>520000</v>
      </c>
      <c r="BW17" s="28">
        <f t="shared" si="5"/>
        <v>520000</v>
      </c>
    </row>
    <row r="18" spans="1:75" ht="17.399999999999999" x14ac:dyDescent="0.25">
      <c r="A18" s="69">
        <f t="shared" si="0"/>
        <v>17</v>
      </c>
      <c r="B18" s="70" t="s">
        <v>1151</v>
      </c>
      <c r="C18" s="71" t="s">
        <v>235</v>
      </c>
      <c r="D18" s="71" t="s">
        <v>1151</v>
      </c>
      <c r="E18" s="71" t="s">
        <v>1070</v>
      </c>
      <c r="F18" s="71"/>
      <c r="G18" s="71" t="s">
        <v>337</v>
      </c>
      <c r="H18" s="71" t="s">
        <v>338</v>
      </c>
      <c r="I18" s="71" t="str">
        <f>VLOOKUP(H18,[1]Sheet1!$C:$C,1,0)</f>
        <v>SC2443SO-Q-DB-60CR-2443</v>
      </c>
      <c r="J18" s="87"/>
      <c r="K18" s="87"/>
      <c r="L18" s="71"/>
      <c r="M18" s="71" t="s">
        <v>1152</v>
      </c>
      <c r="N18" s="72">
        <v>300000</v>
      </c>
      <c r="O18" s="73" t="s">
        <v>1156</v>
      </c>
      <c r="P18" s="71" t="s">
        <v>1157</v>
      </c>
      <c r="Q18" s="74" t="s">
        <v>1073</v>
      </c>
      <c r="R18" s="100">
        <v>0.65</v>
      </c>
      <c r="S18" s="75">
        <f t="shared" si="7"/>
        <v>910000</v>
      </c>
      <c r="T18" s="76">
        <v>208000</v>
      </c>
      <c r="U18" s="76">
        <f t="shared" si="1"/>
        <v>1400000</v>
      </c>
      <c r="V18" s="72">
        <v>33340</v>
      </c>
      <c r="W18" s="72">
        <v>15245</v>
      </c>
      <c r="X18" s="72">
        <v>23069</v>
      </c>
      <c r="Y18" s="72">
        <v>31033</v>
      </c>
      <c r="Z18" s="72">
        <v>40000</v>
      </c>
      <c r="AA18" s="72">
        <v>40000</v>
      </c>
      <c r="AB18" s="72">
        <v>40000</v>
      </c>
      <c r="AC18" s="72">
        <v>40000</v>
      </c>
      <c r="AD18" s="77">
        <v>40000</v>
      </c>
      <c r="AE18" s="75">
        <v>400000</v>
      </c>
      <c r="AF18" s="75">
        <v>500000</v>
      </c>
      <c r="AG18" s="75">
        <v>500000</v>
      </c>
      <c r="AH18" s="75">
        <v>500000</v>
      </c>
      <c r="AI18" s="75">
        <v>500000</v>
      </c>
      <c r="AJ18" s="75">
        <v>500000</v>
      </c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0" t="s">
        <v>1074</v>
      </c>
      <c r="AX18" s="10" t="s">
        <v>85</v>
      </c>
      <c r="AY18" s="19" t="s">
        <v>261</v>
      </c>
      <c r="AZ18" s="9" t="s">
        <v>62</v>
      </c>
      <c r="BA18" s="10" t="s">
        <v>204</v>
      </c>
      <c r="BB18" s="10" t="s">
        <v>1155</v>
      </c>
      <c r="BC18" s="10"/>
      <c r="BD18" s="10"/>
      <c r="BE18" s="10"/>
      <c r="BF18" s="10"/>
      <c r="BG18" s="13">
        <v>2</v>
      </c>
      <c r="BH18" s="14"/>
      <c r="BI18" s="14">
        <v>44621</v>
      </c>
      <c r="BJ18" s="14">
        <v>44630</v>
      </c>
      <c r="BK18" s="14">
        <v>44691</v>
      </c>
      <c r="BL18" s="14">
        <v>44844</v>
      </c>
      <c r="BM18" s="14">
        <v>44896</v>
      </c>
      <c r="BN18" s="15" t="s">
        <v>1073</v>
      </c>
      <c r="BO18" s="16"/>
      <c r="BP18" s="16">
        <f t="shared" si="8"/>
        <v>26000</v>
      </c>
      <c r="BQ18" s="16">
        <f t="shared" si="8"/>
        <v>26000</v>
      </c>
      <c r="BR18" s="16">
        <f t="shared" si="8"/>
        <v>26000</v>
      </c>
      <c r="BS18" s="16">
        <f t="shared" si="8"/>
        <v>26000</v>
      </c>
      <c r="BT18" s="17">
        <f t="shared" si="8"/>
        <v>26000</v>
      </c>
      <c r="BU18" s="28">
        <f t="shared" si="3"/>
        <v>260000</v>
      </c>
      <c r="BV18" s="28">
        <f t="shared" si="4"/>
        <v>325000</v>
      </c>
      <c r="BW18" s="28">
        <f t="shared" si="5"/>
        <v>325000</v>
      </c>
    </row>
    <row r="19" spans="1:75" ht="17.399999999999999" x14ac:dyDescent="0.25">
      <c r="A19" s="69">
        <f t="shared" si="0"/>
        <v>18</v>
      </c>
      <c r="B19" s="71" t="s">
        <v>1797</v>
      </c>
      <c r="C19" s="71" t="s">
        <v>243</v>
      </c>
      <c r="D19" s="73" t="s">
        <v>549</v>
      </c>
      <c r="E19" s="71" t="s">
        <v>1070</v>
      </c>
      <c r="F19" s="71"/>
      <c r="G19" s="71" t="s">
        <v>1998</v>
      </c>
      <c r="H19" s="71" t="s">
        <v>1999</v>
      </c>
      <c r="I19" s="71" t="str">
        <f>VLOOKUP(H19,[1]Sheet1!$C:$C,1,0)</f>
        <v>SC4643SA-Q-DE-40CK-4643</v>
      </c>
      <c r="J19" s="71"/>
      <c r="K19" s="71"/>
      <c r="L19" s="73"/>
      <c r="M19" s="80"/>
      <c r="N19" s="72"/>
      <c r="O19" s="73"/>
      <c r="P19" s="71"/>
      <c r="Q19" s="71"/>
      <c r="R19" s="100">
        <v>1.9</v>
      </c>
      <c r="S19" s="75">
        <f t="shared" si="7"/>
        <v>171000</v>
      </c>
      <c r="T19" s="91"/>
      <c r="U19" s="76">
        <f t="shared" si="1"/>
        <v>90000</v>
      </c>
      <c r="V19" s="80"/>
      <c r="W19" s="80"/>
      <c r="X19" s="80"/>
      <c r="Y19" s="72"/>
      <c r="Z19" s="72"/>
      <c r="AA19" s="72"/>
      <c r="AB19" s="72"/>
      <c r="AC19" s="72">
        <v>100000</v>
      </c>
      <c r="AD19" s="77">
        <v>100000</v>
      </c>
      <c r="AE19" s="75">
        <v>30000</v>
      </c>
      <c r="AF19" s="75">
        <v>30000</v>
      </c>
      <c r="AG19" s="75">
        <v>30000</v>
      </c>
      <c r="AH19" s="75">
        <v>30000</v>
      </c>
      <c r="AI19" s="75">
        <v>30000</v>
      </c>
      <c r="AJ19" s="75">
        <v>30000</v>
      </c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10"/>
      <c r="AX19" s="10" t="s">
        <v>494</v>
      </c>
      <c r="AY19" s="19" t="s">
        <v>247</v>
      </c>
      <c r="AZ19" s="10"/>
      <c r="BA19" s="10"/>
      <c r="BB19" s="10"/>
      <c r="BC19" s="10"/>
      <c r="BD19" s="10"/>
      <c r="BE19" s="10"/>
      <c r="BF19" s="10"/>
      <c r="BG19" s="13"/>
      <c r="BH19" s="10"/>
      <c r="BI19" s="14"/>
      <c r="BJ19" s="14"/>
      <c r="BK19" s="14"/>
      <c r="BL19" s="14"/>
      <c r="BM19" s="14"/>
      <c r="BN19" s="35"/>
      <c r="BO19" s="11"/>
      <c r="BP19" s="16"/>
      <c r="BQ19" s="16"/>
      <c r="BR19" s="16"/>
      <c r="BS19" s="16">
        <f t="shared" ref="BS19:BS42" si="9">$R19*AC19</f>
        <v>190000</v>
      </c>
      <c r="BT19" s="17">
        <f t="shared" ref="BT19:BT42" si="10">$R19*AD19</f>
        <v>190000</v>
      </c>
      <c r="BU19" s="28">
        <f t="shared" si="3"/>
        <v>57000</v>
      </c>
      <c r="BV19" s="28">
        <f t="shared" si="4"/>
        <v>57000</v>
      </c>
      <c r="BW19" s="28">
        <f t="shared" si="5"/>
        <v>57000</v>
      </c>
    </row>
    <row r="20" spans="1:75" ht="17.399999999999999" x14ac:dyDescent="0.25">
      <c r="A20" s="69">
        <f t="shared" si="0"/>
        <v>19</v>
      </c>
      <c r="B20" s="71" t="s">
        <v>1797</v>
      </c>
      <c r="C20" s="71" t="s">
        <v>243</v>
      </c>
      <c r="D20" s="73" t="s">
        <v>549</v>
      </c>
      <c r="E20" s="71" t="s">
        <v>1070</v>
      </c>
      <c r="F20" s="71"/>
      <c r="G20" s="71" t="s">
        <v>242</v>
      </c>
      <c r="H20" s="71" t="s">
        <v>370</v>
      </c>
      <c r="I20" s="71" t="str">
        <f>VLOOKUP(H20,[1]Sheet1!$C:$C,1,0)</f>
        <v>SC4688DC-Q-DC-40CR-4688</v>
      </c>
      <c r="J20" s="71"/>
      <c r="K20" s="71"/>
      <c r="L20" s="73"/>
      <c r="M20" s="80"/>
      <c r="N20" s="72"/>
      <c r="O20" s="73"/>
      <c r="P20" s="71"/>
      <c r="Q20" s="71"/>
      <c r="R20" s="100">
        <v>2.4</v>
      </c>
      <c r="S20" s="75">
        <f t="shared" si="7"/>
        <v>216000</v>
      </c>
      <c r="T20" s="91"/>
      <c r="U20" s="76">
        <f t="shared" si="1"/>
        <v>90000</v>
      </c>
      <c r="V20" s="80"/>
      <c r="W20" s="80"/>
      <c r="X20" s="80"/>
      <c r="Y20" s="72"/>
      <c r="Z20" s="72"/>
      <c r="AA20" s="72"/>
      <c r="AB20" s="72"/>
      <c r="AC20" s="72">
        <v>100000</v>
      </c>
      <c r="AD20" s="77">
        <v>100000</v>
      </c>
      <c r="AE20" s="75">
        <v>30000</v>
      </c>
      <c r="AF20" s="75">
        <v>30000</v>
      </c>
      <c r="AG20" s="75">
        <v>30000</v>
      </c>
      <c r="AH20" s="75">
        <v>30000</v>
      </c>
      <c r="AI20" s="75">
        <v>30000</v>
      </c>
      <c r="AJ20" s="75">
        <v>30000</v>
      </c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10"/>
      <c r="AX20" s="10" t="s">
        <v>494</v>
      </c>
      <c r="AY20" s="19" t="s">
        <v>371</v>
      </c>
      <c r="AZ20" s="10"/>
      <c r="BA20" s="10"/>
      <c r="BB20" s="10"/>
      <c r="BC20" s="10"/>
      <c r="BD20" s="10"/>
      <c r="BE20" s="10"/>
      <c r="BF20" s="10"/>
      <c r="BG20" s="13"/>
      <c r="BH20" s="10"/>
      <c r="BI20" s="14"/>
      <c r="BJ20" s="14"/>
      <c r="BK20" s="14"/>
      <c r="BL20" s="14"/>
      <c r="BM20" s="14"/>
      <c r="BN20" s="35"/>
      <c r="BO20" s="11"/>
      <c r="BP20" s="16"/>
      <c r="BQ20" s="16"/>
      <c r="BR20" s="16"/>
      <c r="BS20" s="16">
        <f t="shared" si="9"/>
        <v>240000</v>
      </c>
      <c r="BT20" s="17">
        <f t="shared" si="10"/>
        <v>240000</v>
      </c>
      <c r="BU20" s="28">
        <f t="shared" si="3"/>
        <v>72000</v>
      </c>
      <c r="BV20" s="28">
        <f t="shared" si="4"/>
        <v>72000</v>
      </c>
      <c r="BW20" s="28">
        <f t="shared" si="5"/>
        <v>72000</v>
      </c>
    </row>
    <row r="21" spans="1:75" ht="17.399999999999999" x14ac:dyDescent="0.25">
      <c r="A21" s="69">
        <f t="shared" si="0"/>
        <v>20</v>
      </c>
      <c r="B21" s="73" t="s">
        <v>1798</v>
      </c>
      <c r="C21" s="71" t="s">
        <v>243</v>
      </c>
      <c r="D21" s="71" t="s">
        <v>549</v>
      </c>
      <c r="E21" s="71" t="s">
        <v>1070</v>
      </c>
      <c r="F21" s="71"/>
      <c r="G21" s="71" t="s">
        <v>1879</v>
      </c>
      <c r="H21" s="71" t="s">
        <v>1115</v>
      </c>
      <c r="I21" s="71" t="str">
        <f>VLOOKUP(H21,[1]Sheet1!$C:$C,1,0)</f>
        <v>SC69401HS-Q-HD-4XTR-69401</v>
      </c>
      <c r="J21" s="71"/>
      <c r="K21" s="71"/>
      <c r="L21" s="73"/>
      <c r="M21" s="80"/>
      <c r="N21" s="72"/>
      <c r="O21" s="73"/>
      <c r="P21" s="71"/>
      <c r="Q21" s="71"/>
      <c r="R21" s="100">
        <v>2.4</v>
      </c>
      <c r="S21" s="75">
        <f t="shared" si="7"/>
        <v>43200</v>
      </c>
      <c r="T21" s="91"/>
      <c r="U21" s="76">
        <f t="shared" si="1"/>
        <v>18000</v>
      </c>
      <c r="V21" s="80"/>
      <c r="W21" s="80"/>
      <c r="X21" s="80"/>
      <c r="Y21" s="72"/>
      <c r="Z21" s="72"/>
      <c r="AA21" s="72"/>
      <c r="AB21" s="72"/>
      <c r="AC21" s="72">
        <v>60000</v>
      </c>
      <c r="AD21" s="77">
        <v>60000</v>
      </c>
      <c r="AE21" s="75">
        <v>6000</v>
      </c>
      <c r="AF21" s="75">
        <v>6000</v>
      </c>
      <c r="AG21" s="75">
        <v>6000</v>
      </c>
      <c r="AH21" s="75">
        <v>6000</v>
      </c>
      <c r="AI21" s="75">
        <v>6000</v>
      </c>
      <c r="AJ21" s="75">
        <v>6000</v>
      </c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19"/>
      <c r="AX21" s="19" t="s">
        <v>494</v>
      </c>
      <c r="AY21" s="19" t="s">
        <v>371</v>
      </c>
      <c r="AZ21" s="19"/>
      <c r="BA21" s="19"/>
      <c r="BB21" s="19"/>
      <c r="BC21" s="19"/>
      <c r="BD21" s="19"/>
      <c r="BE21" s="19"/>
      <c r="BF21" s="19"/>
      <c r="BG21" s="24"/>
      <c r="BH21" s="19"/>
      <c r="BI21" s="25"/>
      <c r="BJ21" s="25"/>
      <c r="BK21" s="25"/>
      <c r="BL21" s="25"/>
      <c r="BM21" s="25"/>
      <c r="BN21" s="37"/>
      <c r="BO21" s="21"/>
      <c r="BP21" s="27"/>
      <c r="BQ21" s="27"/>
      <c r="BR21" s="27"/>
      <c r="BS21" s="27">
        <f t="shared" si="9"/>
        <v>144000</v>
      </c>
      <c r="BT21" s="28">
        <f t="shared" si="10"/>
        <v>144000</v>
      </c>
      <c r="BU21" s="28">
        <f t="shared" si="3"/>
        <v>14400</v>
      </c>
      <c r="BV21" s="28">
        <f t="shared" si="4"/>
        <v>14400</v>
      </c>
      <c r="BW21" s="28">
        <f t="shared" si="5"/>
        <v>14400</v>
      </c>
    </row>
    <row r="22" spans="1:75" ht="17.399999999999999" x14ac:dyDescent="0.25">
      <c r="A22" s="69">
        <f t="shared" si="0"/>
        <v>21</v>
      </c>
      <c r="B22" s="73" t="s">
        <v>1798</v>
      </c>
      <c r="C22" s="71" t="s">
        <v>243</v>
      </c>
      <c r="D22" s="71" t="s">
        <v>549</v>
      </c>
      <c r="E22" s="71" t="s">
        <v>1070</v>
      </c>
      <c r="F22" s="71"/>
      <c r="G22" s="71" t="s">
        <v>434</v>
      </c>
      <c r="H22" s="71" t="s">
        <v>1774</v>
      </c>
      <c r="I22" s="71" t="str">
        <f>VLOOKUP(H22,[1]Sheet1!$C:$C,1,0)</f>
        <v>SC4688SA-Q-DC-40CK-4688</v>
      </c>
      <c r="J22" s="71"/>
      <c r="K22" s="71"/>
      <c r="L22" s="73"/>
      <c r="M22" s="80"/>
      <c r="N22" s="72"/>
      <c r="O22" s="73"/>
      <c r="P22" s="71"/>
      <c r="Q22" s="71"/>
      <c r="R22" s="100">
        <v>2.4</v>
      </c>
      <c r="S22" s="75">
        <f t="shared" si="7"/>
        <v>1224000</v>
      </c>
      <c r="T22" s="91"/>
      <c r="U22" s="76">
        <f t="shared" si="1"/>
        <v>510000</v>
      </c>
      <c r="V22" s="80"/>
      <c r="W22" s="80"/>
      <c r="X22" s="80"/>
      <c r="Y22" s="72"/>
      <c r="Z22" s="72"/>
      <c r="AA22" s="72"/>
      <c r="AB22" s="72"/>
      <c r="AC22" s="72">
        <v>60000</v>
      </c>
      <c r="AD22" s="77">
        <v>60000</v>
      </c>
      <c r="AE22" s="75">
        <v>170000</v>
      </c>
      <c r="AF22" s="75">
        <v>170000</v>
      </c>
      <c r="AG22" s="75">
        <v>170000</v>
      </c>
      <c r="AH22" s="75">
        <v>170000</v>
      </c>
      <c r="AI22" s="75">
        <v>170000</v>
      </c>
      <c r="AJ22" s="75">
        <v>170000</v>
      </c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19"/>
      <c r="AX22" s="19" t="s">
        <v>494</v>
      </c>
      <c r="AY22" s="19" t="s">
        <v>371</v>
      </c>
      <c r="AZ22" s="19"/>
      <c r="BA22" s="19"/>
      <c r="BB22" s="19"/>
      <c r="BC22" s="19"/>
      <c r="BD22" s="19"/>
      <c r="BE22" s="19"/>
      <c r="BF22" s="19"/>
      <c r="BG22" s="24"/>
      <c r="BH22" s="19"/>
      <c r="BI22" s="25"/>
      <c r="BJ22" s="25"/>
      <c r="BK22" s="25"/>
      <c r="BL22" s="25"/>
      <c r="BM22" s="25"/>
      <c r="BN22" s="37"/>
      <c r="BO22" s="21"/>
      <c r="BP22" s="27"/>
      <c r="BQ22" s="27"/>
      <c r="BR22" s="27"/>
      <c r="BS22" s="27">
        <f t="shared" si="9"/>
        <v>144000</v>
      </c>
      <c r="BT22" s="28">
        <f t="shared" si="10"/>
        <v>144000</v>
      </c>
      <c r="BU22" s="28">
        <f t="shared" si="3"/>
        <v>408000</v>
      </c>
      <c r="BV22" s="28">
        <f t="shared" si="4"/>
        <v>408000</v>
      </c>
      <c r="BW22" s="28">
        <f t="shared" si="5"/>
        <v>408000</v>
      </c>
    </row>
    <row r="23" spans="1:75" ht="17.399999999999999" x14ac:dyDescent="0.25">
      <c r="A23" s="69">
        <f t="shared" si="0"/>
        <v>22</v>
      </c>
      <c r="B23" s="73" t="s">
        <v>1799</v>
      </c>
      <c r="C23" s="71" t="s">
        <v>243</v>
      </c>
      <c r="D23" s="71" t="s">
        <v>549</v>
      </c>
      <c r="E23" s="71" t="s">
        <v>1070</v>
      </c>
      <c r="F23" s="71"/>
      <c r="G23" s="71" t="s">
        <v>434</v>
      </c>
      <c r="H23" s="71" t="s">
        <v>1774</v>
      </c>
      <c r="I23" s="71" t="str">
        <f>VLOOKUP(H23,[1]Sheet1!$C:$C,1,0)</f>
        <v>SC4688SA-Q-DC-40CK-4688</v>
      </c>
      <c r="J23" s="71"/>
      <c r="K23" s="71"/>
      <c r="L23" s="73"/>
      <c r="M23" s="80"/>
      <c r="N23" s="72"/>
      <c r="O23" s="73"/>
      <c r="P23" s="71"/>
      <c r="Q23" s="71"/>
      <c r="R23" s="100">
        <v>2.4</v>
      </c>
      <c r="S23" s="75">
        <f t="shared" si="7"/>
        <v>432000</v>
      </c>
      <c r="T23" s="91"/>
      <c r="U23" s="76">
        <f t="shared" si="1"/>
        <v>180000</v>
      </c>
      <c r="V23" s="80"/>
      <c r="W23" s="80"/>
      <c r="X23" s="80"/>
      <c r="Y23" s="72"/>
      <c r="Z23" s="72"/>
      <c r="AA23" s="72"/>
      <c r="AB23" s="72"/>
      <c r="AC23" s="72">
        <v>60000</v>
      </c>
      <c r="AD23" s="77">
        <v>60000</v>
      </c>
      <c r="AE23" s="75">
        <v>60000</v>
      </c>
      <c r="AF23" s="75">
        <v>60000</v>
      </c>
      <c r="AG23" s="75">
        <v>60000</v>
      </c>
      <c r="AH23" s="75">
        <v>60000</v>
      </c>
      <c r="AI23" s="75">
        <v>60000</v>
      </c>
      <c r="AJ23" s="75">
        <v>60000</v>
      </c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10"/>
      <c r="AX23" s="10" t="s">
        <v>494</v>
      </c>
      <c r="AY23" s="19" t="s">
        <v>371</v>
      </c>
      <c r="AZ23" s="10"/>
      <c r="BA23" s="10"/>
      <c r="BB23" s="10"/>
      <c r="BC23" s="10"/>
      <c r="BD23" s="10"/>
      <c r="BE23" s="10"/>
      <c r="BF23" s="10"/>
      <c r="BG23" s="13"/>
      <c r="BH23" s="10"/>
      <c r="BI23" s="14"/>
      <c r="BJ23" s="14"/>
      <c r="BK23" s="14"/>
      <c r="BL23" s="14"/>
      <c r="BM23" s="14"/>
      <c r="BN23" s="35"/>
      <c r="BO23" s="11"/>
      <c r="BP23" s="16"/>
      <c r="BQ23" s="16"/>
      <c r="BR23" s="16"/>
      <c r="BS23" s="16">
        <f t="shared" si="9"/>
        <v>144000</v>
      </c>
      <c r="BT23" s="17">
        <f t="shared" si="10"/>
        <v>144000</v>
      </c>
      <c r="BU23" s="28">
        <f t="shared" si="3"/>
        <v>144000</v>
      </c>
      <c r="BV23" s="28">
        <f t="shared" si="4"/>
        <v>144000</v>
      </c>
      <c r="BW23" s="28">
        <f t="shared" si="5"/>
        <v>144000</v>
      </c>
    </row>
    <row r="24" spans="1:75" ht="17.399999999999999" x14ac:dyDescent="0.25">
      <c r="A24" s="69">
        <f t="shared" si="0"/>
        <v>23</v>
      </c>
      <c r="B24" s="73" t="s">
        <v>1800</v>
      </c>
      <c r="C24" s="71" t="s">
        <v>243</v>
      </c>
      <c r="D24" s="71" t="s">
        <v>549</v>
      </c>
      <c r="E24" s="71" t="s">
        <v>1070</v>
      </c>
      <c r="F24" s="71"/>
      <c r="G24" s="71" t="s">
        <v>434</v>
      </c>
      <c r="H24" s="71" t="s">
        <v>1774</v>
      </c>
      <c r="I24" s="71" t="str">
        <f>VLOOKUP(H24,[1]Sheet1!$C:$C,1,0)</f>
        <v>SC4688SA-Q-DC-40CK-4688</v>
      </c>
      <c r="J24" s="71"/>
      <c r="K24" s="71"/>
      <c r="L24" s="73"/>
      <c r="M24" s="80"/>
      <c r="N24" s="72"/>
      <c r="O24" s="73"/>
      <c r="P24" s="71"/>
      <c r="Q24" s="71"/>
      <c r="R24" s="100">
        <v>2.4</v>
      </c>
      <c r="S24" s="75">
        <f t="shared" si="7"/>
        <v>720000</v>
      </c>
      <c r="T24" s="91"/>
      <c r="U24" s="76">
        <f t="shared" si="1"/>
        <v>300000</v>
      </c>
      <c r="V24" s="80"/>
      <c r="W24" s="80"/>
      <c r="X24" s="80"/>
      <c r="Y24" s="72"/>
      <c r="Z24" s="72"/>
      <c r="AA24" s="72"/>
      <c r="AB24" s="72"/>
      <c r="AC24" s="72">
        <v>100000</v>
      </c>
      <c r="AD24" s="77">
        <v>100000</v>
      </c>
      <c r="AE24" s="75">
        <v>100000</v>
      </c>
      <c r="AF24" s="75">
        <v>100000</v>
      </c>
      <c r="AG24" s="75">
        <v>100000</v>
      </c>
      <c r="AH24" s="75">
        <v>100000</v>
      </c>
      <c r="AI24" s="75">
        <v>100000</v>
      </c>
      <c r="AJ24" s="75">
        <v>100000</v>
      </c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19"/>
      <c r="AX24" s="19" t="s">
        <v>494</v>
      </c>
      <c r="AY24" s="19" t="s">
        <v>371</v>
      </c>
      <c r="AZ24" s="19"/>
      <c r="BA24" s="19"/>
      <c r="BB24" s="19"/>
      <c r="BC24" s="19"/>
      <c r="BD24" s="19"/>
      <c r="BE24" s="19"/>
      <c r="BF24" s="19"/>
      <c r="BG24" s="24"/>
      <c r="BH24" s="19"/>
      <c r="BI24" s="25"/>
      <c r="BJ24" s="25"/>
      <c r="BK24" s="25"/>
      <c r="BL24" s="25"/>
      <c r="BM24" s="25"/>
      <c r="BN24" s="37"/>
      <c r="BO24" s="21"/>
      <c r="BP24" s="27"/>
      <c r="BQ24" s="27"/>
      <c r="BR24" s="27"/>
      <c r="BS24" s="27">
        <f t="shared" si="9"/>
        <v>240000</v>
      </c>
      <c r="BT24" s="28">
        <f t="shared" si="10"/>
        <v>240000</v>
      </c>
      <c r="BU24" s="28">
        <f t="shared" si="3"/>
        <v>240000</v>
      </c>
      <c r="BV24" s="28">
        <f t="shared" si="4"/>
        <v>240000</v>
      </c>
      <c r="BW24" s="28">
        <f t="shared" si="5"/>
        <v>240000</v>
      </c>
    </row>
    <row r="25" spans="1:75" ht="17.399999999999999" x14ac:dyDescent="0.25">
      <c r="A25" s="69">
        <f t="shared" si="0"/>
        <v>24</v>
      </c>
      <c r="B25" s="73" t="s">
        <v>1530</v>
      </c>
      <c r="C25" s="71" t="s">
        <v>243</v>
      </c>
      <c r="D25" s="71" t="s">
        <v>1531</v>
      </c>
      <c r="E25" s="71" t="s">
        <v>1532</v>
      </c>
      <c r="F25" s="71" t="s">
        <v>1533</v>
      </c>
      <c r="G25" s="71" t="s">
        <v>1128</v>
      </c>
      <c r="H25" s="71" t="s">
        <v>1534</v>
      </c>
      <c r="I25" s="71" t="str">
        <f>VLOOKUP(H25,[1]Sheet1!$C:$C,1,0)</f>
        <v>SC1138SO-N-Q-CC-00LR-1138</v>
      </c>
      <c r="J25" s="71"/>
      <c r="K25" s="71"/>
      <c r="L25" s="73" t="s">
        <v>1535</v>
      </c>
      <c r="M25" s="80">
        <v>60000</v>
      </c>
      <c r="N25" s="72" t="s">
        <v>367</v>
      </c>
      <c r="O25" s="73"/>
      <c r="P25" s="71" t="s">
        <v>504</v>
      </c>
      <c r="Q25" s="71"/>
      <c r="R25" s="100">
        <v>0.52</v>
      </c>
      <c r="S25" s="75">
        <f t="shared" si="7"/>
        <v>5200</v>
      </c>
      <c r="T25" s="91">
        <v>0</v>
      </c>
      <c r="U25" s="76">
        <f t="shared" si="1"/>
        <v>10000</v>
      </c>
      <c r="V25" s="80"/>
      <c r="W25" s="80"/>
      <c r="X25" s="80"/>
      <c r="Y25" s="72"/>
      <c r="Z25" s="72">
        <v>3000</v>
      </c>
      <c r="AA25" s="72">
        <v>3000</v>
      </c>
      <c r="AB25" s="72">
        <v>3000</v>
      </c>
      <c r="AC25" s="72">
        <v>3000</v>
      </c>
      <c r="AD25" s="77"/>
      <c r="AE25" s="75"/>
      <c r="AF25" s="75">
        <v>5000</v>
      </c>
      <c r="AG25" s="75">
        <v>5000</v>
      </c>
      <c r="AH25" s="75">
        <v>5000</v>
      </c>
      <c r="AI25" s="75">
        <v>5000</v>
      </c>
      <c r="AJ25" s="75">
        <v>5000</v>
      </c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19" t="s">
        <v>978</v>
      </c>
      <c r="AX25" s="19" t="s">
        <v>85</v>
      </c>
      <c r="AY25" s="19" t="s">
        <v>261</v>
      </c>
      <c r="AZ25" s="19" t="s">
        <v>62</v>
      </c>
      <c r="BA25" s="19" t="s">
        <v>466</v>
      </c>
      <c r="BB25" s="19" t="s">
        <v>1536</v>
      </c>
      <c r="BC25" s="19" t="s">
        <v>1093</v>
      </c>
      <c r="BD25" s="19" t="s">
        <v>1537</v>
      </c>
      <c r="BE25" s="19" t="s">
        <v>1538</v>
      </c>
      <c r="BF25" s="19"/>
      <c r="BG25" s="24">
        <v>3</v>
      </c>
      <c r="BH25" s="19">
        <v>45736</v>
      </c>
      <c r="BI25" s="25">
        <v>45432</v>
      </c>
      <c r="BJ25" s="25">
        <v>45463</v>
      </c>
      <c r="BK25" s="25">
        <v>45493</v>
      </c>
      <c r="BL25" s="25">
        <v>45585</v>
      </c>
      <c r="BM25" s="25">
        <v>45646</v>
      </c>
      <c r="BN25" s="37">
        <v>1</v>
      </c>
      <c r="BO25" s="21">
        <v>5</v>
      </c>
      <c r="BP25" s="27">
        <f t="shared" ref="BP25:BR32" si="11">$R25*Z25</f>
        <v>1560</v>
      </c>
      <c r="BQ25" s="27">
        <f t="shared" si="11"/>
        <v>1560</v>
      </c>
      <c r="BR25" s="27">
        <f t="shared" si="11"/>
        <v>1560</v>
      </c>
      <c r="BS25" s="27">
        <f t="shared" si="9"/>
        <v>1560</v>
      </c>
      <c r="BT25" s="28">
        <f t="shared" si="10"/>
        <v>0</v>
      </c>
      <c r="BU25" s="28">
        <f t="shared" si="3"/>
        <v>0</v>
      </c>
      <c r="BV25" s="28">
        <f t="shared" si="4"/>
        <v>2600</v>
      </c>
      <c r="BW25" s="28">
        <f t="shared" si="5"/>
        <v>2600</v>
      </c>
    </row>
    <row r="26" spans="1:75" ht="17.399999999999999" x14ac:dyDescent="0.25">
      <c r="A26" s="69">
        <f t="shared" si="0"/>
        <v>25</v>
      </c>
      <c r="B26" s="73" t="s">
        <v>1530</v>
      </c>
      <c r="C26" s="71" t="s">
        <v>243</v>
      </c>
      <c r="D26" s="71" t="s">
        <v>1531</v>
      </c>
      <c r="E26" s="71" t="s">
        <v>1532</v>
      </c>
      <c r="F26" s="71" t="s">
        <v>1533</v>
      </c>
      <c r="G26" s="71" t="s">
        <v>400</v>
      </c>
      <c r="H26" s="71" t="s">
        <v>1539</v>
      </c>
      <c r="I26" s="71" t="str">
        <f>VLOOKUP(H26,[1]Sheet1!$C:$C,1,0)</f>
        <v>SC1134SO-N-Q-CI-00LR-1134</v>
      </c>
      <c r="J26" s="71"/>
      <c r="K26" s="71"/>
      <c r="L26" s="73" t="s">
        <v>1535</v>
      </c>
      <c r="M26" s="80">
        <v>200000</v>
      </c>
      <c r="N26" s="72" t="s">
        <v>251</v>
      </c>
      <c r="O26" s="73"/>
      <c r="P26" s="71" t="s">
        <v>504</v>
      </c>
      <c r="Q26" s="71"/>
      <c r="R26" s="100">
        <v>0.52</v>
      </c>
      <c r="S26" s="75">
        <f t="shared" si="7"/>
        <v>5200</v>
      </c>
      <c r="T26" s="91">
        <v>0</v>
      </c>
      <c r="U26" s="76">
        <f t="shared" si="1"/>
        <v>10000</v>
      </c>
      <c r="V26" s="80"/>
      <c r="W26" s="80"/>
      <c r="X26" s="80"/>
      <c r="Y26" s="72"/>
      <c r="Z26" s="72"/>
      <c r="AA26" s="72"/>
      <c r="AB26" s="72"/>
      <c r="AC26" s="72"/>
      <c r="AD26" s="77"/>
      <c r="AE26" s="75"/>
      <c r="AF26" s="75">
        <v>5000</v>
      </c>
      <c r="AG26" s="75">
        <v>5000</v>
      </c>
      <c r="AH26" s="75">
        <v>5000</v>
      </c>
      <c r="AI26" s="75">
        <v>5000</v>
      </c>
      <c r="AJ26" s="75">
        <v>5000</v>
      </c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10" t="s">
        <v>978</v>
      </c>
      <c r="AX26" s="10" t="s">
        <v>85</v>
      </c>
      <c r="AY26" s="19" t="s">
        <v>261</v>
      </c>
      <c r="AZ26" s="10" t="s">
        <v>62</v>
      </c>
      <c r="BA26" s="10" t="s">
        <v>466</v>
      </c>
      <c r="BB26" s="10" t="s">
        <v>1536</v>
      </c>
      <c r="BC26" s="10" t="s">
        <v>1093</v>
      </c>
      <c r="BD26" s="10" t="s">
        <v>98</v>
      </c>
      <c r="BE26" s="10" t="s">
        <v>1540</v>
      </c>
      <c r="BF26" s="10"/>
      <c r="BG26" s="13">
        <v>4</v>
      </c>
      <c r="BH26" s="10">
        <v>45950</v>
      </c>
      <c r="BI26" s="14">
        <v>45575</v>
      </c>
      <c r="BJ26" s="14">
        <v>45590</v>
      </c>
      <c r="BK26" s="14">
        <v>45616</v>
      </c>
      <c r="BL26" s="14">
        <v>45736</v>
      </c>
      <c r="BM26" s="14">
        <v>45828</v>
      </c>
      <c r="BN26" s="35">
        <v>1</v>
      </c>
      <c r="BO26" s="11">
        <v>5</v>
      </c>
      <c r="BP26" s="16">
        <f t="shared" si="11"/>
        <v>0</v>
      </c>
      <c r="BQ26" s="16">
        <f t="shared" si="11"/>
        <v>0</v>
      </c>
      <c r="BR26" s="16">
        <f t="shared" si="11"/>
        <v>0</v>
      </c>
      <c r="BS26" s="16">
        <f t="shared" si="9"/>
        <v>0</v>
      </c>
      <c r="BT26" s="17">
        <f t="shared" si="10"/>
        <v>0</v>
      </c>
      <c r="BU26" s="28">
        <f t="shared" si="3"/>
        <v>0</v>
      </c>
      <c r="BV26" s="28">
        <f t="shared" si="4"/>
        <v>2600</v>
      </c>
      <c r="BW26" s="28">
        <f t="shared" si="5"/>
        <v>2600</v>
      </c>
    </row>
    <row r="27" spans="1:75" ht="17.399999999999999" x14ac:dyDescent="0.25">
      <c r="A27" s="69">
        <f t="shared" si="0"/>
        <v>26</v>
      </c>
      <c r="B27" s="73" t="s">
        <v>1530</v>
      </c>
      <c r="C27" s="71" t="s">
        <v>243</v>
      </c>
      <c r="D27" s="71" t="s">
        <v>1531</v>
      </c>
      <c r="E27" s="71" t="s">
        <v>1532</v>
      </c>
      <c r="F27" s="71" t="s">
        <v>1533</v>
      </c>
      <c r="G27" s="71" t="s">
        <v>1541</v>
      </c>
      <c r="H27" s="71" t="s">
        <v>1542</v>
      </c>
      <c r="I27" s="71" t="str">
        <f>VLOOKUP(H27,[1]Sheet1!$C:$C,1,0)</f>
        <v>SC69401DC-SPI-Q-HD-4XCR-69401</v>
      </c>
      <c r="J27" s="71"/>
      <c r="K27" s="71"/>
      <c r="L27" s="73" t="s">
        <v>1543</v>
      </c>
      <c r="M27" s="80">
        <v>200000</v>
      </c>
      <c r="N27" s="72" t="s">
        <v>251</v>
      </c>
      <c r="O27" s="73"/>
      <c r="P27" s="71" t="s">
        <v>504</v>
      </c>
      <c r="Q27" s="71"/>
      <c r="R27" s="100">
        <v>3.6046999999999998</v>
      </c>
      <c r="S27" s="75">
        <f t="shared" si="7"/>
        <v>108141</v>
      </c>
      <c r="T27" s="91">
        <v>0</v>
      </c>
      <c r="U27" s="76">
        <f t="shared" si="1"/>
        <v>30000</v>
      </c>
      <c r="V27" s="80"/>
      <c r="W27" s="80"/>
      <c r="X27" s="80"/>
      <c r="Y27" s="72"/>
      <c r="Z27" s="72"/>
      <c r="AA27" s="72"/>
      <c r="AB27" s="72"/>
      <c r="AC27" s="72"/>
      <c r="AD27" s="77"/>
      <c r="AE27" s="75">
        <v>10000</v>
      </c>
      <c r="AF27" s="75">
        <v>10000</v>
      </c>
      <c r="AG27" s="75">
        <v>10000</v>
      </c>
      <c r="AH27" s="75">
        <v>10000</v>
      </c>
      <c r="AI27" s="75">
        <v>10000</v>
      </c>
      <c r="AJ27" s="75">
        <v>10000</v>
      </c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19" t="s">
        <v>1468</v>
      </c>
      <c r="AX27" s="19" t="s">
        <v>85</v>
      </c>
      <c r="AY27" s="19" t="s">
        <v>371</v>
      </c>
      <c r="AZ27" s="19" t="s">
        <v>62</v>
      </c>
      <c r="BA27" s="19" t="s">
        <v>466</v>
      </c>
      <c r="BB27" s="19" t="s">
        <v>1536</v>
      </c>
      <c r="BC27" s="19" t="s">
        <v>1093</v>
      </c>
      <c r="BD27" s="19" t="s">
        <v>98</v>
      </c>
      <c r="BE27" s="19" t="s">
        <v>1540</v>
      </c>
      <c r="BF27" s="19"/>
      <c r="BG27" s="24">
        <v>4</v>
      </c>
      <c r="BH27" s="19">
        <v>45950</v>
      </c>
      <c r="BI27" s="25">
        <v>45575</v>
      </c>
      <c r="BJ27" s="25">
        <v>45590</v>
      </c>
      <c r="BK27" s="25">
        <v>45616</v>
      </c>
      <c r="BL27" s="25">
        <v>45736</v>
      </c>
      <c r="BM27" s="25">
        <v>45828</v>
      </c>
      <c r="BN27" s="37">
        <v>1</v>
      </c>
      <c r="BO27" s="21">
        <v>5</v>
      </c>
      <c r="BP27" s="27">
        <f t="shared" si="11"/>
        <v>0</v>
      </c>
      <c r="BQ27" s="27">
        <f t="shared" si="11"/>
        <v>0</v>
      </c>
      <c r="BR27" s="27">
        <f t="shared" si="11"/>
        <v>0</v>
      </c>
      <c r="BS27" s="27">
        <f t="shared" si="9"/>
        <v>0</v>
      </c>
      <c r="BT27" s="28">
        <f t="shared" si="10"/>
        <v>0</v>
      </c>
      <c r="BU27" s="28">
        <f t="shared" si="3"/>
        <v>36047</v>
      </c>
      <c r="BV27" s="28">
        <f t="shared" si="4"/>
        <v>36047</v>
      </c>
      <c r="BW27" s="28">
        <f t="shared" si="5"/>
        <v>36047</v>
      </c>
    </row>
    <row r="28" spans="1:75" ht="17.399999999999999" x14ac:dyDescent="0.25">
      <c r="A28" s="69">
        <f t="shared" si="0"/>
        <v>27</v>
      </c>
      <c r="B28" s="73" t="s">
        <v>1544</v>
      </c>
      <c r="C28" s="71" t="s">
        <v>243</v>
      </c>
      <c r="D28" s="71" t="s">
        <v>1531</v>
      </c>
      <c r="E28" s="71" t="s">
        <v>1532</v>
      </c>
      <c r="F28" s="71" t="s">
        <v>1533</v>
      </c>
      <c r="G28" s="71" t="s">
        <v>1556</v>
      </c>
      <c r="H28" s="71" t="s">
        <v>1557</v>
      </c>
      <c r="I28" s="71" t="str">
        <f>VLOOKUP(H28,[1]Sheet1!$C:$C,1,0)</f>
        <v>SC2943SO-Q-DB-60CR-2943</v>
      </c>
      <c r="J28" s="71"/>
      <c r="K28" s="71"/>
      <c r="L28" s="73" t="s">
        <v>1535</v>
      </c>
      <c r="M28" s="80">
        <v>120000</v>
      </c>
      <c r="N28" s="72" t="s">
        <v>251</v>
      </c>
      <c r="O28" s="73"/>
      <c r="P28" s="71" t="s">
        <v>504</v>
      </c>
      <c r="Q28" s="71"/>
      <c r="R28" s="100">
        <v>3.7</v>
      </c>
      <c r="S28" s="75">
        <f t="shared" si="7"/>
        <v>777000</v>
      </c>
      <c r="T28" s="91">
        <v>0</v>
      </c>
      <c r="U28" s="76">
        <f t="shared" si="1"/>
        <v>210000</v>
      </c>
      <c r="V28" s="80"/>
      <c r="W28" s="80"/>
      <c r="X28" s="80"/>
      <c r="Y28" s="72"/>
      <c r="Z28" s="72"/>
      <c r="AA28" s="72"/>
      <c r="AB28" s="72"/>
      <c r="AC28" s="72"/>
      <c r="AD28" s="77">
        <v>80000</v>
      </c>
      <c r="AE28" s="75">
        <v>50000</v>
      </c>
      <c r="AF28" s="75">
        <v>80000</v>
      </c>
      <c r="AG28" s="75">
        <v>80000</v>
      </c>
      <c r="AH28" s="75">
        <v>80000</v>
      </c>
      <c r="AI28" s="75">
        <v>80000</v>
      </c>
      <c r="AJ28" s="75">
        <v>80000</v>
      </c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10" t="s">
        <v>494</v>
      </c>
      <c r="AX28" s="10" t="s">
        <v>85</v>
      </c>
      <c r="AY28" s="19" t="s">
        <v>261</v>
      </c>
      <c r="AZ28" s="10" t="s">
        <v>62</v>
      </c>
      <c r="BA28" s="10" t="s">
        <v>466</v>
      </c>
      <c r="BB28" s="10" t="s">
        <v>1536</v>
      </c>
      <c r="BC28" s="10" t="s">
        <v>1093</v>
      </c>
      <c r="BD28" s="10" t="s">
        <v>98</v>
      </c>
      <c r="BE28" s="10" t="s">
        <v>1540</v>
      </c>
      <c r="BF28" s="10"/>
      <c r="BG28" s="13">
        <v>4</v>
      </c>
      <c r="BH28" s="10">
        <v>45950</v>
      </c>
      <c r="BI28" s="14">
        <v>45575</v>
      </c>
      <c r="BJ28" s="14">
        <v>45590</v>
      </c>
      <c r="BK28" s="14">
        <v>45616</v>
      </c>
      <c r="BL28" s="14">
        <v>45736</v>
      </c>
      <c r="BM28" s="14">
        <v>45828</v>
      </c>
      <c r="BN28" s="35">
        <v>1</v>
      </c>
      <c r="BO28" s="11">
        <v>5</v>
      </c>
      <c r="BP28" s="16">
        <f t="shared" si="11"/>
        <v>0</v>
      </c>
      <c r="BQ28" s="16">
        <f t="shared" si="11"/>
        <v>0</v>
      </c>
      <c r="BR28" s="16">
        <f t="shared" si="11"/>
        <v>0</v>
      </c>
      <c r="BS28" s="16">
        <f t="shared" si="9"/>
        <v>0</v>
      </c>
      <c r="BT28" s="17">
        <f t="shared" si="10"/>
        <v>296000</v>
      </c>
      <c r="BU28" s="28">
        <f t="shared" si="3"/>
        <v>185000</v>
      </c>
      <c r="BV28" s="28">
        <f t="shared" si="4"/>
        <v>296000</v>
      </c>
      <c r="BW28" s="28">
        <f t="shared" si="5"/>
        <v>296000</v>
      </c>
    </row>
    <row r="29" spans="1:75" ht="17.399999999999999" x14ac:dyDescent="0.25">
      <c r="A29" s="69">
        <f t="shared" si="0"/>
        <v>28</v>
      </c>
      <c r="B29" s="73" t="s">
        <v>1545</v>
      </c>
      <c r="C29" s="71" t="s">
        <v>290</v>
      </c>
      <c r="D29" s="71" t="s">
        <v>1531</v>
      </c>
      <c r="E29" s="71" t="s">
        <v>1532</v>
      </c>
      <c r="F29" s="71" t="s">
        <v>1533</v>
      </c>
      <c r="G29" s="71" t="s">
        <v>255</v>
      </c>
      <c r="H29" s="71" t="s">
        <v>1465</v>
      </c>
      <c r="I29" s="71" t="str">
        <f>VLOOKUP(H29,[1]Sheet1!$C:$C,1,0)</f>
        <v>SC69401DC-Q-HD-4XCR-69401</v>
      </c>
      <c r="J29" s="71"/>
      <c r="K29" s="71"/>
      <c r="L29" s="73" t="s">
        <v>569</v>
      </c>
      <c r="M29" s="80">
        <v>500000</v>
      </c>
      <c r="N29" s="72" t="s">
        <v>251</v>
      </c>
      <c r="O29" s="73"/>
      <c r="P29" s="71" t="s">
        <v>1546</v>
      </c>
      <c r="Q29" s="71"/>
      <c r="R29" s="100">
        <v>3.6</v>
      </c>
      <c r="S29" s="75">
        <f t="shared" si="7"/>
        <v>0</v>
      </c>
      <c r="T29" s="91">
        <v>0</v>
      </c>
      <c r="U29" s="76">
        <f t="shared" si="1"/>
        <v>0</v>
      </c>
      <c r="V29" s="80"/>
      <c r="W29" s="80"/>
      <c r="X29" s="80"/>
      <c r="Y29" s="72"/>
      <c r="Z29" s="72"/>
      <c r="AA29" s="72"/>
      <c r="AB29" s="72"/>
      <c r="AC29" s="72"/>
      <c r="AD29" s="77"/>
      <c r="AE29" s="75"/>
      <c r="AF29" s="75"/>
      <c r="AG29" s="75"/>
      <c r="AH29" s="75">
        <v>0</v>
      </c>
      <c r="AI29" s="75"/>
      <c r="AJ29" s="75">
        <v>0</v>
      </c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19" t="s">
        <v>1468</v>
      </c>
      <c r="AX29" s="19" t="s">
        <v>85</v>
      </c>
      <c r="AY29" s="19" t="s">
        <v>371</v>
      </c>
      <c r="AZ29" s="19" t="s">
        <v>62</v>
      </c>
      <c r="BA29" s="19" t="s">
        <v>86</v>
      </c>
      <c r="BB29" s="19" t="s">
        <v>1547</v>
      </c>
      <c r="BC29" s="19" t="s">
        <v>1548</v>
      </c>
      <c r="BD29" s="19"/>
      <c r="BE29" s="19"/>
      <c r="BF29" s="19"/>
      <c r="BG29" s="24">
        <v>1</v>
      </c>
      <c r="BH29" s="19">
        <v>45828</v>
      </c>
      <c r="BI29" s="25">
        <v>45371</v>
      </c>
      <c r="BJ29" s="25">
        <v>45585</v>
      </c>
      <c r="BK29" s="25">
        <v>45646</v>
      </c>
      <c r="BL29" s="25">
        <v>45708</v>
      </c>
      <c r="BM29" s="25">
        <v>45767</v>
      </c>
      <c r="BN29" s="37">
        <v>0.5</v>
      </c>
      <c r="BO29" s="21">
        <v>5</v>
      </c>
      <c r="BP29" s="27">
        <f t="shared" si="11"/>
        <v>0</v>
      </c>
      <c r="BQ29" s="27">
        <f t="shared" si="11"/>
        <v>0</v>
      </c>
      <c r="BR29" s="27">
        <f t="shared" si="11"/>
        <v>0</v>
      </c>
      <c r="BS29" s="27">
        <f t="shared" si="9"/>
        <v>0</v>
      </c>
      <c r="BT29" s="28">
        <f t="shared" si="10"/>
        <v>0</v>
      </c>
      <c r="BU29" s="28">
        <f t="shared" si="3"/>
        <v>0</v>
      </c>
      <c r="BV29" s="28">
        <f t="shared" si="4"/>
        <v>0</v>
      </c>
      <c r="BW29" s="28">
        <f t="shared" si="5"/>
        <v>0</v>
      </c>
    </row>
    <row r="30" spans="1:75" ht="17.399999999999999" x14ac:dyDescent="0.25">
      <c r="A30" s="69">
        <f t="shared" si="0"/>
        <v>29</v>
      </c>
      <c r="B30" s="73" t="s">
        <v>1545</v>
      </c>
      <c r="C30" s="71" t="s">
        <v>290</v>
      </c>
      <c r="D30" s="71" t="s">
        <v>1531</v>
      </c>
      <c r="E30" s="71" t="s">
        <v>1532</v>
      </c>
      <c r="F30" s="71" t="s">
        <v>1533</v>
      </c>
      <c r="G30" s="71" t="s">
        <v>610</v>
      </c>
      <c r="H30" s="71" t="s">
        <v>1115</v>
      </c>
      <c r="I30" s="71" t="str">
        <f>VLOOKUP(H30,[1]Sheet1!$C:$C,1,0)</f>
        <v>SC69401HS-Q-HD-4XTR-69401</v>
      </c>
      <c r="J30" s="71"/>
      <c r="K30" s="71"/>
      <c r="L30" s="73" t="s">
        <v>569</v>
      </c>
      <c r="M30" s="80">
        <v>500000</v>
      </c>
      <c r="N30" s="72" t="s">
        <v>251</v>
      </c>
      <c r="O30" s="73"/>
      <c r="P30" s="71" t="s">
        <v>1549</v>
      </c>
      <c r="Q30" s="71"/>
      <c r="R30" s="100">
        <v>5.0999999999999996</v>
      </c>
      <c r="S30" s="75">
        <f t="shared" si="7"/>
        <v>0</v>
      </c>
      <c r="T30" s="91">
        <v>0</v>
      </c>
      <c r="U30" s="76">
        <f t="shared" si="1"/>
        <v>0</v>
      </c>
      <c r="V30" s="80"/>
      <c r="W30" s="80"/>
      <c r="X30" s="80"/>
      <c r="Y30" s="72"/>
      <c r="Z30" s="72"/>
      <c r="AA30" s="72"/>
      <c r="AB30" s="72"/>
      <c r="AC30" s="72"/>
      <c r="AD30" s="77"/>
      <c r="AE30" s="75"/>
      <c r="AF30" s="75"/>
      <c r="AG30" s="75"/>
      <c r="AH30" s="75">
        <v>0</v>
      </c>
      <c r="AI30" s="75"/>
      <c r="AJ30" s="75">
        <v>0</v>
      </c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10" t="s">
        <v>1468</v>
      </c>
      <c r="AX30" s="10" t="s">
        <v>85</v>
      </c>
      <c r="AY30" s="19" t="s">
        <v>371</v>
      </c>
      <c r="AZ30" s="10" t="s">
        <v>62</v>
      </c>
      <c r="BA30" s="10" t="s">
        <v>86</v>
      </c>
      <c r="BB30" s="10" t="s">
        <v>1547</v>
      </c>
      <c r="BC30" s="10" t="s">
        <v>1548</v>
      </c>
      <c r="BD30" s="10"/>
      <c r="BE30" s="10"/>
      <c r="BF30" s="10"/>
      <c r="BG30" s="13">
        <v>1</v>
      </c>
      <c r="BH30" s="10">
        <v>45828</v>
      </c>
      <c r="BI30" s="14">
        <v>45371</v>
      </c>
      <c r="BJ30" s="14">
        <v>45585</v>
      </c>
      <c r="BK30" s="14">
        <v>45646</v>
      </c>
      <c r="BL30" s="14">
        <v>45708</v>
      </c>
      <c r="BM30" s="14">
        <v>45767</v>
      </c>
      <c r="BN30" s="35">
        <v>0.5</v>
      </c>
      <c r="BO30" s="11">
        <v>5</v>
      </c>
      <c r="BP30" s="16">
        <f t="shared" si="11"/>
        <v>0</v>
      </c>
      <c r="BQ30" s="16">
        <f t="shared" si="11"/>
        <v>0</v>
      </c>
      <c r="BR30" s="16">
        <f t="shared" si="11"/>
        <v>0</v>
      </c>
      <c r="BS30" s="16">
        <f t="shared" si="9"/>
        <v>0</v>
      </c>
      <c r="BT30" s="17">
        <f t="shared" si="10"/>
        <v>0</v>
      </c>
      <c r="BU30" s="28">
        <f t="shared" si="3"/>
        <v>0</v>
      </c>
      <c r="BV30" s="28">
        <f t="shared" si="4"/>
        <v>0</v>
      </c>
      <c r="BW30" s="28">
        <f t="shared" si="5"/>
        <v>0</v>
      </c>
    </row>
    <row r="31" spans="1:75" ht="17.399999999999999" x14ac:dyDescent="0.25">
      <c r="A31" s="69">
        <f t="shared" si="0"/>
        <v>30</v>
      </c>
      <c r="B31" s="73" t="s">
        <v>1550</v>
      </c>
      <c r="C31" s="71" t="s">
        <v>243</v>
      </c>
      <c r="D31" s="71" t="s">
        <v>1531</v>
      </c>
      <c r="E31" s="71" t="s">
        <v>1532</v>
      </c>
      <c r="F31" s="71" t="s">
        <v>1551</v>
      </c>
      <c r="G31" s="71" t="s">
        <v>263</v>
      </c>
      <c r="H31" s="71" t="s">
        <v>1309</v>
      </c>
      <c r="I31" s="71" t="str">
        <f>VLOOKUP(H31,[1]Sheet1!$C:$C,1,0)</f>
        <v>SC2442SO-Q-DB-60CR-2442</v>
      </c>
      <c r="J31" s="71"/>
      <c r="K31" s="71"/>
      <c r="L31" s="73" t="s">
        <v>604</v>
      </c>
      <c r="M31" s="80">
        <v>500000</v>
      </c>
      <c r="N31" s="72" t="s">
        <v>367</v>
      </c>
      <c r="O31" s="73"/>
      <c r="P31" s="71" t="s">
        <v>1552</v>
      </c>
      <c r="Q31" s="71"/>
      <c r="R31" s="100">
        <v>0.52</v>
      </c>
      <c r="S31" s="75">
        <f t="shared" si="7"/>
        <v>0</v>
      </c>
      <c r="T31" s="91">
        <v>0</v>
      </c>
      <c r="U31" s="76">
        <f t="shared" si="1"/>
        <v>0</v>
      </c>
      <c r="V31" s="80"/>
      <c r="W31" s="80"/>
      <c r="X31" s="80"/>
      <c r="Y31" s="72"/>
      <c r="Z31" s="72"/>
      <c r="AA31" s="72"/>
      <c r="AB31" s="72"/>
      <c r="AC31" s="72"/>
      <c r="AD31" s="77"/>
      <c r="AE31" s="75"/>
      <c r="AF31" s="75"/>
      <c r="AG31" s="75"/>
      <c r="AH31" s="75">
        <v>0</v>
      </c>
      <c r="AI31" s="75"/>
      <c r="AJ31" s="75">
        <v>0</v>
      </c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19" t="s">
        <v>494</v>
      </c>
      <c r="AX31" s="19" t="s">
        <v>85</v>
      </c>
      <c r="AY31" s="19" t="s">
        <v>261</v>
      </c>
      <c r="AZ31" s="19" t="s">
        <v>62</v>
      </c>
      <c r="BA31" s="19" t="s">
        <v>96</v>
      </c>
      <c r="BB31" s="19" t="s">
        <v>1252</v>
      </c>
      <c r="BC31" s="19" t="s">
        <v>1553</v>
      </c>
      <c r="BD31" s="19" t="s">
        <v>1554</v>
      </c>
      <c r="BE31" s="19"/>
      <c r="BF31" s="19"/>
      <c r="BG31" s="24">
        <v>2</v>
      </c>
      <c r="BH31" s="19">
        <v>45797</v>
      </c>
      <c r="BI31" s="25">
        <v>45432</v>
      </c>
      <c r="BJ31" s="25">
        <v>45463</v>
      </c>
      <c r="BK31" s="25">
        <v>45493</v>
      </c>
      <c r="BL31" s="25">
        <v>45585</v>
      </c>
      <c r="BM31" s="25">
        <v>45646</v>
      </c>
      <c r="BN31" s="37">
        <v>1</v>
      </c>
      <c r="BO31" s="21">
        <v>5</v>
      </c>
      <c r="BP31" s="27">
        <f t="shared" si="11"/>
        <v>0</v>
      </c>
      <c r="BQ31" s="27">
        <f t="shared" si="11"/>
        <v>0</v>
      </c>
      <c r="BR31" s="27">
        <f t="shared" si="11"/>
        <v>0</v>
      </c>
      <c r="BS31" s="27">
        <f t="shared" si="9"/>
        <v>0</v>
      </c>
      <c r="BT31" s="28">
        <f t="shared" si="10"/>
        <v>0</v>
      </c>
      <c r="BU31" s="28">
        <f t="shared" si="3"/>
        <v>0</v>
      </c>
      <c r="BV31" s="28">
        <f t="shared" si="4"/>
        <v>0</v>
      </c>
      <c r="BW31" s="28">
        <f t="shared" si="5"/>
        <v>0</v>
      </c>
    </row>
    <row r="32" spans="1:75" ht="17.399999999999999" x14ac:dyDescent="0.25">
      <c r="A32" s="69">
        <f t="shared" si="0"/>
        <v>31</v>
      </c>
      <c r="B32" s="73" t="s">
        <v>1550</v>
      </c>
      <c r="C32" s="71" t="s">
        <v>243</v>
      </c>
      <c r="D32" s="71" t="s">
        <v>1531</v>
      </c>
      <c r="E32" s="71" t="s">
        <v>1532</v>
      </c>
      <c r="F32" s="71" t="s">
        <v>1551</v>
      </c>
      <c r="G32" s="71" t="s">
        <v>840</v>
      </c>
      <c r="H32" s="71" t="s">
        <v>1441</v>
      </c>
      <c r="I32" s="71" t="str">
        <f>VLOOKUP(H32,[1]Sheet1!$C:$C,1,0)</f>
        <v>SC2462SO-Q-CJ-10CR-2462</v>
      </c>
      <c r="J32" s="71"/>
      <c r="K32" s="71"/>
      <c r="L32" s="73" t="s">
        <v>1555</v>
      </c>
      <c r="M32" s="80">
        <v>500000</v>
      </c>
      <c r="N32" s="72" t="s">
        <v>367</v>
      </c>
      <c r="O32" s="73"/>
      <c r="P32" s="71" t="s">
        <v>504</v>
      </c>
      <c r="Q32" s="71"/>
      <c r="R32" s="100">
        <v>0.52</v>
      </c>
      <c r="S32" s="75">
        <f t="shared" si="7"/>
        <v>5200</v>
      </c>
      <c r="T32" s="91">
        <v>0</v>
      </c>
      <c r="U32" s="76">
        <f t="shared" si="1"/>
        <v>10000</v>
      </c>
      <c r="V32" s="80"/>
      <c r="W32" s="80"/>
      <c r="X32" s="80"/>
      <c r="Y32" s="72"/>
      <c r="Z32" s="72"/>
      <c r="AA32" s="72"/>
      <c r="AB32" s="72"/>
      <c r="AC32" s="72"/>
      <c r="AD32" s="77"/>
      <c r="AE32" s="75"/>
      <c r="AF32" s="75">
        <v>5000</v>
      </c>
      <c r="AG32" s="75">
        <v>5000</v>
      </c>
      <c r="AH32" s="75">
        <v>5000</v>
      </c>
      <c r="AI32" s="75">
        <v>5000</v>
      </c>
      <c r="AJ32" s="75">
        <v>5000</v>
      </c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10" t="s">
        <v>494</v>
      </c>
      <c r="AX32" s="10" t="s">
        <v>85</v>
      </c>
      <c r="AY32" s="19" t="s">
        <v>261</v>
      </c>
      <c r="AZ32" s="10" t="s">
        <v>62</v>
      </c>
      <c r="BA32" s="10" t="s">
        <v>96</v>
      </c>
      <c r="BB32" s="10" t="s">
        <v>1252</v>
      </c>
      <c r="BC32" s="10" t="s">
        <v>1553</v>
      </c>
      <c r="BD32" s="10" t="s">
        <v>1554</v>
      </c>
      <c r="BE32" s="10"/>
      <c r="BF32" s="10"/>
      <c r="BG32" s="13">
        <v>2</v>
      </c>
      <c r="BH32" s="10">
        <v>45797</v>
      </c>
      <c r="BI32" s="14">
        <v>45432</v>
      </c>
      <c r="BJ32" s="14">
        <v>45463</v>
      </c>
      <c r="BK32" s="14">
        <v>45493</v>
      </c>
      <c r="BL32" s="14">
        <v>45585</v>
      </c>
      <c r="BM32" s="14">
        <v>45646</v>
      </c>
      <c r="BN32" s="35">
        <v>1</v>
      </c>
      <c r="BO32" s="11">
        <v>5</v>
      </c>
      <c r="BP32" s="16">
        <f t="shared" si="11"/>
        <v>0</v>
      </c>
      <c r="BQ32" s="16">
        <f t="shared" si="11"/>
        <v>0</v>
      </c>
      <c r="BR32" s="16">
        <f t="shared" si="11"/>
        <v>0</v>
      </c>
      <c r="BS32" s="16">
        <f t="shared" si="9"/>
        <v>0</v>
      </c>
      <c r="BT32" s="17">
        <f t="shared" si="10"/>
        <v>0</v>
      </c>
      <c r="BU32" s="28">
        <f t="shared" si="3"/>
        <v>0</v>
      </c>
      <c r="BV32" s="28">
        <f t="shared" si="4"/>
        <v>2600</v>
      </c>
      <c r="BW32" s="28">
        <f t="shared" si="5"/>
        <v>2600</v>
      </c>
    </row>
    <row r="33" spans="1:75" ht="17.399999999999999" x14ac:dyDescent="0.25">
      <c r="A33" s="69">
        <f t="shared" si="0"/>
        <v>32</v>
      </c>
      <c r="B33" s="73" t="s">
        <v>1550</v>
      </c>
      <c r="C33" s="71" t="s">
        <v>243</v>
      </c>
      <c r="D33" s="71" t="s">
        <v>1531</v>
      </c>
      <c r="E33" s="71" t="s">
        <v>1532</v>
      </c>
      <c r="F33" s="71"/>
      <c r="G33" s="71" t="s">
        <v>1556</v>
      </c>
      <c r="H33" s="71" t="s">
        <v>1557</v>
      </c>
      <c r="I33" s="71" t="str">
        <f>VLOOKUP(H33,[1]Sheet1!$C:$C,1,0)</f>
        <v>SC2943SO-Q-DB-60CR-2943</v>
      </c>
      <c r="J33" s="71"/>
      <c r="K33" s="71"/>
      <c r="L33" s="73"/>
      <c r="M33" s="80"/>
      <c r="N33" s="72"/>
      <c r="O33" s="73"/>
      <c r="P33" s="71"/>
      <c r="Q33" s="71"/>
      <c r="R33" s="100">
        <v>0.5</v>
      </c>
      <c r="S33" s="75">
        <f t="shared" si="7"/>
        <v>5000</v>
      </c>
      <c r="T33" s="91"/>
      <c r="U33" s="76">
        <f t="shared" si="1"/>
        <v>10000</v>
      </c>
      <c r="V33" s="80"/>
      <c r="W33" s="80"/>
      <c r="X33" s="80"/>
      <c r="Y33" s="72"/>
      <c r="Z33" s="72"/>
      <c r="AA33" s="72"/>
      <c r="AB33" s="72"/>
      <c r="AC33" s="72"/>
      <c r="AD33" s="77"/>
      <c r="AE33" s="75"/>
      <c r="AF33" s="75">
        <v>5000</v>
      </c>
      <c r="AG33" s="75">
        <v>5000</v>
      </c>
      <c r="AH33" s="75">
        <v>5000</v>
      </c>
      <c r="AI33" s="75">
        <v>5000</v>
      </c>
      <c r="AJ33" s="75">
        <v>5000</v>
      </c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19"/>
      <c r="AX33" s="19" t="s">
        <v>85</v>
      </c>
      <c r="AY33" s="19" t="s">
        <v>261</v>
      </c>
      <c r="AZ33" s="19"/>
      <c r="BA33" s="19"/>
      <c r="BB33" s="19"/>
      <c r="BC33" s="19"/>
      <c r="BD33" s="19"/>
      <c r="BE33" s="19"/>
      <c r="BF33" s="19"/>
      <c r="BG33" s="24"/>
      <c r="BH33" s="19"/>
      <c r="BI33" s="25"/>
      <c r="BJ33" s="25"/>
      <c r="BK33" s="25"/>
      <c r="BL33" s="25"/>
      <c r="BM33" s="25"/>
      <c r="BN33" s="37"/>
      <c r="BO33" s="21"/>
      <c r="BP33" s="27"/>
      <c r="BQ33" s="27">
        <f t="shared" ref="BQ33:BR36" si="12">$R33*AA33</f>
        <v>0</v>
      </c>
      <c r="BR33" s="27">
        <f t="shared" si="12"/>
        <v>0</v>
      </c>
      <c r="BS33" s="27">
        <f t="shared" si="9"/>
        <v>0</v>
      </c>
      <c r="BT33" s="28">
        <f t="shared" si="10"/>
        <v>0</v>
      </c>
      <c r="BU33" s="28">
        <f t="shared" si="3"/>
        <v>0</v>
      </c>
      <c r="BV33" s="28">
        <f t="shared" si="4"/>
        <v>2500</v>
      </c>
      <c r="BW33" s="28">
        <f t="shared" si="5"/>
        <v>2500</v>
      </c>
    </row>
    <row r="34" spans="1:75" ht="17.399999999999999" x14ac:dyDescent="0.25">
      <c r="A34" s="69">
        <f t="shared" ref="A34:A65" si="13">ROW()-1</f>
        <v>33</v>
      </c>
      <c r="B34" s="73" t="s">
        <v>1558</v>
      </c>
      <c r="C34" s="71" t="s">
        <v>243</v>
      </c>
      <c r="D34" s="71" t="s">
        <v>1531</v>
      </c>
      <c r="E34" s="71" t="s">
        <v>1532</v>
      </c>
      <c r="F34" s="71" t="s">
        <v>1533</v>
      </c>
      <c r="G34" s="71" t="s">
        <v>568</v>
      </c>
      <c r="H34" s="71" t="s">
        <v>1559</v>
      </c>
      <c r="I34" s="71" t="str">
        <f>VLOOKUP(H34,[1]Sheet1!$C:$C,1,0)</f>
        <v>SC2432SO-Q-CM-10CR-2432</v>
      </c>
      <c r="J34" s="71"/>
      <c r="K34" s="71"/>
      <c r="L34" s="73" t="s">
        <v>1560</v>
      </c>
      <c r="M34" s="80">
        <v>100000</v>
      </c>
      <c r="N34" s="72" t="s">
        <v>367</v>
      </c>
      <c r="O34" s="73"/>
      <c r="P34" s="71" t="s">
        <v>1073</v>
      </c>
      <c r="Q34" s="71"/>
      <c r="R34" s="100">
        <v>0.51980000000000004</v>
      </c>
      <c r="S34" s="75">
        <f t="shared" si="7"/>
        <v>11435.6</v>
      </c>
      <c r="T34" s="91">
        <v>0</v>
      </c>
      <c r="U34" s="76">
        <f t="shared" si="1"/>
        <v>22000</v>
      </c>
      <c r="V34" s="80"/>
      <c r="W34" s="80"/>
      <c r="X34" s="80"/>
      <c r="Y34" s="72"/>
      <c r="Z34" s="72"/>
      <c r="AA34" s="72">
        <v>5000</v>
      </c>
      <c r="AB34" s="72">
        <v>5000</v>
      </c>
      <c r="AC34" s="72">
        <v>5000</v>
      </c>
      <c r="AD34" s="77">
        <v>6000</v>
      </c>
      <c r="AE34" s="75">
        <v>6000</v>
      </c>
      <c r="AF34" s="75">
        <v>8000</v>
      </c>
      <c r="AG34" s="75">
        <v>8000</v>
      </c>
      <c r="AH34" s="75">
        <v>8000</v>
      </c>
      <c r="AI34" s="75">
        <v>8000</v>
      </c>
      <c r="AJ34" s="75">
        <v>8000</v>
      </c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10" t="s">
        <v>494</v>
      </c>
      <c r="AX34" s="10" t="s">
        <v>85</v>
      </c>
      <c r="AY34" s="19" t="s">
        <v>261</v>
      </c>
      <c r="AZ34" s="10" t="s">
        <v>62</v>
      </c>
      <c r="BA34" s="10" t="s">
        <v>86</v>
      </c>
      <c r="BB34" s="10" t="s">
        <v>1547</v>
      </c>
      <c r="BC34" s="10" t="s">
        <v>1561</v>
      </c>
      <c r="BD34" s="10" t="s">
        <v>1077</v>
      </c>
      <c r="BE34" s="10"/>
      <c r="BF34" s="10"/>
      <c r="BG34" s="13">
        <v>2</v>
      </c>
      <c r="BH34" s="10">
        <v>45736</v>
      </c>
      <c r="BI34" s="14">
        <v>45463</v>
      </c>
      <c r="BJ34" s="14">
        <v>45493</v>
      </c>
      <c r="BK34" s="14">
        <v>45555</v>
      </c>
      <c r="BL34" s="14">
        <v>45646</v>
      </c>
      <c r="BM34" s="14">
        <v>45708</v>
      </c>
      <c r="BN34" s="35">
        <v>1</v>
      </c>
      <c r="BO34" s="11">
        <v>5</v>
      </c>
      <c r="BP34" s="16">
        <f>$R34*Z34</f>
        <v>0</v>
      </c>
      <c r="BQ34" s="16">
        <f t="shared" si="12"/>
        <v>2599</v>
      </c>
      <c r="BR34" s="16">
        <f t="shared" si="12"/>
        <v>2599</v>
      </c>
      <c r="BS34" s="16">
        <f t="shared" si="9"/>
        <v>2599</v>
      </c>
      <c r="BT34" s="17">
        <f t="shared" si="10"/>
        <v>3118.8</v>
      </c>
      <c r="BU34" s="28">
        <f t="shared" si="3"/>
        <v>3118.8</v>
      </c>
      <c r="BV34" s="28">
        <f t="shared" si="4"/>
        <v>4158.4000000000005</v>
      </c>
      <c r="BW34" s="28">
        <f t="shared" si="5"/>
        <v>4158.4000000000005</v>
      </c>
    </row>
    <row r="35" spans="1:75" ht="17.399999999999999" x14ac:dyDescent="0.25">
      <c r="A35" s="69">
        <f t="shared" si="13"/>
        <v>34</v>
      </c>
      <c r="B35" s="73" t="s">
        <v>1558</v>
      </c>
      <c r="C35" s="71" t="s">
        <v>243</v>
      </c>
      <c r="D35" s="71" t="s">
        <v>1531</v>
      </c>
      <c r="E35" s="71" t="s">
        <v>1532</v>
      </c>
      <c r="F35" s="71" t="s">
        <v>1533</v>
      </c>
      <c r="G35" s="71" t="s">
        <v>840</v>
      </c>
      <c r="H35" s="71" t="s">
        <v>1441</v>
      </c>
      <c r="I35" s="71" t="str">
        <f>VLOOKUP(H35,[1]Sheet1!$C:$C,1,0)</f>
        <v>SC2462SO-Q-CJ-10CR-2462</v>
      </c>
      <c r="J35" s="71"/>
      <c r="K35" s="71"/>
      <c r="L35" s="73" t="s">
        <v>1562</v>
      </c>
      <c r="M35" s="80">
        <v>100000</v>
      </c>
      <c r="N35" s="72" t="s">
        <v>382</v>
      </c>
      <c r="O35" s="73"/>
      <c r="P35" s="71" t="s">
        <v>1073</v>
      </c>
      <c r="Q35" s="71"/>
      <c r="R35" s="100">
        <v>0.52</v>
      </c>
      <c r="S35" s="75">
        <f t="shared" si="7"/>
        <v>7800</v>
      </c>
      <c r="T35" s="91">
        <v>0</v>
      </c>
      <c r="U35" s="76">
        <f t="shared" si="1"/>
        <v>15000</v>
      </c>
      <c r="V35" s="80"/>
      <c r="W35" s="80"/>
      <c r="X35" s="80"/>
      <c r="Y35" s="72"/>
      <c r="Z35" s="72"/>
      <c r="AA35" s="72"/>
      <c r="AB35" s="72"/>
      <c r="AC35" s="72"/>
      <c r="AD35" s="77"/>
      <c r="AE35" s="75"/>
      <c r="AF35" s="75">
        <v>5000</v>
      </c>
      <c r="AG35" s="75">
        <v>10000</v>
      </c>
      <c r="AH35" s="75">
        <v>5000</v>
      </c>
      <c r="AI35" s="75">
        <v>10000</v>
      </c>
      <c r="AJ35" s="75">
        <v>10000</v>
      </c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19" t="s">
        <v>494</v>
      </c>
      <c r="AX35" s="19" t="s">
        <v>85</v>
      </c>
      <c r="AY35" s="19" t="s">
        <v>261</v>
      </c>
      <c r="AZ35" s="19" t="s">
        <v>62</v>
      </c>
      <c r="BA35" s="19" t="s">
        <v>86</v>
      </c>
      <c r="BB35" s="19" t="s">
        <v>1547</v>
      </c>
      <c r="BC35" s="19" t="s">
        <v>1561</v>
      </c>
      <c r="BD35" s="19" t="s">
        <v>1077</v>
      </c>
      <c r="BE35" s="19"/>
      <c r="BF35" s="19"/>
      <c r="BG35" s="24">
        <v>2</v>
      </c>
      <c r="BH35" s="19">
        <v>45736</v>
      </c>
      <c r="BI35" s="25">
        <v>45463</v>
      </c>
      <c r="BJ35" s="25">
        <v>45493</v>
      </c>
      <c r="BK35" s="25">
        <v>45555</v>
      </c>
      <c r="BL35" s="25">
        <v>45646</v>
      </c>
      <c r="BM35" s="25">
        <v>45708</v>
      </c>
      <c r="BN35" s="37">
        <v>1</v>
      </c>
      <c r="BO35" s="21">
        <v>5</v>
      </c>
      <c r="BP35" s="27">
        <f>$R35*Z35</f>
        <v>0</v>
      </c>
      <c r="BQ35" s="27">
        <f t="shared" si="12"/>
        <v>0</v>
      </c>
      <c r="BR35" s="27">
        <f t="shared" si="12"/>
        <v>0</v>
      </c>
      <c r="BS35" s="27">
        <f t="shared" si="9"/>
        <v>0</v>
      </c>
      <c r="BT35" s="28">
        <f t="shared" si="10"/>
        <v>0</v>
      </c>
      <c r="BU35" s="28">
        <f t="shared" si="3"/>
        <v>0</v>
      </c>
      <c r="BV35" s="28">
        <f t="shared" si="4"/>
        <v>2600</v>
      </c>
      <c r="BW35" s="28">
        <f t="shared" si="5"/>
        <v>5200</v>
      </c>
    </row>
    <row r="36" spans="1:75" ht="17.399999999999999" x14ac:dyDescent="0.25">
      <c r="A36" s="69">
        <f t="shared" si="13"/>
        <v>35</v>
      </c>
      <c r="B36" s="73" t="s">
        <v>1563</v>
      </c>
      <c r="C36" s="71" t="s">
        <v>235</v>
      </c>
      <c r="D36" s="71" t="s">
        <v>1531</v>
      </c>
      <c r="E36" s="71" t="s">
        <v>1532</v>
      </c>
      <c r="F36" s="71" t="s">
        <v>1551</v>
      </c>
      <c r="G36" s="71" t="s">
        <v>1564</v>
      </c>
      <c r="H36" s="71" t="s">
        <v>1565</v>
      </c>
      <c r="I36" s="71" t="str">
        <f>VLOOKUP(H36,[1]Sheet1!$C:$C,1,0)</f>
        <v>SC25891CUA-A-Q(STC11210G-Q)-25891C</v>
      </c>
      <c r="J36" s="71"/>
      <c r="K36" s="71"/>
      <c r="L36" s="73" t="s">
        <v>1566</v>
      </c>
      <c r="M36" s="80">
        <v>300000</v>
      </c>
      <c r="N36" s="72" t="s">
        <v>382</v>
      </c>
      <c r="O36" s="73"/>
      <c r="P36" s="71" t="s">
        <v>1567</v>
      </c>
      <c r="Q36" s="71"/>
      <c r="R36" s="100">
        <v>0.81</v>
      </c>
      <c r="S36" s="75">
        <f t="shared" si="7"/>
        <v>4860</v>
      </c>
      <c r="T36" s="91">
        <v>0</v>
      </c>
      <c r="U36" s="76">
        <f t="shared" si="1"/>
        <v>6000</v>
      </c>
      <c r="V36" s="80"/>
      <c r="W36" s="80"/>
      <c r="X36" s="80"/>
      <c r="Y36" s="72"/>
      <c r="Z36" s="72"/>
      <c r="AA36" s="72"/>
      <c r="AB36" s="72"/>
      <c r="AC36" s="72"/>
      <c r="AD36" s="77"/>
      <c r="AE36" s="75"/>
      <c r="AF36" s="75">
        <v>3000</v>
      </c>
      <c r="AG36" s="75">
        <v>3000</v>
      </c>
      <c r="AH36" s="75">
        <v>3000</v>
      </c>
      <c r="AI36" s="75">
        <v>3000</v>
      </c>
      <c r="AJ36" s="75">
        <v>3000</v>
      </c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10" t="s">
        <v>978</v>
      </c>
      <c r="AX36" s="10" t="s">
        <v>85</v>
      </c>
      <c r="AY36" s="19" t="s">
        <v>258</v>
      </c>
      <c r="AZ36" s="10" t="s">
        <v>62</v>
      </c>
      <c r="BA36" s="10" t="s">
        <v>96</v>
      </c>
      <c r="BB36" s="10" t="s">
        <v>1568</v>
      </c>
      <c r="BC36" s="10" t="s">
        <v>1569</v>
      </c>
      <c r="BD36" s="10"/>
      <c r="BE36" s="10"/>
      <c r="BF36" s="10"/>
      <c r="BG36" s="13">
        <v>1</v>
      </c>
      <c r="BH36" s="10">
        <v>46162</v>
      </c>
      <c r="BI36" s="14">
        <v>45371</v>
      </c>
      <c r="BJ36" s="14">
        <v>45432</v>
      </c>
      <c r="BK36" s="14">
        <v>45585</v>
      </c>
      <c r="BL36" s="14">
        <v>45930</v>
      </c>
      <c r="BM36" s="14">
        <v>46073</v>
      </c>
      <c r="BN36" s="35">
        <v>1</v>
      </c>
      <c r="BO36" s="11">
        <v>5</v>
      </c>
      <c r="BP36" s="16">
        <f>$R36*Z36</f>
        <v>0</v>
      </c>
      <c r="BQ36" s="16">
        <f t="shared" si="12"/>
        <v>0</v>
      </c>
      <c r="BR36" s="16">
        <f t="shared" si="12"/>
        <v>0</v>
      </c>
      <c r="BS36" s="16">
        <f t="shared" si="9"/>
        <v>0</v>
      </c>
      <c r="BT36" s="17">
        <f t="shared" si="10"/>
        <v>0</v>
      </c>
      <c r="BU36" s="28">
        <f t="shared" si="3"/>
        <v>0</v>
      </c>
      <c r="BV36" s="28">
        <f t="shared" si="4"/>
        <v>2430</v>
      </c>
      <c r="BW36" s="28">
        <f t="shared" si="5"/>
        <v>2430</v>
      </c>
    </row>
    <row r="37" spans="1:75" ht="17.399999999999999" x14ac:dyDescent="0.25">
      <c r="A37" s="69">
        <f t="shared" si="13"/>
        <v>36</v>
      </c>
      <c r="B37" s="73" t="s">
        <v>1563</v>
      </c>
      <c r="C37" s="71" t="s">
        <v>235</v>
      </c>
      <c r="D37" s="71" t="s">
        <v>1531</v>
      </c>
      <c r="E37" s="71" t="s">
        <v>1532</v>
      </c>
      <c r="F37" s="71" t="s">
        <v>1551</v>
      </c>
      <c r="G37" s="71" t="s">
        <v>1570</v>
      </c>
      <c r="H37" s="71" t="s">
        <v>1571</v>
      </c>
      <c r="I37" s="71" t="str">
        <f>VLOOKUP(H37,[1]Sheet1!$C:$C,1,0)</f>
        <v>SC25891SE-Q-CG-40CR-5891</v>
      </c>
      <c r="J37" s="71"/>
      <c r="K37" s="71"/>
      <c r="L37" s="73" t="s">
        <v>1566</v>
      </c>
      <c r="M37" s="80">
        <v>300000</v>
      </c>
      <c r="N37" s="72" t="s">
        <v>382</v>
      </c>
      <c r="O37" s="73"/>
      <c r="P37" s="71" t="s">
        <v>1567</v>
      </c>
      <c r="Q37" s="71"/>
      <c r="R37" s="100">
        <v>0.80230000000000001</v>
      </c>
      <c r="S37" s="75">
        <f t="shared" si="7"/>
        <v>8023</v>
      </c>
      <c r="T37" s="91">
        <v>0</v>
      </c>
      <c r="U37" s="76">
        <f t="shared" si="1"/>
        <v>10000</v>
      </c>
      <c r="V37" s="80"/>
      <c r="W37" s="80"/>
      <c r="X37" s="80"/>
      <c r="Y37" s="72"/>
      <c r="Z37" s="72"/>
      <c r="AA37" s="72"/>
      <c r="AB37" s="72"/>
      <c r="AC37" s="72"/>
      <c r="AD37" s="77"/>
      <c r="AE37" s="75"/>
      <c r="AF37" s="75">
        <v>5000</v>
      </c>
      <c r="AG37" s="75">
        <v>5000</v>
      </c>
      <c r="AH37" s="75">
        <v>5000</v>
      </c>
      <c r="AI37" s="75">
        <v>5000</v>
      </c>
      <c r="AJ37" s="75">
        <v>5000</v>
      </c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19"/>
      <c r="AX37" s="19" t="s">
        <v>494</v>
      </c>
      <c r="AY37" s="19" t="s">
        <v>261</v>
      </c>
      <c r="AZ37" s="19"/>
      <c r="BA37" s="19"/>
      <c r="BB37" s="19"/>
      <c r="BC37" s="19"/>
      <c r="BD37" s="19"/>
      <c r="BE37" s="19"/>
      <c r="BF37" s="19"/>
      <c r="BG37" s="24"/>
      <c r="BH37" s="19"/>
      <c r="BI37" s="25"/>
      <c r="BJ37" s="25"/>
      <c r="BK37" s="25"/>
      <c r="BL37" s="25"/>
      <c r="BM37" s="25"/>
      <c r="BN37" s="37"/>
      <c r="BO37" s="21"/>
      <c r="BP37" s="27"/>
      <c r="BQ37" s="27"/>
      <c r="BR37" s="27"/>
      <c r="BS37" s="27">
        <f t="shared" si="9"/>
        <v>0</v>
      </c>
      <c r="BT37" s="28">
        <f t="shared" si="10"/>
        <v>0</v>
      </c>
      <c r="BU37" s="28">
        <f t="shared" si="3"/>
        <v>0</v>
      </c>
      <c r="BV37" s="28">
        <f t="shared" si="4"/>
        <v>4011.5</v>
      </c>
      <c r="BW37" s="28">
        <f t="shared" si="5"/>
        <v>4011.5</v>
      </c>
    </row>
    <row r="38" spans="1:75" ht="17.399999999999999" x14ac:dyDescent="0.25">
      <c r="A38" s="69">
        <f t="shared" si="13"/>
        <v>37</v>
      </c>
      <c r="B38" s="73" t="s">
        <v>1563</v>
      </c>
      <c r="C38" s="71" t="s">
        <v>235</v>
      </c>
      <c r="D38" s="71" t="s">
        <v>1531</v>
      </c>
      <c r="E38" s="71" t="s">
        <v>1532</v>
      </c>
      <c r="F38" s="71" t="s">
        <v>1551</v>
      </c>
      <c r="G38" s="71" t="s">
        <v>1572</v>
      </c>
      <c r="H38" s="71" t="s">
        <v>1573</v>
      </c>
      <c r="I38" s="71" t="str">
        <f>VLOOKUP(H38,[1]Sheet1!$C:$C,1,0)</f>
        <v>SC2432SO-N-Q-CI-10CR-2432</v>
      </c>
      <c r="J38" s="71"/>
      <c r="K38" s="71"/>
      <c r="L38" s="73" t="s">
        <v>1574</v>
      </c>
      <c r="M38" s="80">
        <v>200000</v>
      </c>
      <c r="N38" s="72" t="s">
        <v>361</v>
      </c>
      <c r="O38" s="73"/>
      <c r="P38" s="71" t="s">
        <v>504</v>
      </c>
      <c r="Q38" s="71"/>
      <c r="R38" s="100">
        <v>0.51980000000000004</v>
      </c>
      <c r="S38" s="75">
        <f t="shared" si="7"/>
        <v>37425.600000000006</v>
      </c>
      <c r="T38" s="91">
        <v>0</v>
      </c>
      <c r="U38" s="76">
        <f t="shared" si="1"/>
        <v>72000</v>
      </c>
      <c r="V38" s="80">
        <v>3000</v>
      </c>
      <c r="W38" s="80">
        <v>30000</v>
      </c>
      <c r="X38" s="80"/>
      <c r="Y38" s="72">
        <v>5000</v>
      </c>
      <c r="Z38" s="72">
        <v>20000</v>
      </c>
      <c r="AA38" s="72">
        <v>20000</v>
      </c>
      <c r="AB38" s="72">
        <v>20000</v>
      </c>
      <c r="AC38" s="72">
        <v>20000</v>
      </c>
      <c r="AD38" s="77">
        <v>21000</v>
      </c>
      <c r="AE38" s="75">
        <v>21000</v>
      </c>
      <c r="AF38" s="75">
        <v>21000</v>
      </c>
      <c r="AG38" s="75">
        <v>30000</v>
      </c>
      <c r="AH38" s="75">
        <v>21000</v>
      </c>
      <c r="AI38" s="75">
        <v>30000</v>
      </c>
      <c r="AJ38" s="75">
        <v>30000</v>
      </c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10" t="s">
        <v>978</v>
      </c>
      <c r="AX38" s="10" t="s">
        <v>85</v>
      </c>
      <c r="AY38" s="19" t="s">
        <v>261</v>
      </c>
      <c r="AZ38" s="10" t="s">
        <v>62</v>
      </c>
      <c r="BA38" s="10" t="s">
        <v>96</v>
      </c>
      <c r="BB38" s="10" t="s">
        <v>1575</v>
      </c>
      <c r="BC38" s="10" t="s">
        <v>1575</v>
      </c>
      <c r="BD38" s="10" t="s">
        <v>1576</v>
      </c>
      <c r="BE38" s="10" t="s">
        <v>1577</v>
      </c>
      <c r="BF38" s="10"/>
      <c r="BG38" s="13">
        <v>1</v>
      </c>
      <c r="BH38" s="10">
        <v>45899</v>
      </c>
      <c r="BI38" s="14">
        <v>45593</v>
      </c>
      <c r="BJ38" s="14">
        <v>45616</v>
      </c>
      <c r="BK38" s="14">
        <v>45646</v>
      </c>
      <c r="BL38" s="14">
        <v>45708</v>
      </c>
      <c r="BM38" s="14">
        <v>45807</v>
      </c>
      <c r="BN38" s="35">
        <v>1</v>
      </c>
      <c r="BO38" s="11">
        <v>5</v>
      </c>
      <c r="BP38" s="16">
        <f>$R38*Z38</f>
        <v>10396</v>
      </c>
      <c r="BQ38" s="16">
        <f>$R38*AA38</f>
        <v>10396</v>
      </c>
      <c r="BR38" s="16">
        <f>$R38*AB38</f>
        <v>10396</v>
      </c>
      <c r="BS38" s="16">
        <f t="shared" si="9"/>
        <v>10396</v>
      </c>
      <c r="BT38" s="17">
        <f t="shared" si="10"/>
        <v>10915.800000000001</v>
      </c>
      <c r="BU38" s="28">
        <f t="shared" si="3"/>
        <v>10915.800000000001</v>
      </c>
      <c r="BV38" s="28">
        <f t="shared" si="4"/>
        <v>10915.800000000001</v>
      </c>
      <c r="BW38" s="28">
        <f t="shared" si="5"/>
        <v>15594.000000000002</v>
      </c>
    </row>
    <row r="39" spans="1:75" ht="17.399999999999999" x14ac:dyDescent="0.25">
      <c r="A39" s="69">
        <f t="shared" si="13"/>
        <v>38</v>
      </c>
      <c r="B39" s="73" t="s">
        <v>1810</v>
      </c>
      <c r="C39" s="71" t="s">
        <v>243</v>
      </c>
      <c r="D39" s="71" t="s">
        <v>1811</v>
      </c>
      <c r="E39" s="71" t="s">
        <v>978</v>
      </c>
      <c r="F39" s="71" t="s">
        <v>978</v>
      </c>
      <c r="G39" s="71" t="s">
        <v>1812</v>
      </c>
      <c r="H39" s="71" t="s">
        <v>1813</v>
      </c>
      <c r="I39" s="71" t="str">
        <f>VLOOKUP(H39,[1]Sheet1!$C:$C,1,0)</f>
        <v>SC1002N2W-CL-00AK-N41F</v>
      </c>
      <c r="J39" s="71"/>
      <c r="K39" s="71"/>
      <c r="L39" s="73"/>
      <c r="M39" s="80"/>
      <c r="N39" s="72"/>
      <c r="O39" s="73"/>
      <c r="P39" s="71"/>
      <c r="Q39" s="71"/>
      <c r="R39" s="100">
        <v>0.18</v>
      </c>
      <c r="S39" s="75"/>
      <c r="T39" s="91"/>
      <c r="U39" s="76">
        <f t="shared" si="1"/>
        <v>500000</v>
      </c>
      <c r="V39" s="80"/>
      <c r="W39" s="80"/>
      <c r="X39" s="80"/>
      <c r="Y39" s="72"/>
      <c r="Z39" s="72"/>
      <c r="AA39" s="72"/>
      <c r="AB39" s="72"/>
      <c r="AC39" s="72"/>
      <c r="AD39" s="77"/>
      <c r="AE39" s="75"/>
      <c r="AF39" s="75"/>
      <c r="AG39" s="123">
        <v>500000</v>
      </c>
      <c r="AH39" s="75"/>
      <c r="AI39" s="75"/>
      <c r="AJ39" s="75">
        <v>0</v>
      </c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10"/>
      <c r="AX39" s="10" t="s">
        <v>1706</v>
      </c>
      <c r="AY39" s="19" t="s">
        <v>261</v>
      </c>
      <c r="AZ39" s="10"/>
      <c r="BA39" s="10"/>
      <c r="BB39" s="10"/>
      <c r="BC39" s="10"/>
      <c r="BD39" s="10"/>
      <c r="BE39" s="10"/>
      <c r="BF39" s="10"/>
      <c r="BG39" s="13"/>
      <c r="BH39" s="10"/>
      <c r="BI39" s="14"/>
      <c r="BJ39" s="14"/>
      <c r="BK39" s="14"/>
      <c r="BL39" s="14"/>
      <c r="BM39" s="14"/>
      <c r="BN39" s="35"/>
      <c r="BO39" s="11"/>
      <c r="BP39" s="16"/>
      <c r="BQ39" s="16"/>
      <c r="BR39" s="16"/>
      <c r="BS39" s="16">
        <f t="shared" si="9"/>
        <v>0</v>
      </c>
      <c r="BT39" s="17">
        <f t="shared" si="10"/>
        <v>0</v>
      </c>
      <c r="BU39" s="28">
        <f t="shared" si="3"/>
        <v>0</v>
      </c>
      <c r="BV39" s="28">
        <f t="shared" si="4"/>
        <v>0</v>
      </c>
      <c r="BW39" s="28">
        <f t="shared" si="5"/>
        <v>90000</v>
      </c>
    </row>
    <row r="40" spans="1:75" ht="17.399999999999999" x14ac:dyDescent="0.25">
      <c r="A40" s="69">
        <f t="shared" si="13"/>
        <v>39</v>
      </c>
      <c r="B40" s="73" t="s">
        <v>1563</v>
      </c>
      <c r="C40" s="71" t="s">
        <v>235</v>
      </c>
      <c r="D40" s="71" t="s">
        <v>1531</v>
      </c>
      <c r="E40" s="71" t="s">
        <v>1532</v>
      </c>
      <c r="F40" s="71" t="s">
        <v>1551</v>
      </c>
      <c r="G40" s="71" t="s">
        <v>1572</v>
      </c>
      <c r="H40" s="71" t="s">
        <v>1573</v>
      </c>
      <c r="I40" s="71" t="str">
        <f>VLOOKUP(H40,[1]Sheet1!$C:$C,1,0)</f>
        <v>SC2432SO-N-Q-CI-10CR-2432</v>
      </c>
      <c r="J40" s="71"/>
      <c r="K40" s="71"/>
      <c r="L40" s="73"/>
      <c r="M40" s="80"/>
      <c r="N40" s="72"/>
      <c r="O40" s="73"/>
      <c r="P40" s="71"/>
      <c r="Q40" s="71"/>
      <c r="R40" s="100">
        <v>0.51980000000000004</v>
      </c>
      <c r="S40" s="75">
        <f>R40*U40</f>
        <v>7797.0000000000009</v>
      </c>
      <c r="T40" s="91"/>
      <c r="U40" s="76">
        <f t="shared" si="1"/>
        <v>15000</v>
      </c>
      <c r="V40" s="80"/>
      <c r="W40" s="80"/>
      <c r="X40" s="80"/>
      <c r="Y40" s="72"/>
      <c r="Z40" s="72"/>
      <c r="AA40" s="72"/>
      <c r="AB40" s="72"/>
      <c r="AC40" s="72"/>
      <c r="AD40" s="77"/>
      <c r="AE40" s="75">
        <v>5000</v>
      </c>
      <c r="AF40" s="75">
        <v>5000</v>
      </c>
      <c r="AG40" s="75">
        <v>5000</v>
      </c>
      <c r="AH40" s="75">
        <v>5000</v>
      </c>
      <c r="AI40" s="75">
        <v>5000</v>
      </c>
      <c r="AJ40" s="75">
        <v>5000</v>
      </c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10"/>
      <c r="AX40" s="10" t="s">
        <v>85</v>
      </c>
      <c r="AY40" s="19" t="s">
        <v>261</v>
      </c>
      <c r="AZ40" s="10"/>
      <c r="BA40" s="10"/>
      <c r="BB40" s="10"/>
      <c r="BC40" s="10"/>
      <c r="BD40" s="10"/>
      <c r="BE40" s="10"/>
      <c r="BF40" s="10"/>
      <c r="BG40" s="13"/>
      <c r="BH40" s="10"/>
      <c r="BI40" s="14"/>
      <c r="BJ40" s="14"/>
      <c r="BK40" s="14"/>
      <c r="BL40" s="14"/>
      <c r="BM40" s="14"/>
      <c r="BN40" s="35"/>
      <c r="BO40" s="11"/>
      <c r="BP40" s="16"/>
      <c r="BQ40" s="16">
        <f t="shared" ref="BQ40:BR42" si="14">$R40*AA40</f>
        <v>0</v>
      </c>
      <c r="BR40" s="16">
        <f t="shared" si="14"/>
        <v>0</v>
      </c>
      <c r="BS40" s="16">
        <f t="shared" si="9"/>
        <v>0</v>
      </c>
      <c r="BT40" s="17">
        <f t="shared" si="10"/>
        <v>0</v>
      </c>
      <c r="BU40" s="28">
        <f t="shared" si="3"/>
        <v>2599</v>
      </c>
      <c r="BV40" s="28">
        <f t="shared" si="4"/>
        <v>2599</v>
      </c>
      <c r="BW40" s="28">
        <f t="shared" si="5"/>
        <v>2599</v>
      </c>
    </row>
    <row r="41" spans="1:75" ht="17.399999999999999" x14ac:dyDescent="0.25">
      <c r="A41" s="69">
        <f t="shared" si="13"/>
        <v>40</v>
      </c>
      <c r="B41" s="73" t="s">
        <v>1563</v>
      </c>
      <c r="C41" s="71" t="s">
        <v>235</v>
      </c>
      <c r="D41" s="71" t="s">
        <v>1531</v>
      </c>
      <c r="E41" s="71" t="s">
        <v>1532</v>
      </c>
      <c r="F41" s="71" t="s">
        <v>1551</v>
      </c>
      <c r="G41" s="71" t="s">
        <v>568</v>
      </c>
      <c r="H41" s="71" t="s">
        <v>1559</v>
      </c>
      <c r="I41" s="71" t="str">
        <f>VLOOKUP(H41,[1]Sheet1!$C:$C,1,0)</f>
        <v>SC2432SO-Q-CM-10CR-2432</v>
      </c>
      <c r="J41" s="71"/>
      <c r="K41" s="71"/>
      <c r="L41" s="73" t="s">
        <v>1579</v>
      </c>
      <c r="M41" s="80">
        <v>100000</v>
      </c>
      <c r="N41" s="72" t="s">
        <v>382</v>
      </c>
      <c r="O41" s="73"/>
      <c r="P41" s="71" t="s">
        <v>504</v>
      </c>
      <c r="Q41" s="71"/>
      <c r="R41" s="100">
        <v>0.51980000000000004</v>
      </c>
      <c r="S41" s="75">
        <f>R41*U41</f>
        <v>7797.0000000000009</v>
      </c>
      <c r="T41" s="91">
        <v>0</v>
      </c>
      <c r="U41" s="76">
        <f t="shared" si="1"/>
        <v>15000</v>
      </c>
      <c r="V41" s="80"/>
      <c r="W41" s="80"/>
      <c r="X41" s="80"/>
      <c r="Y41" s="72"/>
      <c r="Z41" s="72"/>
      <c r="AA41" s="72"/>
      <c r="AB41" s="72"/>
      <c r="AC41" s="72"/>
      <c r="AD41" s="77"/>
      <c r="AE41" s="75">
        <v>5000</v>
      </c>
      <c r="AF41" s="75">
        <v>5000</v>
      </c>
      <c r="AG41" s="75">
        <v>5000</v>
      </c>
      <c r="AH41" s="75">
        <v>5000</v>
      </c>
      <c r="AI41" s="75">
        <v>5000</v>
      </c>
      <c r="AJ41" s="75">
        <v>5000</v>
      </c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19" t="s">
        <v>978</v>
      </c>
      <c r="AX41" s="19" t="s">
        <v>85</v>
      </c>
      <c r="AY41" s="19" t="s">
        <v>261</v>
      </c>
      <c r="AZ41" s="19" t="s">
        <v>62</v>
      </c>
      <c r="BA41" s="19" t="s">
        <v>86</v>
      </c>
      <c r="BB41" s="19" t="s">
        <v>87</v>
      </c>
      <c r="BC41" s="19" t="s">
        <v>1580</v>
      </c>
      <c r="BD41" s="19"/>
      <c r="BE41" s="19"/>
      <c r="BF41" s="19"/>
      <c r="BG41" s="24"/>
      <c r="BH41" s="19"/>
      <c r="BI41" s="25"/>
      <c r="BJ41" s="25"/>
      <c r="BK41" s="25"/>
      <c r="BL41" s="25"/>
      <c r="BM41" s="25"/>
      <c r="BN41" s="37"/>
      <c r="BO41" s="21"/>
      <c r="BP41" s="27">
        <f>$R41*Z41</f>
        <v>0</v>
      </c>
      <c r="BQ41" s="27">
        <f t="shared" si="14"/>
        <v>0</v>
      </c>
      <c r="BR41" s="27">
        <f t="shared" si="14"/>
        <v>0</v>
      </c>
      <c r="BS41" s="27">
        <f t="shared" si="9"/>
        <v>0</v>
      </c>
      <c r="BT41" s="28">
        <f t="shared" si="10"/>
        <v>0</v>
      </c>
      <c r="BU41" s="28">
        <f t="shared" si="3"/>
        <v>2599</v>
      </c>
      <c r="BV41" s="28">
        <f t="shared" si="4"/>
        <v>2599</v>
      </c>
      <c r="BW41" s="28">
        <f t="shared" si="5"/>
        <v>2599</v>
      </c>
    </row>
    <row r="42" spans="1:75" ht="17.399999999999999" x14ac:dyDescent="0.25">
      <c r="A42" s="69">
        <f t="shared" si="13"/>
        <v>41</v>
      </c>
      <c r="B42" s="73" t="s">
        <v>1563</v>
      </c>
      <c r="C42" s="71" t="s">
        <v>235</v>
      </c>
      <c r="D42" s="71" t="s">
        <v>1531</v>
      </c>
      <c r="E42" s="71" t="s">
        <v>1532</v>
      </c>
      <c r="F42" s="71" t="s">
        <v>1551</v>
      </c>
      <c r="G42" s="71" t="s">
        <v>568</v>
      </c>
      <c r="H42" s="71" t="s">
        <v>1559</v>
      </c>
      <c r="I42" s="71" t="str">
        <f>VLOOKUP(H42,[1]Sheet1!$C:$C,1,0)</f>
        <v>SC2432SO-Q-CM-10CR-2432</v>
      </c>
      <c r="J42" s="71"/>
      <c r="K42" s="71"/>
      <c r="L42" s="73" t="s">
        <v>1581</v>
      </c>
      <c r="M42" s="80">
        <v>100000</v>
      </c>
      <c r="N42" s="72" t="s">
        <v>382</v>
      </c>
      <c r="O42" s="73"/>
      <c r="P42" s="71" t="s">
        <v>504</v>
      </c>
      <c r="Q42" s="71"/>
      <c r="R42" s="100">
        <v>0.51980000000000004</v>
      </c>
      <c r="S42" s="75">
        <f>R42*U42</f>
        <v>7797.0000000000009</v>
      </c>
      <c r="T42" s="91">
        <v>0</v>
      </c>
      <c r="U42" s="76">
        <f t="shared" si="1"/>
        <v>15000</v>
      </c>
      <c r="V42" s="80"/>
      <c r="W42" s="80"/>
      <c r="X42" s="80"/>
      <c r="Y42" s="72"/>
      <c r="Z42" s="72"/>
      <c r="AA42" s="72"/>
      <c r="AB42" s="72"/>
      <c r="AC42" s="72"/>
      <c r="AD42" s="77"/>
      <c r="AE42" s="75">
        <v>5000</v>
      </c>
      <c r="AF42" s="75">
        <v>5000</v>
      </c>
      <c r="AG42" s="75">
        <v>5000</v>
      </c>
      <c r="AH42" s="75">
        <v>5000</v>
      </c>
      <c r="AI42" s="75">
        <v>5000</v>
      </c>
      <c r="AJ42" s="75">
        <v>5000</v>
      </c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10" t="s">
        <v>978</v>
      </c>
      <c r="AX42" s="10" t="s">
        <v>85</v>
      </c>
      <c r="AY42" s="19" t="s">
        <v>261</v>
      </c>
      <c r="AZ42" s="10" t="s">
        <v>62</v>
      </c>
      <c r="BA42" s="10" t="s">
        <v>86</v>
      </c>
      <c r="BB42" s="10" t="s">
        <v>87</v>
      </c>
      <c r="BC42" s="10" t="s">
        <v>1580</v>
      </c>
      <c r="BD42" s="10"/>
      <c r="BE42" s="10"/>
      <c r="BF42" s="10"/>
      <c r="BG42" s="13"/>
      <c r="BH42" s="10"/>
      <c r="BI42" s="14"/>
      <c r="BJ42" s="14"/>
      <c r="BK42" s="14"/>
      <c r="BL42" s="14"/>
      <c r="BM42" s="14"/>
      <c r="BN42" s="35"/>
      <c r="BO42" s="11"/>
      <c r="BP42" s="16">
        <f>$R42*Z42</f>
        <v>0</v>
      </c>
      <c r="BQ42" s="16">
        <f t="shared" si="14"/>
        <v>0</v>
      </c>
      <c r="BR42" s="16">
        <f t="shared" si="14"/>
        <v>0</v>
      </c>
      <c r="BS42" s="16">
        <f t="shared" si="9"/>
        <v>0</v>
      </c>
      <c r="BT42" s="17">
        <f t="shared" si="10"/>
        <v>0</v>
      </c>
      <c r="BU42" s="28">
        <f t="shared" si="3"/>
        <v>2599</v>
      </c>
      <c r="BV42" s="28">
        <f t="shared" si="4"/>
        <v>2599</v>
      </c>
      <c r="BW42" s="28">
        <f t="shared" si="5"/>
        <v>2599</v>
      </c>
    </row>
    <row r="43" spans="1:75" ht="17.399999999999999" x14ac:dyDescent="0.25">
      <c r="A43" s="69">
        <f t="shared" si="13"/>
        <v>42</v>
      </c>
      <c r="B43" s="73" t="s">
        <v>1810</v>
      </c>
      <c r="C43" s="71" t="s">
        <v>243</v>
      </c>
      <c r="D43" s="71" t="s">
        <v>1811</v>
      </c>
      <c r="E43" s="71" t="s">
        <v>978</v>
      </c>
      <c r="F43" s="71" t="s">
        <v>978</v>
      </c>
      <c r="G43" s="71" t="s">
        <v>1812</v>
      </c>
      <c r="H43" s="71" t="s">
        <v>1813</v>
      </c>
      <c r="I43" s="71" t="str">
        <f>VLOOKUP(H43,[1]Sheet1!$C:$C,1,0)</f>
        <v>SC1002N2W-CL-00AK-N41F</v>
      </c>
      <c r="J43" s="71"/>
      <c r="K43" s="71"/>
      <c r="L43" s="73"/>
      <c r="M43" s="80"/>
      <c r="N43" s="72"/>
      <c r="O43" s="73"/>
      <c r="P43" s="71"/>
      <c r="Q43" s="71"/>
      <c r="R43" s="100">
        <v>0.18</v>
      </c>
      <c r="S43" s="75"/>
      <c r="T43" s="91"/>
      <c r="U43" s="76">
        <f t="shared" si="1"/>
        <v>0</v>
      </c>
      <c r="V43" s="80"/>
      <c r="W43" s="80"/>
      <c r="X43" s="80"/>
      <c r="Y43" s="72"/>
      <c r="Z43" s="72"/>
      <c r="AA43" s="72"/>
      <c r="AB43" s="72"/>
      <c r="AC43" s="72"/>
      <c r="AD43" s="77"/>
      <c r="AE43" s="75"/>
      <c r="AF43" s="75"/>
      <c r="AG43" s="75"/>
      <c r="AH43" s="75"/>
      <c r="AI43" s="75"/>
      <c r="AJ43" s="75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19"/>
      <c r="AX43" s="19"/>
      <c r="AY43" s="19" t="s">
        <v>261</v>
      </c>
      <c r="AZ43" s="19"/>
      <c r="BA43" s="19"/>
      <c r="BB43" s="19"/>
      <c r="BC43" s="19"/>
      <c r="BD43" s="19"/>
      <c r="BE43" s="19"/>
      <c r="BF43" s="19"/>
      <c r="BG43" s="24"/>
      <c r="BH43" s="19"/>
      <c r="BI43" s="25"/>
      <c r="BJ43" s="25"/>
      <c r="BK43" s="25"/>
      <c r="BL43" s="25"/>
      <c r="BM43" s="25"/>
      <c r="BN43" s="37"/>
      <c r="BO43" s="21"/>
      <c r="BP43" s="27"/>
      <c r="BQ43" s="27"/>
      <c r="BR43" s="27"/>
      <c r="BS43" s="27"/>
      <c r="BT43" s="28"/>
      <c r="BU43" s="28">
        <f t="shared" si="3"/>
        <v>0</v>
      </c>
      <c r="BV43" s="28">
        <f t="shared" si="4"/>
        <v>0</v>
      </c>
      <c r="BW43" s="28">
        <f t="shared" si="5"/>
        <v>0</v>
      </c>
    </row>
    <row r="44" spans="1:75" ht="17.399999999999999" x14ac:dyDescent="0.25">
      <c r="A44" s="69">
        <f t="shared" si="13"/>
        <v>43</v>
      </c>
      <c r="B44" s="73" t="s">
        <v>1043</v>
      </c>
      <c r="C44" s="73" t="s">
        <v>235</v>
      </c>
      <c r="D44" s="73" t="s">
        <v>1043</v>
      </c>
      <c r="E44" s="73" t="s">
        <v>978</v>
      </c>
      <c r="F44" s="73" t="s">
        <v>978</v>
      </c>
      <c r="G44" s="71" t="s">
        <v>1050</v>
      </c>
      <c r="H44" s="71" t="s">
        <v>1051</v>
      </c>
      <c r="I44" s="71" t="str">
        <f>VLOOKUP(H44,[1]Sheet1!$C:$C,1,0)</f>
        <v>SC1002S1-CG-00AK-41F</v>
      </c>
      <c r="J44" s="87"/>
      <c r="K44" s="85"/>
      <c r="L44" s="85"/>
      <c r="M44" s="85"/>
      <c r="N44" s="85"/>
      <c r="O44" s="85"/>
      <c r="P44" s="85"/>
      <c r="Q44" s="85"/>
      <c r="R44" s="100">
        <v>0.16</v>
      </c>
      <c r="S44" s="75">
        <f t="shared" ref="S44:S54" si="15">R44*U44</f>
        <v>0</v>
      </c>
      <c r="T44" s="76">
        <v>0</v>
      </c>
      <c r="U44" s="76">
        <f t="shared" si="1"/>
        <v>0</v>
      </c>
      <c r="V44" s="85"/>
      <c r="W44" s="85"/>
      <c r="X44" s="85"/>
      <c r="Y44" s="85"/>
      <c r="Z44" s="76"/>
      <c r="AA44" s="76"/>
      <c r="AB44" s="76"/>
      <c r="AC44" s="76"/>
      <c r="AD44" s="77"/>
      <c r="AE44" s="75"/>
      <c r="AF44" s="75"/>
      <c r="AG44" s="75"/>
      <c r="AH44" s="75">
        <v>0</v>
      </c>
      <c r="AI44" s="75"/>
      <c r="AJ44" s="75">
        <v>0</v>
      </c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 t="s">
        <v>689</v>
      </c>
      <c r="AY44" s="19" t="s">
        <v>261</v>
      </c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>
        <f t="shared" ref="BP44:BP54" si="16">$R44*Z44</f>
        <v>0</v>
      </c>
      <c r="BQ44" s="27">
        <f t="shared" ref="BQ44:BQ54" si="17">$R44*AA44</f>
        <v>0</v>
      </c>
      <c r="BR44" s="27">
        <f t="shared" ref="BR44:BR54" si="18">$R44*AB44</f>
        <v>0</v>
      </c>
      <c r="BS44" s="27">
        <f t="shared" ref="BS44:BS54" si="19">$R44*AC44</f>
        <v>0</v>
      </c>
      <c r="BT44" s="28">
        <f t="shared" ref="BT44:BT54" si="20">$R44*AD44</f>
        <v>0</v>
      </c>
      <c r="BU44" s="28">
        <f t="shared" si="3"/>
        <v>0</v>
      </c>
      <c r="BV44" s="28">
        <f t="shared" si="4"/>
        <v>0</v>
      </c>
      <c r="BW44" s="28">
        <f t="shared" si="5"/>
        <v>0</v>
      </c>
    </row>
    <row r="45" spans="1:75" ht="17.399999999999999" x14ac:dyDescent="0.25">
      <c r="A45" s="69">
        <f t="shared" si="13"/>
        <v>44</v>
      </c>
      <c r="B45" s="73" t="s">
        <v>1590</v>
      </c>
      <c r="C45" s="71" t="s">
        <v>235</v>
      </c>
      <c r="D45" s="71" t="s">
        <v>1531</v>
      </c>
      <c r="E45" s="71" t="s">
        <v>1532</v>
      </c>
      <c r="F45" s="71" t="s">
        <v>1551</v>
      </c>
      <c r="G45" s="71" t="s">
        <v>255</v>
      </c>
      <c r="H45" s="71" t="s">
        <v>1465</v>
      </c>
      <c r="I45" s="71" t="str">
        <f>VLOOKUP(H45,[1]Sheet1!$C:$C,1,0)</f>
        <v>SC69401DC-Q-HD-4XCR-69401</v>
      </c>
      <c r="J45" s="71"/>
      <c r="K45" s="71"/>
      <c r="L45" s="73" t="s">
        <v>1591</v>
      </c>
      <c r="M45" s="80">
        <v>200000</v>
      </c>
      <c r="N45" s="72" t="s">
        <v>251</v>
      </c>
      <c r="O45" s="73"/>
      <c r="P45" s="71" t="s">
        <v>1592</v>
      </c>
      <c r="Q45" s="71"/>
      <c r="R45" s="100">
        <v>3.6</v>
      </c>
      <c r="S45" s="75">
        <f t="shared" si="15"/>
        <v>54000</v>
      </c>
      <c r="T45" s="91">
        <v>0</v>
      </c>
      <c r="U45" s="76">
        <f t="shared" si="1"/>
        <v>15000</v>
      </c>
      <c r="V45" s="80"/>
      <c r="W45" s="80"/>
      <c r="X45" s="80"/>
      <c r="Y45" s="72"/>
      <c r="Z45" s="72"/>
      <c r="AA45" s="72"/>
      <c r="AB45" s="72"/>
      <c r="AC45" s="72"/>
      <c r="AD45" s="77"/>
      <c r="AE45" s="75">
        <v>5000</v>
      </c>
      <c r="AF45" s="75">
        <v>5000</v>
      </c>
      <c r="AG45" s="75">
        <v>5000</v>
      </c>
      <c r="AH45" s="75">
        <v>5000</v>
      </c>
      <c r="AI45" s="75">
        <v>5000</v>
      </c>
      <c r="AJ45" s="75">
        <v>5000</v>
      </c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19" t="s">
        <v>1468</v>
      </c>
      <c r="AX45" s="19" t="s">
        <v>85</v>
      </c>
      <c r="AY45" s="19" t="s">
        <v>371</v>
      </c>
      <c r="AZ45" s="19" t="s">
        <v>167</v>
      </c>
      <c r="BA45" s="19" t="s">
        <v>317</v>
      </c>
      <c r="BB45" s="19" t="s">
        <v>330</v>
      </c>
      <c r="BC45" s="19" t="s">
        <v>1589</v>
      </c>
      <c r="BD45" s="19"/>
      <c r="BE45" s="19"/>
      <c r="BF45" s="19"/>
      <c r="BG45" s="24">
        <v>1</v>
      </c>
      <c r="BH45" s="19">
        <v>45646</v>
      </c>
      <c r="BI45" s="25">
        <v>45432</v>
      </c>
      <c r="BJ45" s="25">
        <v>45432</v>
      </c>
      <c r="BK45" s="25">
        <v>45463</v>
      </c>
      <c r="BL45" s="25">
        <v>45493</v>
      </c>
      <c r="BM45" s="25">
        <v>45585</v>
      </c>
      <c r="BN45" s="37">
        <v>1</v>
      </c>
      <c r="BO45" s="21">
        <v>5</v>
      </c>
      <c r="BP45" s="27">
        <f t="shared" si="16"/>
        <v>0</v>
      </c>
      <c r="BQ45" s="27">
        <f t="shared" si="17"/>
        <v>0</v>
      </c>
      <c r="BR45" s="27">
        <f t="shared" si="18"/>
        <v>0</v>
      </c>
      <c r="BS45" s="27">
        <f t="shared" si="19"/>
        <v>0</v>
      </c>
      <c r="BT45" s="28">
        <f t="shared" si="20"/>
        <v>0</v>
      </c>
      <c r="BU45" s="28">
        <f t="shared" si="3"/>
        <v>18000</v>
      </c>
      <c r="BV45" s="28">
        <f t="shared" si="4"/>
        <v>18000</v>
      </c>
      <c r="BW45" s="28">
        <f t="shared" si="5"/>
        <v>18000</v>
      </c>
    </row>
    <row r="46" spans="1:75" ht="17.399999999999999" x14ac:dyDescent="0.25">
      <c r="A46" s="69">
        <f t="shared" si="13"/>
        <v>45</v>
      </c>
      <c r="B46" s="73" t="s">
        <v>1590</v>
      </c>
      <c r="C46" s="71" t="s">
        <v>235</v>
      </c>
      <c r="D46" s="71" t="s">
        <v>1531</v>
      </c>
      <c r="E46" s="71" t="s">
        <v>1532</v>
      </c>
      <c r="F46" s="71" t="s">
        <v>1551</v>
      </c>
      <c r="G46" s="71" t="s">
        <v>1541</v>
      </c>
      <c r="H46" s="71" t="s">
        <v>1542</v>
      </c>
      <c r="I46" s="71" t="str">
        <f>VLOOKUP(H46,[1]Sheet1!$C:$C,1,0)</f>
        <v>SC69401DC-SPI-Q-HD-4XCR-69401</v>
      </c>
      <c r="J46" s="71"/>
      <c r="K46" s="71"/>
      <c r="L46" s="73" t="s">
        <v>1591</v>
      </c>
      <c r="M46" s="80">
        <v>200000</v>
      </c>
      <c r="N46" s="72" t="s">
        <v>251</v>
      </c>
      <c r="O46" s="73"/>
      <c r="P46" s="71" t="s">
        <v>1593</v>
      </c>
      <c r="Q46" s="71"/>
      <c r="R46" s="100">
        <v>3.6046999999999998</v>
      </c>
      <c r="S46" s="75">
        <f t="shared" si="15"/>
        <v>54070.5</v>
      </c>
      <c r="T46" s="91">
        <v>0</v>
      </c>
      <c r="U46" s="76">
        <f t="shared" si="1"/>
        <v>15000</v>
      </c>
      <c r="V46" s="80"/>
      <c r="W46" s="80"/>
      <c r="X46" s="80"/>
      <c r="Y46" s="72"/>
      <c r="Z46" s="72"/>
      <c r="AA46" s="72"/>
      <c r="AB46" s="72"/>
      <c r="AC46" s="72"/>
      <c r="AD46" s="77"/>
      <c r="AE46" s="75">
        <v>5000</v>
      </c>
      <c r="AF46" s="75">
        <v>5000</v>
      </c>
      <c r="AG46" s="75">
        <v>5000</v>
      </c>
      <c r="AH46" s="75">
        <v>5000</v>
      </c>
      <c r="AI46" s="75">
        <v>5000</v>
      </c>
      <c r="AJ46" s="75">
        <v>5000</v>
      </c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10" t="s">
        <v>1468</v>
      </c>
      <c r="AX46" s="10" t="s">
        <v>85</v>
      </c>
      <c r="AY46" s="19" t="s">
        <v>371</v>
      </c>
      <c r="AZ46" s="10" t="s">
        <v>167</v>
      </c>
      <c r="BA46" s="10" t="s">
        <v>317</v>
      </c>
      <c r="BB46" s="10" t="s">
        <v>330</v>
      </c>
      <c r="BC46" s="10" t="s">
        <v>1589</v>
      </c>
      <c r="BD46" s="10"/>
      <c r="BE46" s="10"/>
      <c r="BF46" s="10"/>
      <c r="BG46" s="13"/>
      <c r="BH46" s="10"/>
      <c r="BI46" s="14"/>
      <c r="BJ46" s="14"/>
      <c r="BK46" s="14"/>
      <c r="BL46" s="14"/>
      <c r="BM46" s="14"/>
      <c r="BN46" s="35"/>
      <c r="BO46" s="11"/>
      <c r="BP46" s="16">
        <f t="shared" si="16"/>
        <v>0</v>
      </c>
      <c r="BQ46" s="16">
        <f t="shared" si="17"/>
        <v>0</v>
      </c>
      <c r="BR46" s="16">
        <f t="shared" si="18"/>
        <v>0</v>
      </c>
      <c r="BS46" s="16">
        <f t="shared" si="19"/>
        <v>0</v>
      </c>
      <c r="BT46" s="17">
        <f t="shared" si="20"/>
        <v>0</v>
      </c>
      <c r="BU46" s="28">
        <f t="shared" si="3"/>
        <v>18023.5</v>
      </c>
      <c r="BV46" s="28">
        <f t="shared" si="4"/>
        <v>18023.5</v>
      </c>
      <c r="BW46" s="28">
        <f t="shared" si="5"/>
        <v>18023.5</v>
      </c>
    </row>
    <row r="47" spans="1:75" ht="17.399999999999999" x14ac:dyDescent="0.25">
      <c r="A47" s="69">
        <f t="shared" si="13"/>
        <v>46</v>
      </c>
      <c r="B47" s="73" t="s">
        <v>1594</v>
      </c>
      <c r="C47" s="71" t="s">
        <v>243</v>
      </c>
      <c r="D47" s="71" t="s">
        <v>1531</v>
      </c>
      <c r="E47" s="71" t="s">
        <v>1532</v>
      </c>
      <c r="F47" s="71" t="s">
        <v>1533</v>
      </c>
      <c r="G47" s="71" t="s">
        <v>1595</v>
      </c>
      <c r="H47" s="71" t="s">
        <v>1596</v>
      </c>
      <c r="I47" s="71" t="str">
        <f>VLOOKUP(H47,[1]Sheet1!$C:$C,1,0)</f>
        <v>SC2434SO-CM-10CR-2434</v>
      </c>
      <c r="J47" s="71"/>
      <c r="K47" s="71"/>
      <c r="L47" s="73" t="s">
        <v>1597</v>
      </c>
      <c r="M47" s="80">
        <v>500000</v>
      </c>
      <c r="N47" s="72" t="s">
        <v>382</v>
      </c>
      <c r="O47" s="73"/>
      <c r="P47" s="71" t="s">
        <v>504</v>
      </c>
      <c r="Q47" s="71"/>
      <c r="R47" s="100">
        <v>3.8</v>
      </c>
      <c r="S47" s="75">
        <f t="shared" si="15"/>
        <v>57000</v>
      </c>
      <c r="T47" s="91">
        <v>0</v>
      </c>
      <c r="U47" s="76">
        <f t="shared" si="1"/>
        <v>15000</v>
      </c>
      <c r="V47" s="80"/>
      <c r="W47" s="80"/>
      <c r="X47" s="80"/>
      <c r="Y47" s="72"/>
      <c r="Z47" s="72"/>
      <c r="AA47" s="72"/>
      <c r="AB47" s="72"/>
      <c r="AC47" s="72"/>
      <c r="AD47" s="77"/>
      <c r="AE47" s="75">
        <v>5000</v>
      </c>
      <c r="AF47" s="75">
        <v>5000</v>
      </c>
      <c r="AG47" s="75">
        <v>5000</v>
      </c>
      <c r="AH47" s="75">
        <v>5000</v>
      </c>
      <c r="AI47" s="75">
        <v>5000</v>
      </c>
      <c r="AJ47" s="75">
        <v>5000</v>
      </c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19" t="s">
        <v>494</v>
      </c>
      <c r="AX47" s="19" t="s">
        <v>85</v>
      </c>
      <c r="AY47" s="19" t="s">
        <v>261</v>
      </c>
      <c r="AZ47" s="19" t="s">
        <v>115</v>
      </c>
      <c r="BA47" s="19" t="s">
        <v>116</v>
      </c>
      <c r="BB47" s="19"/>
      <c r="BC47" s="19"/>
      <c r="BD47" s="19"/>
      <c r="BE47" s="19"/>
      <c r="BF47" s="19"/>
      <c r="BG47" s="24"/>
      <c r="BH47" s="19">
        <v>45797</v>
      </c>
      <c r="BI47" s="25">
        <v>45555</v>
      </c>
      <c r="BJ47" s="25">
        <v>45585</v>
      </c>
      <c r="BK47" s="25">
        <v>45616</v>
      </c>
      <c r="BL47" s="25">
        <v>45371</v>
      </c>
      <c r="BM47" s="25">
        <v>45432</v>
      </c>
      <c r="BN47" s="37">
        <v>1</v>
      </c>
      <c r="BO47" s="21">
        <v>5</v>
      </c>
      <c r="BP47" s="27">
        <f t="shared" si="16"/>
        <v>0</v>
      </c>
      <c r="BQ47" s="27">
        <f t="shared" si="17"/>
        <v>0</v>
      </c>
      <c r="BR47" s="27">
        <f t="shared" si="18"/>
        <v>0</v>
      </c>
      <c r="BS47" s="27">
        <f t="shared" si="19"/>
        <v>0</v>
      </c>
      <c r="BT47" s="28">
        <f t="shared" si="20"/>
        <v>0</v>
      </c>
      <c r="BU47" s="28">
        <f t="shared" si="3"/>
        <v>19000</v>
      </c>
      <c r="BV47" s="28">
        <f t="shared" si="4"/>
        <v>19000</v>
      </c>
      <c r="BW47" s="28">
        <f t="shared" si="5"/>
        <v>19000</v>
      </c>
    </row>
    <row r="48" spans="1:75" ht="17.399999999999999" x14ac:dyDescent="0.25">
      <c r="A48" s="69">
        <f t="shared" si="13"/>
        <v>47</v>
      </c>
      <c r="B48" s="73" t="s">
        <v>1598</v>
      </c>
      <c r="C48" s="71" t="s">
        <v>243</v>
      </c>
      <c r="D48" s="71" t="s">
        <v>1599</v>
      </c>
      <c r="E48" s="71" t="s">
        <v>1532</v>
      </c>
      <c r="F48" s="71" t="s">
        <v>1600</v>
      </c>
      <c r="G48" s="71" t="s">
        <v>803</v>
      </c>
      <c r="H48" s="71" t="s">
        <v>1485</v>
      </c>
      <c r="I48" s="71" t="str">
        <f>VLOOKUP(H48,[1]Sheet1!$C:$C,1,0)</f>
        <v>SC2442UA-Q-DB-60AK-2442</v>
      </c>
      <c r="J48" s="71"/>
      <c r="K48" s="71"/>
      <c r="L48" s="73" t="s">
        <v>1234</v>
      </c>
      <c r="M48" s="80">
        <v>100000</v>
      </c>
      <c r="N48" s="72" t="s">
        <v>361</v>
      </c>
      <c r="O48" s="73"/>
      <c r="P48" s="71" t="s">
        <v>1073</v>
      </c>
      <c r="Q48" s="71"/>
      <c r="R48" s="100">
        <v>0.55000000000000004</v>
      </c>
      <c r="S48" s="75">
        <f t="shared" si="15"/>
        <v>8250</v>
      </c>
      <c r="T48" s="91">
        <v>0</v>
      </c>
      <c r="U48" s="76">
        <f t="shared" si="1"/>
        <v>15000</v>
      </c>
      <c r="V48" s="80"/>
      <c r="W48" s="80"/>
      <c r="X48" s="80"/>
      <c r="Y48" s="72">
        <v>5000</v>
      </c>
      <c r="Z48" s="72">
        <v>5000</v>
      </c>
      <c r="AA48" s="72">
        <v>5000</v>
      </c>
      <c r="AB48" s="72">
        <v>5000</v>
      </c>
      <c r="AC48" s="72"/>
      <c r="AD48" s="77"/>
      <c r="AE48" s="75">
        <v>5000</v>
      </c>
      <c r="AF48" s="75">
        <v>5000</v>
      </c>
      <c r="AG48" s="75">
        <v>5000</v>
      </c>
      <c r="AH48" s="75">
        <v>5000</v>
      </c>
      <c r="AI48" s="75">
        <v>5000</v>
      </c>
      <c r="AJ48" s="75">
        <v>5000</v>
      </c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10" t="s">
        <v>494</v>
      </c>
      <c r="AX48" s="10" t="s">
        <v>85</v>
      </c>
      <c r="AY48" s="19" t="s">
        <v>261</v>
      </c>
      <c r="AZ48" s="10" t="s">
        <v>167</v>
      </c>
      <c r="BA48" s="10" t="s">
        <v>317</v>
      </c>
      <c r="BB48" s="10"/>
      <c r="BC48" s="10"/>
      <c r="BD48" s="10"/>
      <c r="BE48" s="10"/>
      <c r="BF48" s="10"/>
      <c r="BG48" s="13">
        <v>2</v>
      </c>
      <c r="BH48" s="10">
        <v>45555</v>
      </c>
      <c r="BI48" s="14">
        <v>45402</v>
      </c>
      <c r="BJ48" s="14">
        <v>45432</v>
      </c>
      <c r="BK48" s="14">
        <v>45463</v>
      </c>
      <c r="BL48" s="14">
        <v>45493</v>
      </c>
      <c r="BM48" s="14">
        <v>45524</v>
      </c>
      <c r="BN48" s="35">
        <v>1</v>
      </c>
      <c r="BO48" s="11">
        <v>5</v>
      </c>
      <c r="BP48" s="16">
        <f t="shared" si="16"/>
        <v>2750</v>
      </c>
      <c r="BQ48" s="16">
        <f t="shared" si="17"/>
        <v>2750</v>
      </c>
      <c r="BR48" s="16">
        <f t="shared" si="18"/>
        <v>2750</v>
      </c>
      <c r="BS48" s="16">
        <f t="shared" si="19"/>
        <v>0</v>
      </c>
      <c r="BT48" s="17">
        <f t="shared" si="20"/>
        <v>0</v>
      </c>
      <c r="BU48" s="28">
        <f t="shared" si="3"/>
        <v>2750</v>
      </c>
      <c r="BV48" s="28">
        <f t="shared" si="4"/>
        <v>2750</v>
      </c>
      <c r="BW48" s="28">
        <f t="shared" si="5"/>
        <v>2750</v>
      </c>
    </row>
    <row r="49" spans="1:75" ht="17.399999999999999" x14ac:dyDescent="0.25">
      <c r="A49" s="69">
        <f t="shared" si="13"/>
        <v>48</v>
      </c>
      <c r="B49" s="73" t="s">
        <v>1601</v>
      </c>
      <c r="C49" s="71" t="s">
        <v>243</v>
      </c>
      <c r="D49" s="71" t="s">
        <v>1599</v>
      </c>
      <c r="E49" s="71" t="s">
        <v>1532</v>
      </c>
      <c r="F49" s="71" t="s">
        <v>1600</v>
      </c>
      <c r="G49" s="71" t="s">
        <v>1541</v>
      </c>
      <c r="H49" s="71" t="s">
        <v>1542</v>
      </c>
      <c r="I49" s="71" t="str">
        <f>VLOOKUP(H49,[1]Sheet1!$C:$C,1,0)</f>
        <v>SC69401DC-SPI-Q-HD-4XCR-69401</v>
      </c>
      <c r="J49" s="71"/>
      <c r="K49" s="71"/>
      <c r="L49" s="73" t="s">
        <v>1602</v>
      </c>
      <c r="M49" s="80">
        <v>96000</v>
      </c>
      <c r="N49" s="72" t="s">
        <v>367</v>
      </c>
      <c r="O49" s="73"/>
      <c r="P49" s="71" t="s">
        <v>1592</v>
      </c>
      <c r="Q49" s="71"/>
      <c r="R49" s="100">
        <v>3.8</v>
      </c>
      <c r="S49" s="75">
        <f t="shared" si="15"/>
        <v>57000</v>
      </c>
      <c r="T49" s="91">
        <v>0</v>
      </c>
      <c r="U49" s="76">
        <f t="shared" si="1"/>
        <v>15000</v>
      </c>
      <c r="V49" s="80"/>
      <c r="W49" s="80"/>
      <c r="X49" s="80"/>
      <c r="Y49" s="72"/>
      <c r="Z49" s="72"/>
      <c r="AA49" s="72"/>
      <c r="AB49" s="72"/>
      <c r="AC49" s="72"/>
      <c r="AD49" s="77"/>
      <c r="AE49" s="75">
        <v>5000</v>
      </c>
      <c r="AF49" s="75">
        <v>5000</v>
      </c>
      <c r="AG49" s="75">
        <v>5000</v>
      </c>
      <c r="AH49" s="75">
        <v>5000</v>
      </c>
      <c r="AI49" s="75">
        <v>5000</v>
      </c>
      <c r="AJ49" s="75">
        <v>5000</v>
      </c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19" t="s">
        <v>1468</v>
      </c>
      <c r="AX49" s="19" t="s">
        <v>85</v>
      </c>
      <c r="AY49" s="19" t="s">
        <v>371</v>
      </c>
      <c r="AZ49" s="19" t="s">
        <v>62</v>
      </c>
      <c r="BA49" s="19" t="s">
        <v>204</v>
      </c>
      <c r="BB49" s="19" t="s">
        <v>1603</v>
      </c>
      <c r="BC49" s="19" t="s">
        <v>1604</v>
      </c>
      <c r="BD49" s="19" t="s">
        <v>1605</v>
      </c>
      <c r="BE49" s="19"/>
      <c r="BF49" s="19"/>
      <c r="BG49" s="24">
        <v>1</v>
      </c>
      <c r="BH49" s="19">
        <v>45708</v>
      </c>
      <c r="BI49" s="25">
        <v>45555</v>
      </c>
      <c r="BJ49" s="25">
        <v>45595</v>
      </c>
      <c r="BK49" s="25">
        <v>45616</v>
      </c>
      <c r="BL49" s="25">
        <v>45646</v>
      </c>
      <c r="BM49" s="25">
        <v>45677</v>
      </c>
      <c r="BN49" s="37">
        <v>1</v>
      </c>
      <c r="BO49" s="21">
        <v>5</v>
      </c>
      <c r="BP49" s="27">
        <f t="shared" si="16"/>
        <v>0</v>
      </c>
      <c r="BQ49" s="27">
        <f t="shared" si="17"/>
        <v>0</v>
      </c>
      <c r="BR49" s="27">
        <f t="shared" si="18"/>
        <v>0</v>
      </c>
      <c r="BS49" s="27">
        <f t="shared" si="19"/>
        <v>0</v>
      </c>
      <c r="BT49" s="28">
        <f t="shared" si="20"/>
        <v>0</v>
      </c>
      <c r="BU49" s="28">
        <f t="shared" si="3"/>
        <v>19000</v>
      </c>
      <c r="BV49" s="28">
        <f t="shared" si="4"/>
        <v>19000</v>
      </c>
      <c r="BW49" s="28">
        <f t="shared" si="5"/>
        <v>19000</v>
      </c>
    </row>
    <row r="50" spans="1:75" ht="17.399999999999999" x14ac:dyDescent="0.25">
      <c r="A50" s="69">
        <f t="shared" si="13"/>
        <v>49</v>
      </c>
      <c r="B50" s="73" t="s">
        <v>1601</v>
      </c>
      <c r="C50" s="71" t="s">
        <v>243</v>
      </c>
      <c r="D50" s="71" t="s">
        <v>1599</v>
      </c>
      <c r="E50" s="71" t="s">
        <v>1532</v>
      </c>
      <c r="F50" s="71" t="s">
        <v>1600</v>
      </c>
      <c r="G50" s="71" t="s">
        <v>391</v>
      </c>
      <c r="H50" s="71" t="s">
        <v>1606</v>
      </c>
      <c r="I50" s="71" t="str">
        <f>VLOOKUP(H50,[1]Sheet1!$C:$C,1,0)</f>
        <v>SC9675IM-LRF01-Q-AB-4XAR-9675</v>
      </c>
      <c r="J50" s="71"/>
      <c r="K50" s="71"/>
      <c r="L50" s="73" t="s">
        <v>381</v>
      </c>
      <c r="M50" s="80">
        <v>180000</v>
      </c>
      <c r="N50" s="72" t="s">
        <v>251</v>
      </c>
      <c r="O50" s="73"/>
      <c r="P50" s="71" t="s">
        <v>1607</v>
      </c>
      <c r="Q50" s="71"/>
      <c r="R50" s="100">
        <v>7.35</v>
      </c>
      <c r="S50" s="75">
        <f t="shared" si="15"/>
        <v>110250</v>
      </c>
      <c r="T50" s="91">
        <v>0</v>
      </c>
      <c r="U50" s="76">
        <f t="shared" si="1"/>
        <v>15000</v>
      </c>
      <c r="V50" s="80"/>
      <c r="W50" s="80"/>
      <c r="X50" s="80"/>
      <c r="Y50" s="72"/>
      <c r="Z50" s="72"/>
      <c r="AA50" s="72"/>
      <c r="AB50" s="72"/>
      <c r="AC50" s="72"/>
      <c r="AD50" s="77"/>
      <c r="AE50" s="75">
        <v>5000</v>
      </c>
      <c r="AF50" s="75">
        <v>5000</v>
      </c>
      <c r="AG50" s="75">
        <v>5000</v>
      </c>
      <c r="AH50" s="75">
        <v>5000</v>
      </c>
      <c r="AI50" s="75">
        <v>5000</v>
      </c>
      <c r="AJ50" s="75">
        <v>5000</v>
      </c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10" t="s">
        <v>1375</v>
      </c>
      <c r="AX50" s="10" t="s">
        <v>85</v>
      </c>
      <c r="AY50" s="19" t="s">
        <v>386</v>
      </c>
      <c r="AZ50" s="10" t="s">
        <v>62</v>
      </c>
      <c r="BA50" s="10" t="s">
        <v>77</v>
      </c>
      <c r="BB50" s="10" t="s">
        <v>78</v>
      </c>
      <c r="BC50" s="10" t="s">
        <v>191</v>
      </c>
      <c r="BD50" s="10" t="s">
        <v>1608</v>
      </c>
      <c r="BE50" s="10"/>
      <c r="BF50" s="10"/>
      <c r="BG50" s="13">
        <v>1</v>
      </c>
      <c r="BH50" s="10">
        <v>45797</v>
      </c>
      <c r="BI50" s="14">
        <v>45555</v>
      </c>
      <c r="BJ50" s="14">
        <v>45595</v>
      </c>
      <c r="BK50" s="14">
        <v>45600</v>
      </c>
      <c r="BL50" s="14">
        <v>45646</v>
      </c>
      <c r="BM50" s="14">
        <v>45708</v>
      </c>
      <c r="BN50" s="35">
        <v>1</v>
      </c>
      <c r="BO50" s="11">
        <v>5</v>
      </c>
      <c r="BP50" s="16">
        <f t="shared" si="16"/>
        <v>0</v>
      </c>
      <c r="BQ50" s="16">
        <f t="shared" si="17"/>
        <v>0</v>
      </c>
      <c r="BR50" s="16">
        <f t="shared" si="18"/>
        <v>0</v>
      </c>
      <c r="BS50" s="16">
        <f t="shared" si="19"/>
        <v>0</v>
      </c>
      <c r="BT50" s="17">
        <f t="shared" si="20"/>
        <v>0</v>
      </c>
      <c r="BU50" s="28">
        <f t="shared" si="3"/>
        <v>36750</v>
      </c>
      <c r="BV50" s="28">
        <f t="shared" si="4"/>
        <v>36750</v>
      </c>
      <c r="BW50" s="28">
        <f t="shared" si="5"/>
        <v>36750</v>
      </c>
    </row>
    <row r="51" spans="1:75" ht="17.399999999999999" x14ac:dyDescent="0.25">
      <c r="A51" s="69">
        <f t="shared" si="13"/>
        <v>50</v>
      </c>
      <c r="B51" s="73" t="s">
        <v>1601</v>
      </c>
      <c r="C51" s="71" t="s">
        <v>243</v>
      </c>
      <c r="D51" s="71" t="s">
        <v>1599</v>
      </c>
      <c r="E51" s="71" t="s">
        <v>1532</v>
      </c>
      <c r="F51" s="71" t="s">
        <v>1600</v>
      </c>
      <c r="G51" s="71" t="s">
        <v>545</v>
      </c>
      <c r="H51" s="71" t="s">
        <v>585</v>
      </c>
      <c r="I51" s="71" t="str">
        <f>VLOOKUP(H51,[1]Sheet1!$C:$C,1,0)</f>
        <v>SC9642TS-EC-Q-AH-4XLR-9642</v>
      </c>
      <c r="J51" s="71"/>
      <c r="K51" s="71"/>
      <c r="L51" s="73" t="s">
        <v>448</v>
      </c>
      <c r="M51" s="80">
        <v>120000</v>
      </c>
      <c r="N51" s="72" t="s">
        <v>251</v>
      </c>
      <c r="O51" s="73"/>
      <c r="P51" s="71" t="s">
        <v>1609</v>
      </c>
      <c r="Q51" s="71"/>
      <c r="R51" s="100">
        <v>2.42</v>
      </c>
      <c r="S51" s="75">
        <f t="shared" si="15"/>
        <v>36300</v>
      </c>
      <c r="T51" s="91">
        <v>0</v>
      </c>
      <c r="U51" s="76">
        <f t="shared" si="1"/>
        <v>15000</v>
      </c>
      <c r="V51" s="80"/>
      <c r="W51" s="80"/>
      <c r="X51" s="80"/>
      <c r="Y51" s="72"/>
      <c r="Z51" s="72">
        <v>2000</v>
      </c>
      <c r="AA51" s="72">
        <v>2000</v>
      </c>
      <c r="AB51" s="72">
        <v>3000</v>
      </c>
      <c r="AC51" s="72"/>
      <c r="AD51" s="77"/>
      <c r="AE51" s="75">
        <v>5000</v>
      </c>
      <c r="AF51" s="75">
        <v>5000</v>
      </c>
      <c r="AG51" s="75">
        <v>5000</v>
      </c>
      <c r="AH51" s="75">
        <v>5000</v>
      </c>
      <c r="AI51" s="75">
        <v>5000</v>
      </c>
      <c r="AJ51" s="75">
        <v>5000</v>
      </c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19" t="s">
        <v>1375</v>
      </c>
      <c r="AX51" s="19" t="s">
        <v>85</v>
      </c>
      <c r="AY51" s="19" t="s">
        <v>386</v>
      </c>
      <c r="AZ51" s="19" t="s">
        <v>62</v>
      </c>
      <c r="BA51" s="19" t="s">
        <v>466</v>
      </c>
      <c r="BB51" s="19" t="s">
        <v>1610</v>
      </c>
      <c r="BC51" s="19" t="s">
        <v>1611</v>
      </c>
      <c r="BD51" s="19" t="s">
        <v>1612</v>
      </c>
      <c r="BE51" s="19"/>
      <c r="BF51" s="19"/>
      <c r="BG51" s="24">
        <v>1</v>
      </c>
      <c r="BH51" s="19">
        <v>45828</v>
      </c>
      <c r="BI51" s="25">
        <v>45555</v>
      </c>
      <c r="BJ51" s="25">
        <v>45595</v>
      </c>
      <c r="BK51" s="25">
        <v>45600</v>
      </c>
      <c r="BL51" s="25">
        <v>45677</v>
      </c>
      <c r="BM51" s="25">
        <v>45708</v>
      </c>
      <c r="BN51" s="37">
        <v>1</v>
      </c>
      <c r="BO51" s="21">
        <v>5</v>
      </c>
      <c r="BP51" s="27">
        <f t="shared" si="16"/>
        <v>4840</v>
      </c>
      <c r="BQ51" s="27">
        <f t="shared" si="17"/>
        <v>4840</v>
      </c>
      <c r="BR51" s="27">
        <f t="shared" si="18"/>
        <v>7260</v>
      </c>
      <c r="BS51" s="27">
        <f t="shared" si="19"/>
        <v>0</v>
      </c>
      <c r="BT51" s="28">
        <f t="shared" si="20"/>
        <v>0</v>
      </c>
      <c r="BU51" s="28">
        <f t="shared" si="3"/>
        <v>12100</v>
      </c>
      <c r="BV51" s="28">
        <f t="shared" si="4"/>
        <v>12100</v>
      </c>
      <c r="BW51" s="28">
        <f t="shared" si="5"/>
        <v>12100</v>
      </c>
    </row>
    <row r="52" spans="1:75" ht="17.399999999999999" x14ac:dyDescent="0.25">
      <c r="A52" s="69">
        <f t="shared" si="13"/>
        <v>51</v>
      </c>
      <c r="B52" s="73" t="s">
        <v>1601</v>
      </c>
      <c r="C52" s="71" t="s">
        <v>243</v>
      </c>
      <c r="D52" s="71" t="s">
        <v>1599</v>
      </c>
      <c r="E52" s="71" t="s">
        <v>1532</v>
      </c>
      <c r="F52" s="71" t="s">
        <v>1600</v>
      </c>
      <c r="G52" s="71" t="s">
        <v>337</v>
      </c>
      <c r="H52" s="71" t="s">
        <v>338</v>
      </c>
      <c r="I52" s="71" t="str">
        <f>VLOOKUP(H52,[1]Sheet1!$C:$C,1,0)</f>
        <v>SC2443SO-Q-DB-60CR-2443</v>
      </c>
      <c r="J52" s="71"/>
      <c r="K52" s="71"/>
      <c r="L52" s="73" t="s">
        <v>876</v>
      </c>
      <c r="M52" s="80">
        <v>400000</v>
      </c>
      <c r="N52" s="72" t="s">
        <v>251</v>
      </c>
      <c r="O52" s="73"/>
      <c r="P52" s="71" t="s">
        <v>1613</v>
      </c>
      <c r="Q52" s="71"/>
      <c r="R52" s="100">
        <v>0.52</v>
      </c>
      <c r="S52" s="75">
        <f t="shared" si="15"/>
        <v>7800</v>
      </c>
      <c r="T52" s="91">
        <v>0</v>
      </c>
      <c r="U52" s="76">
        <f t="shared" si="1"/>
        <v>15000</v>
      </c>
      <c r="V52" s="80"/>
      <c r="W52" s="80"/>
      <c r="X52" s="80"/>
      <c r="Y52" s="72"/>
      <c r="Z52" s="72"/>
      <c r="AA52" s="72"/>
      <c r="AB52" s="72"/>
      <c r="AC52" s="72"/>
      <c r="AD52" s="77"/>
      <c r="AE52" s="75">
        <v>5000</v>
      </c>
      <c r="AF52" s="75">
        <v>5000</v>
      </c>
      <c r="AG52" s="75">
        <v>5000</v>
      </c>
      <c r="AH52" s="75">
        <v>5000</v>
      </c>
      <c r="AI52" s="75">
        <v>5000</v>
      </c>
      <c r="AJ52" s="75">
        <v>5000</v>
      </c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10" t="s">
        <v>978</v>
      </c>
      <c r="AX52" s="10" t="s">
        <v>85</v>
      </c>
      <c r="AY52" s="19" t="s">
        <v>261</v>
      </c>
      <c r="AZ52" s="10" t="s">
        <v>62</v>
      </c>
      <c r="BA52" s="10" t="s">
        <v>96</v>
      </c>
      <c r="BB52" s="10" t="s">
        <v>1399</v>
      </c>
      <c r="BC52" s="10" t="s">
        <v>1400</v>
      </c>
      <c r="BD52" s="10" t="s">
        <v>1614</v>
      </c>
      <c r="BE52" s="10"/>
      <c r="BF52" s="10"/>
      <c r="BG52" s="13"/>
      <c r="BH52" s="10">
        <v>45950</v>
      </c>
      <c r="BI52" s="14">
        <v>45585</v>
      </c>
      <c r="BJ52" s="14">
        <v>45585</v>
      </c>
      <c r="BK52" s="14">
        <v>45616</v>
      </c>
      <c r="BL52" s="14"/>
      <c r="BM52" s="14"/>
      <c r="BN52" s="35">
        <v>1</v>
      </c>
      <c r="BO52" s="11">
        <v>5</v>
      </c>
      <c r="BP52" s="16">
        <f t="shared" si="16"/>
        <v>0</v>
      </c>
      <c r="BQ52" s="16">
        <f t="shared" si="17"/>
        <v>0</v>
      </c>
      <c r="BR52" s="16">
        <f t="shared" si="18"/>
        <v>0</v>
      </c>
      <c r="BS52" s="16">
        <f t="shared" si="19"/>
        <v>0</v>
      </c>
      <c r="BT52" s="17">
        <f t="shared" si="20"/>
        <v>0</v>
      </c>
      <c r="BU52" s="28">
        <f t="shared" si="3"/>
        <v>2600</v>
      </c>
      <c r="BV52" s="28">
        <f t="shared" si="4"/>
        <v>2600</v>
      </c>
      <c r="BW52" s="28">
        <f t="shared" si="5"/>
        <v>2600</v>
      </c>
    </row>
    <row r="53" spans="1:75" ht="17.399999999999999" x14ac:dyDescent="0.25">
      <c r="A53" s="69">
        <f t="shared" si="13"/>
        <v>52</v>
      </c>
      <c r="B53" s="73" t="s">
        <v>1615</v>
      </c>
      <c r="C53" s="71" t="s">
        <v>243</v>
      </c>
      <c r="D53" s="71" t="s">
        <v>1599</v>
      </c>
      <c r="E53" s="71" t="s">
        <v>1532</v>
      </c>
      <c r="F53" s="71" t="s">
        <v>1600</v>
      </c>
      <c r="G53" s="71" t="s">
        <v>255</v>
      </c>
      <c r="H53" s="71" t="s">
        <v>1465</v>
      </c>
      <c r="I53" s="71" t="str">
        <f>VLOOKUP(H53,[1]Sheet1!$C:$C,1,0)</f>
        <v>SC69401DC-Q-HD-4XCR-69401</v>
      </c>
      <c r="J53" s="71"/>
      <c r="K53" s="71"/>
      <c r="L53" s="73" t="s">
        <v>593</v>
      </c>
      <c r="M53" s="80">
        <v>200000</v>
      </c>
      <c r="N53" s="72" t="s">
        <v>251</v>
      </c>
      <c r="O53" s="73"/>
      <c r="P53" s="71" t="s">
        <v>1616</v>
      </c>
      <c r="Q53" s="71"/>
      <c r="R53" s="100">
        <v>3.8</v>
      </c>
      <c r="S53" s="75">
        <f t="shared" si="15"/>
        <v>57000</v>
      </c>
      <c r="T53" s="91">
        <v>0</v>
      </c>
      <c r="U53" s="76">
        <f t="shared" si="1"/>
        <v>15000</v>
      </c>
      <c r="V53" s="80"/>
      <c r="W53" s="80"/>
      <c r="X53" s="80"/>
      <c r="Y53" s="72"/>
      <c r="Z53" s="72"/>
      <c r="AA53" s="72"/>
      <c r="AB53" s="72"/>
      <c r="AC53" s="72"/>
      <c r="AD53" s="77"/>
      <c r="AE53" s="75">
        <v>5000</v>
      </c>
      <c r="AF53" s="75">
        <v>5000</v>
      </c>
      <c r="AG53" s="75">
        <v>5000</v>
      </c>
      <c r="AH53" s="75">
        <v>5000</v>
      </c>
      <c r="AI53" s="75">
        <v>5000</v>
      </c>
      <c r="AJ53" s="75">
        <v>5000</v>
      </c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19" t="s">
        <v>494</v>
      </c>
      <c r="AX53" s="19" t="s">
        <v>85</v>
      </c>
      <c r="AY53" s="19" t="s">
        <v>371</v>
      </c>
      <c r="AZ53" s="19" t="s">
        <v>62</v>
      </c>
      <c r="BA53" s="19" t="s">
        <v>466</v>
      </c>
      <c r="BB53" s="19" t="s">
        <v>1076</v>
      </c>
      <c r="BC53" s="19"/>
      <c r="BD53" s="19"/>
      <c r="BE53" s="19"/>
      <c r="BF53" s="19"/>
      <c r="BG53" s="24"/>
      <c r="BH53" s="19"/>
      <c r="BI53" s="25"/>
      <c r="BJ53" s="25"/>
      <c r="BK53" s="25"/>
      <c r="BL53" s="25"/>
      <c r="BM53" s="25"/>
      <c r="BN53" s="37"/>
      <c r="BO53" s="21"/>
      <c r="BP53" s="27">
        <f t="shared" si="16"/>
        <v>0</v>
      </c>
      <c r="BQ53" s="27">
        <f t="shared" si="17"/>
        <v>0</v>
      </c>
      <c r="BR53" s="27">
        <f t="shared" si="18"/>
        <v>0</v>
      </c>
      <c r="BS53" s="27">
        <f t="shared" si="19"/>
        <v>0</v>
      </c>
      <c r="BT53" s="28">
        <f t="shared" si="20"/>
        <v>0</v>
      </c>
      <c r="BU53" s="28">
        <f t="shared" si="3"/>
        <v>19000</v>
      </c>
      <c r="BV53" s="28">
        <f t="shared" si="4"/>
        <v>19000</v>
      </c>
      <c r="BW53" s="28">
        <f t="shared" si="5"/>
        <v>19000</v>
      </c>
    </row>
    <row r="54" spans="1:75" ht="17.399999999999999" x14ac:dyDescent="0.25">
      <c r="A54" s="69">
        <f t="shared" si="13"/>
        <v>53</v>
      </c>
      <c r="B54" s="73" t="s">
        <v>1615</v>
      </c>
      <c r="C54" s="71" t="s">
        <v>243</v>
      </c>
      <c r="D54" s="71" t="s">
        <v>1599</v>
      </c>
      <c r="E54" s="71" t="s">
        <v>1532</v>
      </c>
      <c r="F54" s="71" t="s">
        <v>1600</v>
      </c>
      <c r="G54" s="71" t="s">
        <v>610</v>
      </c>
      <c r="H54" s="71" t="s">
        <v>1115</v>
      </c>
      <c r="I54" s="71" t="str">
        <f>VLOOKUP(H54,[1]Sheet1!$C:$C,1,0)</f>
        <v>SC69401HS-Q-HD-4XTR-69401</v>
      </c>
      <c r="J54" s="71"/>
      <c r="K54" s="71"/>
      <c r="L54" s="73" t="s">
        <v>593</v>
      </c>
      <c r="M54" s="80">
        <v>200000</v>
      </c>
      <c r="N54" s="72" t="s">
        <v>251</v>
      </c>
      <c r="O54" s="73"/>
      <c r="P54" s="71" t="s">
        <v>1616</v>
      </c>
      <c r="Q54" s="71"/>
      <c r="R54" s="100">
        <v>3.8</v>
      </c>
      <c r="S54" s="75">
        <f t="shared" si="15"/>
        <v>57000</v>
      </c>
      <c r="T54" s="91">
        <v>0</v>
      </c>
      <c r="U54" s="76">
        <f t="shared" si="1"/>
        <v>15000</v>
      </c>
      <c r="V54" s="80"/>
      <c r="W54" s="80"/>
      <c r="X54" s="80"/>
      <c r="Y54" s="72"/>
      <c r="Z54" s="72"/>
      <c r="AA54" s="72"/>
      <c r="AB54" s="72"/>
      <c r="AC54" s="72"/>
      <c r="AD54" s="77"/>
      <c r="AE54" s="75">
        <v>5000</v>
      </c>
      <c r="AF54" s="75">
        <v>5000</v>
      </c>
      <c r="AG54" s="75">
        <v>5000</v>
      </c>
      <c r="AH54" s="75">
        <v>5000</v>
      </c>
      <c r="AI54" s="75">
        <v>5000</v>
      </c>
      <c r="AJ54" s="75">
        <v>5000</v>
      </c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10" t="s">
        <v>494</v>
      </c>
      <c r="AX54" s="10" t="s">
        <v>85</v>
      </c>
      <c r="AY54" s="19" t="s">
        <v>371</v>
      </c>
      <c r="AZ54" s="10" t="s">
        <v>62</v>
      </c>
      <c r="BA54" s="10" t="s">
        <v>466</v>
      </c>
      <c r="BB54" s="10" t="s">
        <v>1076</v>
      </c>
      <c r="BC54" s="10"/>
      <c r="BD54" s="10"/>
      <c r="BE54" s="10"/>
      <c r="BF54" s="10"/>
      <c r="BG54" s="13"/>
      <c r="BH54" s="10"/>
      <c r="BI54" s="14"/>
      <c r="BJ54" s="14"/>
      <c r="BK54" s="14"/>
      <c r="BL54" s="14"/>
      <c r="BM54" s="14"/>
      <c r="BN54" s="35"/>
      <c r="BO54" s="11"/>
      <c r="BP54" s="16">
        <f t="shared" si="16"/>
        <v>0</v>
      </c>
      <c r="BQ54" s="16">
        <f t="shared" si="17"/>
        <v>0</v>
      </c>
      <c r="BR54" s="16">
        <f t="shared" si="18"/>
        <v>0</v>
      </c>
      <c r="BS54" s="16">
        <f t="shared" si="19"/>
        <v>0</v>
      </c>
      <c r="BT54" s="17">
        <f t="shared" si="20"/>
        <v>0</v>
      </c>
      <c r="BU54" s="28">
        <f t="shared" si="3"/>
        <v>19000</v>
      </c>
      <c r="BV54" s="28">
        <f t="shared" si="4"/>
        <v>19000</v>
      </c>
      <c r="BW54" s="28">
        <f t="shared" si="5"/>
        <v>19000</v>
      </c>
    </row>
    <row r="55" spans="1:75" ht="17.399999999999999" x14ac:dyDescent="0.25">
      <c r="A55" s="69">
        <f t="shared" si="13"/>
        <v>54</v>
      </c>
      <c r="B55" s="73" t="s">
        <v>1810</v>
      </c>
      <c r="C55" s="71" t="s">
        <v>243</v>
      </c>
      <c r="D55" s="71" t="s">
        <v>1811</v>
      </c>
      <c r="E55" s="71" t="s">
        <v>978</v>
      </c>
      <c r="F55" s="71" t="s">
        <v>978</v>
      </c>
      <c r="G55" s="71" t="s">
        <v>1050</v>
      </c>
      <c r="H55" s="71" t="s">
        <v>1936</v>
      </c>
      <c r="I55" s="71" t="str">
        <f>VLOOKUP(H55,[1]Sheet1!$C:$C,1,0)</f>
        <v>SC1002S1-CG-00AK-41H</v>
      </c>
      <c r="J55" s="71"/>
      <c r="K55" s="71"/>
      <c r="L55" s="73"/>
      <c r="M55" s="80"/>
      <c r="N55" s="72"/>
      <c r="O55" s="73"/>
      <c r="P55" s="71"/>
      <c r="Q55" s="71"/>
      <c r="R55" s="100">
        <v>0.18</v>
      </c>
      <c r="S55" s="75"/>
      <c r="T55" s="91"/>
      <c r="U55" s="76">
        <f t="shared" si="1"/>
        <v>0</v>
      </c>
      <c r="V55" s="80"/>
      <c r="W55" s="80"/>
      <c r="X55" s="80"/>
      <c r="Y55" s="72"/>
      <c r="Z55" s="72"/>
      <c r="AA55" s="72"/>
      <c r="AB55" s="72"/>
      <c r="AC55" s="72"/>
      <c r="AD55" s="77"/>
      <c r="AE55" s="75"/>
      <c r="AF55" s="75"/>
      <c r="AG55" s="75"/>
      <c r="AH55" s="75"/>
      <c r="AI55" s="75"/>
      <c r="AJ55" s="75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19"/>
      <c r="AX55" s="19"/>
      <c r="AY55" s="19" t="s">
        <v>261</v>
      </c>
      <c r="AZ55" s="19"/>
      <c r="BA55" s="19"/>
      <c r="BB55" s="19"/>
      <c r="BC55" s="19"/>
      <c r="BD55" s="19"/>
      <c r="BE55" s="19"/>
      <c r="BF55" s="19"/>
      <c r="BG55" s="24"/>
      <c r="BH55" s="19"/>
      <c r="BI55" s="25"/>
      <c r="BJ55" s="25"/>
      <c r="BK55" s="25"/>
      <c r="BL55" s="25"/>
      <c r="BM55" s="25"/>
      <c r="BN55" s="37"/>
      <c r="BO55" s="21"/>
      <c r="BP55" s="27"/>
      <c r="BQ55" s="27"/>
      <c r="BR55" s="27"/>
      <c r="BS55" s="27"/>
      <c r="BT55" s="28"/>
      <c r="BU55" s="28">
        <f t="shared" si="3"/>
        <v>0</v>
      </c>
      <c r="BV55" s="28">
        <f t="shared" si="4"/>
        <v>0</v>
      </c>
      <c r="BW55" s="28">
        <f t="shared" si="5"/>
        <v>0</v>
      </c>
    </row>
    <row r="56" spans="1:75" ht="17.399999999999999" x14ac:dyDescent="0.25">
      <c r="A56" s="69">
        <f t="shared" si="13"/>
        <v>55</v>
      </c>
      <c r="B56" s="73" t="s">
        <v>1619</v>
      </c>
      <c r="C56" s="71" t="s">
        <v>235</v>
      </c>
      <c r="D56" s="71" t="s">
        <v>1620</v>
      </c>
      <c r="E56" s="71" t="s">
        <v>1532</v>
      </c>
      <c r="F56" s="71" t="s">
        <v>1621</v>
      </c>
      <c r="G56" s="71" t="s">
        <v>337</v>
      </c>
      <c r="H56" s="71" t="s">
        <v>338</v>
      </c>
      <c r="I56" s="71" t="str">
        <f>VLOOKUP(H56,[1]Sheet1!$C:$C,1,0)</f>
        <v>SC2443SO-Q-DB-60CR-2443</v>
      </c>
      <c r="J56" s="71"/>
      <c r="K56" s="71"/>
      <c r="L56" s="73" t="s">
        <v>876</v>
      </c>
      <c r="M56" s="80">
        <v>200000</v>
      </c>
      <c r="N56" s="72" t="s">
        <v>382</v>
      </c>
      <c r="O56" s="73"/>
      <c r="P56" s="71" t="s">
        <v>504</v>
      </c>
      <c r="Q56" s="71"/>
      <c r="R56" s="100">
        <v>0.52</v>
      </c>
      <c r="S56" s="75">
        <f>R56*U56</f>
        <v>5200</v>
      </c>
      <c r="T56" s="91">
        <v>0</v>
      </c>
      <c r="U56" s="76">
        <f t="shared" si="1"/>
        <v>10000</v>
      </c>
      <c r="V56" s="80"/>
      <c r="W56" s="80"/>
      <c r="X56" s="80"/>
      <c r="Y56" s="72"/>
      <c r="Z56" s="72"/>
      <c r="AA56" s="72"/>
      <c r="AB56" s="72"/>
      <c r="AC56" s="72"/>
      <c r="AD56" s="77"/>
      <c r="AE56" s="75"/>
      <c r="AF56" s="75">
        <v>5000</v>
      </c>
      <c r="AG56" s="75">
        <v>5000</v>
      </c>
      <c r="AH56" s="75">
        <v>5000</v>
      </c>
      <c r="AI56" s="75">
        <v>5000</v>
      </c>
      <c r="AJ56" s="75">
        <v>5000</v>
      </c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10" t="s">
        <v>494</v>
      </c>
      <c r="AX56" s="10" t="s">
        <v>85</v>
      </c>
      <c r="AY56" s="19" t="s">
        <v>261</v>
      </c>
      <c r="AZ56" s="10" t="s">
        <v>62</v>
      </c>
      <c r="BA56" s="10" t="s">
        <v>96</v>
      </c>
      <c r="BB56" s="10" t="s">
        <v>1399</v>
      </c>
      <c r="BC56" s="10" t="s">
        <v>1400</v>
      </c>
      <c r="BD56" s="10" t="s">
        <v>1119</v>
      </c>
      <c r="BE56" s="10"/>
      <c r="BF56" s="10"/>
      <c r="BG56" s="13"/>
      <c r="BH56" s="10">
        <v>45889</v>
      </c>
      <c r="BI56" s="14">
        <v>45555</v>
      </c>
      <c r="BJ56" s="14">
        <v>45585</v>
      </c>
      <c r="BK56" s="14">
        <v>45616</v>
      </c>
      <c r="BL56" s="14"/>
      <c r="BM56" s="14"/>
      <c r="BN56" s="35">
        <v>1</v>
      </c>
      <c r="BO56" s="11">
        <v>5</v>
      </c>
      <c r="BP56" s="16">
        <f t="shared" ref="BP56:BT58" si="21">$R56*Z56</f>
        <v>0</v>
      </c>
      <c r="BQ56" s="16">
        <f t="shared" si="21"/>
        <v>0</v>
      </c>
      <c r="BR56" s="16">
        <f t="shared" si="21"/>
        <v>0</v>
      </c>
      <c r="BS56" s="16">
        <f t="shared" si="21"/>
        <v>0</v>
      </c>
      <c r="BT56" s="17">
        <f t="shared" si="21"/>
        <v>0</v>
      </c>
      <c r="BU56" s="28">
        <f t="shared" si="3"/>
        <v>0</v>
      </c>
      <c r="BV56" s="28">
        <f t="shared" si="4"/>
        <v>2600</v>
      </c>
      <c r="BW56" s="28">
        <f t="shared" si="5"/>
        <v>2600</v>
      </c>
    </row>
    <row r="57" spans="1:75" ht="17.399999999999999" x14ac:dyDescent="0.25">
      <c r="A57" s="69">
        <f t="shared" si="13"/>
        <v>56</v>
      </c>
      <c r="B57" s="73" t="s">
        <v>1622</v>
      </c>
      <c r="C57" s="71" t="s">
        <v>243</v>
      </c>
      <c r="D57" s="71" t="s">
        <v>1620</v>
      </c>
      <c r="E57" s="71" t="s">
        <v>1532</v>
      </c>
      <c r="F57" s="71" t="s">
        <v>1621</v>
      </c>
      <c r="G57" s="71" t="s">
        <v>337</v>
      </c>
      <c r="H57" s="71" t="s">
        <v>338</v>
      </c>
      <c r="I57" s="71" t="str">
        <f>VLOOKUP(H57,[1]Sheet1!$C:$C,1,0)</f>
        <v>SC2443SO-Q-DB-60CR-2443</v>
      </c>
      <c r="J57" s="71"/>
      <c r="K57" s="71"/>
      <c r="L57" s="73" t="s">
        <v>876</v>
      </c>
      <c r="M57" s="80">
        <v>200000</v>
      </c>
      <c r="N57" s="72" t="s">
        <v>382</v>
      </c>
      <c r="O57" s="73"/>
      <c r="P57" s="71" t="s">
        <v>504</v>
      </c>
      <c r="Q57" s="71"/>
      <c r="R57" s="100">
        <v>0.52</v>
      </c>
      <c r="S57" s="75">
        <f>R57*U57</f>
        <v>5200</v>
      </c>
      <c r="T57" s="91">
        <v>0</v>
      </c>
      <c r="U57" s="76">
        <f t="shared" si="1"/>
        <v>10000</v>
      </c>
      <c r="V57" s="80"/>
      <c r="W57" s="80"/>
      <c r="X57" s="80"/>
      <c r="Y57" s="72"/>
      <c r="Z57" s="72"/>
      <c r="AA57" s="72"/>
      <c r="AB57" s="72"/>
      <c r="AC57" s="72"/>
      <c r="AD57" s="77"/>
      <c r="AE57" s="75"/>
      <c r="AF57" s="75">
        <v>5000</v>
      </c>
      <c r="AG57" s="75">
        <v>5000</v>
      </c>
      <c r="AH57" s="75">
        <v>5000</v>
      </c>
      <c r="AI57" s="75">
        <v>5000</v>
      </c>
      <c r="AJ57" s="75">
        <v>5000</v>
      </c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19" t="s">
        <v>494</v>
      </c>
      <c r="AX57" s="19" t="s">
        <v>85</v>
      </c>
      <c r="AY57" s="19" t="s">
        <v>261</v>
      </c>
      <c r="AZ57" s="19" t="s">
        <v>62</v>
      </c>
      <c r="BA57" s="19" t="s">
        <v>96</v>
      </c>
      <c r="BB57" s="19" t="s">
        <v>1399</v>
      </c>
      <c r="BC57" s="19" t="s">
        <v>1400</v>
      </c>
      <c r="BD57" s="19" t="s">
        <v>1119</v>
      </c>
      <c r="BE57" s="19"/>
      <c r="BF57" s="19"/>
      <c r="BG57" s="24"/>
      <c r="BH57" s="19">
        <v>45889</v>
      </c>
      <c r="BI57" s="25">
        <v>45555</v>
      </c>
      <c r="BJ57" s="25">
        <v>45585</v>
      </c>
      <c r="BK57" s="25">
        <v>45616</v>
      </c>
      <c r="BL57" s="25"/>
      <c r="BM57" s="25"/>
      <c r="BN57" s="37">
        <v>1</v>
      </c>
      <c r="BO57" s="21">
        <v>5</v>
      </c>
      <c r="BP57" s="27">
        <f t="shared" si="21"/>
        <v>0</v>
      </c>
      <c r="BQ57" s="27">
        <f t="shared" si="21"/>
        <v>0</v>
      </c>
      <c r="BR57" s="27">
        <f t="shared" si="21"/>
        <v>0</v>
      </c>
      <c r="BS57" s="27">
        <f t="shared" si="21"/>
        <v>0</v>
      </c>
      <c r="BT57" s="28">
        <f t="shared" si="21"/>
        <v>0</v>
      </c>
      <c r="BU57" s="28">
        <f t="shared" si="3"/>
        <v>0</v>
      </c>
      <c r="BV57" s="28">
        <f t="shared" si="4"/>
        <v>2600</v>
      </c>
      <c r="BW57" s="28">
        <f t="shared" si="5"/>
        <v>2600</v>
      </c>
    </row>
    <row r="58" spans="1:75" ht="17.399999999999999" x14ac:dyDescent="0.25">
      <c r="A58" s="69">
        <f t="shared" si="13"/>
        <v>57</v>
      </c>
      <c r="B58" s="73" t="s">
        <v>1623</v>
      </c>
      <c r="C58" s="71" t="s">
        <v>290</v>
      </c>
      <c r="D58" s="71" t="s">
        <v>1624</v>
      </c>
      <c r="E58" s="71" t="s">
        <v>1532</v>
      </c>
      <c r="F58" s="71" t="s">
        <v>1625</v>
      </c>
      <c r="G58" s="71" t="s">
        <v>337</v>
      </c>
      <c r="H58" s="71" t="s">
        <v>338</v>
      </c>
      <c r="I58" s="71" t="str">
        <f>VLOOKUP(H58,[1]Sheet1!$C:$C,1,0)</f>
        <v>SC2443SO-Q-DB-60CR-2443</v>
      </c>
      <c r="J58" s="71"/>
      <c r="K58" s="71"/>
      <c r="L58" s="73" t="s">
        <v>515</v>
      </c>
      <c r="M58" s="80">
        <v>1000000</v>
      </c>
      <c r="N58" s="72" t="s">
        <v>361</v>
      </c>
      <c r="O58" s="73"/>
      <c r="P58" s="71" t="s">
        <v>1613</v>
      </c>
      <c r="Q58" s="71"/>
      <c r="R58" s="100">
        <v>0.52</v>
      </c>
      <c r="S58" s="75">
        <f>R58*U58</f>
        <v>78000</v>
      </c>
      <c r="T58" s="91">
        <v>0</v>
      </c>
      <c r="U58" s="76">
        <f t="shared" si="1"/>
        <v>150000</v>
      </c>
      <c r="V58" s="80">
        <v>102000</v>
      </c>
      <c r="W58" s="80">
        <v>66000</v>
      </c>
      <c r="X58" s="80">
        <v>80000</v>
      </c>
      <c r="Y58" s="72">
        <v>80000</v>
      </c>
      <c r="Z58" s="72">
        <v>80000</v>
      </c>
      <c r="AA58" s="72">
        <v>80000</v>
      </c>
      <c r="AB58" s="72">
        <v>80000</v>
      </c>
      <c r="AC58" s="72">
        <v>80000</v>
      </c>
      <c r="AD58" s="77"/>
      <c r="AE58" s="75">
        <v>50000</v>
      </c>
      <c r="AF58" s="75">
        <v>50000</v>
      </c>
      <c r="AG58" s="75">
        <v>50000</v>
      </c>
      <c r="AH58" s="75">
        <v>50000</v>
      </c>
      <c r="AI58" s="75">
        <v>50000</v>
      </c>
      <c r="AJ58" s="75">
        <v>50000</v>
      </c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10" t="s">
        <v>978</v>
      </c>
      <c r="AX58" s="10" t="s">
        <v>85</v>
      </c>
      <c r="AY58" s="19" t="s">
        <v>261</v>
      </c>
      <c r="AZ58" s="10" t="s">
        <v>62</v>
      </c>
      <c r="BA58" s="10" t="s">
        <v>96</v>
      </c>
      <c r="BB58" s="10" t="s">
        <v>141</v>
      </c>
      <c r="BC58" s="10" t="s">
        <v>1626</v>
      </c>
      <c r="BD58" s="10" t="s">
        <v>1627</v>
      </c>
      <c r="BE58" s="10"/>
      <c r="BF58" s="10"/>
      <c r="BG58" s="13">
        <v>2</v>
      </c>
      <c r="BH58" s="10">
        <v>45646</v>
      </c>
      <c r="BI58" s="14">
        <v>45311</v>
      </c>
      <c r="BJ58" s="14">
        <v>45342</v>
      </c>
      <c r="BK58" s="14">
        <v>45371</v>
      </c>
      <c r="BL58" s="14">
        <v>45524</v>
      </c>
      <c r="BM58" s="14">
        <v>45616</v>
      </c>
      <c r="BN58" s="35">
        <v>1</v>
      </c>
      <c r="BO58" s="11">
        <v>5</v>
      </c>
      <c r="BP58" s="16">
        <f t="shared" si="21"/>
        <v>41600</v>
      </c>
      <c r="BQ58" s="16">
        <f t="shared" si="21"/>
        <v>41600</v>
      </c>
      <c r="BR58" s="16">
        <f t="shared" si="21"/>
        <v>41600</v>
      </c>
      <c r="BS58" s="16">
        <f t="shared" si="21"/>
        <v>41600</v>
      </c>
      <c r="BT58" s="17">
        <f t="shared" si="21"/>
        <v>0</v>
      </c>
      <c r="BU58" s="28">
        <f t="shared" si="3"/>
        <v>26000</v>
      </c>
      <c r="BV58" s="28">
        <f t="shared" si="4"/>
        <v>26000</v>
      </c>
      <c r="BW58" s="28">
        <f t="shared" si="5"/>
        <v>26000</v>
      </c>
    </row>
    <row r="59" spans="1:75" ht="17.399999999999999" x14ac:dyDescent="0.25">
      <c r="A59" s="69">
        <f t="shared" si="13"/>
        <v>58</v>
      </c>
      <c r="B59" s="73" t="s">
        <v>1810</v>
      </c>
      <c r="C59" s="71" t="s">
        <v>243</v>
      </c>
      <c r="D59" s="71" t="s">
        <v>1811</v>
      </c>
      <c r="E59" s="71" t="s">
        <v>978</v>
      </c>
      <c r="F59" s="71" t="s">
        <v>978</v>
      </c>
      <c r="G59" s="71" t="s">
        <v>1937</v>
      </c>
      <c r="H59" s="71" t="s">
        <v>1938</v>
      </c>
      <c r="I59" s="71" t="str">
        <f>VLOOKUP(H59,[1]Sheet1!$C:$C,1,0)</f>
        <v>SC1002S2-CG-00AK-41F</v>
      </c>
      <c r="J59" s="71"/>
      <c r="K59" s="71"/>
      <c r="L59" s="73"/>
      <c r="M59" s="80"/>
      <c r="N59" s="72"/>
      <c r="O59" s="73"/>
      <c r="P59" s="71"/>
      <c r="Q59" s="71"/>
      <c r="R59" s="100">
        <v>0.18</v>
      </c>
      <c r="S59" s="75"/>
      <c r="T59" s="91"/>
      <c r="U59" s="76">
        <f t="shared" si="1"/>
        <v>0</v>
      </c>
      <c r="V59" s="80"/>
      <c r="W59" s="80"/>
      <c r="X59" s="80"/>
      <c r="Y59" s="72"/>
      <c r="Z59" s="72"/>
      <c r="AA59" s="72"/>
      <c r="AB59" s="72"/>
      <c r="AC59" s="72"/>
      <c r="AD59" s="77"/>
      <c r="AE59" s="75"/>
      <c r="AF59" s="75"/>
      <c r="AG59" s="75"/>
      <c r="AH59" s="75"/>
      <c r="AI59" s="75"/>
      <c r="AJ59" s="75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19"/>
      <c r="AX59" s="19"/>
      <c r="AY59" s="19" t="s">
        <v>261</v>
      </c>
      <c r="AZ59" s="19"/>
      <c r="BA59" s="19"/>
      <c r="BB59" s="19"/>
      <c r="BC59" s="19"/>
      <c r="BD59" s="19"/>
      <c r="BE59" s="19"/>
      <c r="BF59" s="19"/>
      <c r="BG59" s="24"/>
      <c r="BH59" s="19"/>
      <c r="BI59" s="25"/>
      <c r="BJ59" s="25"/>
      <c r="BK59" s="25"/>
      <c r="BL59" s="25"/>
      <c r="BM59" s="25"/>
      <c r="BN59" s="37"/>
      <c r="BO59" s="21"/>
      <c r="BP59" s="27"/>
      <c r="BQ59" s="27"/>
      <c r="BR59" s="27"/>
      <c r="BS59" s="27"/>
      <c r="BT59" s="28"/>
      <c r="BU59" s="28">
        <f t="shared" si="3"/>
        <v>0</v>
      </c>
      <c r="BV59" s="28">
        <f t="shared" si="4"/>
        <v>0</v>
      </c>
      <c r="BW59" s="28">
        <f t="shared" si="5"/>
        <v>0</v>
      </c>
    </row>
    <row r="60" spans="1:75" ht="17.399999999999999" x14ac:dyDescent="0.25">
      <c r="A60" s="69">
        <f t="shared" si="13"/>
        <v>59</v>
      </c>
      <c r="B60" s="73" t="s">
        <v>1631</v>
      </c>
      <c r="C60" s="71" t="s">
        <v>290</v>
      </c>
      <c r="D60" s="71" t="s">
        <v>1624</v>
      </c>
      <c r="E60" s="71" t="s">
        <v>1532</v>
      </c>
      <c r="F60" s="71" t="s">
        <v>1625</v>
      </c>
      <c r="G60" s="71" t="s">
        <v>337</v>
      </c>
      <c r="H60" s="71" t="s">
        <v>338</v>
      </c>
      <c r="I60" s="71" t="str">
        <f>VLOOKUP(H60,[1]Sheet1!$C:$C,1,0)</f>
        <v>SC2443SO-Q-DB-60CR-2443</v>
      </c>
      <c r="J60" s="71"/>
      <c r="K60" s="71"/>
      <c r="L60" s="73" t="s">
        <v>515</v>
      </c>
      <c r="M60" s="80">
        <v>1000000</v>
      </c>
      <c r="N60" s="72" t="s">
        <v>251</v>
      </c>
      <c r="O60" s="73"/>
      <c r="P60" s="71"/>
      <c r="Q60" s="71"/>
      <c r="R60" s="100">
        <v>0.52</v>
      </c>
      <c r="S60" s="75">
        <f t="shared" ref="S60:S85" si="22">R60*U60</f>
        <v>31200</v>
      </c>
      <c r="T60" s="91"/>
      <c r="U60" s="76">
        <f t="shared" si="1"/>
        <v>60000</v>
      </c>
      <c r="V60" s="80"/>
      <c r="W60" s="80"/>
      <c r="X60" s="80"/>
      <c r="Y60" s="72"/>
      <c r="Z60" s="72"/>
      <c r="AA60" s="72"/>
      <c r="AB60" s="72"/>
      <c r="AC60" s="72"/>
      <c r="AD60" s="77"/>
      <c r="AE60" s="75">
        <v>20000</v>
      </c>
      <c r="AF60" s="75">
        <v>20000</v>
      </c>
      <c r="AG60" s="75">
        <v>20000</v>
      </c>
      <c r="AH60" s="75">
        <v>20000</v>
      </c>
      <c r="AI60" s="75">
        <v>20000</v>
      </c>
      <c r="AJ60" s="75">
        <v>20000</v>
      </c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10" t="s">
        <v>978</v>
      </c>
      <c r="AX60" s="10" t="s">
        <v>85</v>
      </c>
      <c r="AY60" s="19" t="s">
        <v>261</v>
      </c>
      <c r="AZ60" s="10" t="s">
        <v>62</v>
      </c>
      <c r="BA60" s="10" t="s">
        <v>96</v>
      </c>
      <c r="BB60" s="10" t="s">
        <v>141</v>
      </c>
      <c r="BC60" s="10" t="s">
        <v>1626</v>
      </c>
      <c r="BD60" s="10"/>
      <c r="BE60" s="10"/>
      <c r="BF60" s="10"/>
      <c r="BG60" s="13"/>
      <c r="BH60" s="10"/>
      <c r="BI60" s="14"/>
      <c r="BJ60" s="14"/>
      <c r="BK60" s="14"/>
      <c r="BL60" s="14"/>
      <c r="BM60" s="14"/>
      <c r="BN60" s="35"/>
      <c r="BO60" s="11"/>
      <c r="BP60" s="16">
        <f t="shared" ref="BP60:BP85" si="23">$R60*Z60</f>
        <v>0</v>
      </c>
      <c r="BQ60" s="16">
        <f t="shared" ref="BQ60:BQ85" si="24">$R60*AA60</f>
        <v>0</v>
      </c>
      <c r="BR60" s="16">
        <f t="shared" ref="BR60:BR85" si="25">$R60*AB60</f>
        <v>0</v>
      </c>
      <c r="BS60" s="16">
        <f t="shared" ref="BS60:BS85" si="26">$R60*AC60</f>
        <v>0</v>
      </c>
      <c r="BT60" s="17">
        <f t="shared" ref="BT60:BT85" si="27">$R60*AD60</f>
        <v>0</v>
      </c>
      <c r="BU60" s="28">
        <f t="shared" si="3"/>
        <v>10400</v>
      </c>
      <c r="BV60" s="28">
        <f t="shared" si="4"/>
        <v>10400</v>
      </c>
      <c r="BW60" s="28">
        <f t="shared" si="5"/>
        <v>10400</v>
      </c>
    </row>
    <row r="61" spans="1:75" ht="17.399999999999999" x14ac:dyDescent="0.25">
      <c r="A61" s="69">
        <f t="shared" si="13"/>
        <v>60</v>
      </c>
      <c r="B61" s="71" t="s">
        <v>670</v>
      </c>
      <c r="C61" s="71" t="s">
        <v>243</v>
      </c>
      <c r="D61" s="71" t="s">
        <v>668</v>
      </c>
      <c r="E61" s="71" t="s">
        <v>533</v>
      </c>
      <c r="F61" s="71" t="s">
        <v>669</v>
      </c>
      <c r="G61" s="71" t="s">
        <v>671</v>
      </c>
      <c r="H61" s="71" t="s">
        <v>672</v>
      </c>
      <c r="I61" s="71" t="str">
        <f>VLOOKUP(H61,[1]Sheet1!$C:$C,1,0)</f>
        <v>SC1245UA-1245</v>
      </c>
      <c r="J61" s="71"/>
      <c r="K61" s="71"/>
      <c r="L61" s="71" t="s">
        <v>379</v>
      </c>
      <c r="M61" s="85"/>
      <c r="N61" s="85"/>
      <c r="O61" s="85"/>
      <c r="P61" s="85"/>
      <c r="Q61" s="85"/>
      <c r="R61" s="100">
        <v>0.25</v>
      </c>
      <c r="S61" s="75">
        <f t="shared" si="22"/>
        <v>50000</v>
      </c>
      <c r="T61" s="76">
        <v>0</v>
      </c>
      <c r="U61" s="76">
        <f t="shared" si="1"/>
        <v>200000</v>
      </c>
      <c r="V61" s="85"/>
      <c r="W61" s="85"/>
      <c r="X61" s="85"/>
      <c r="Y61" s="85"/>
      <c r="Z61" s="72">
        <v>0</v>
      </c>
      <c r="AA61" s="72">
        <v>0</v>
      </c>
      <c r="AB61" s="72">
        <v>0</v>
      </c>
      <c r="AC61" s="72"/>
      <c r="AD61" s="77">
        <v>0</v>
      </c>
      <c r="AE61" s="75">
        <v>100000</v>
      </c>
      <c r="AF61" s="75">
        <v>0</v>
      </c>
      <c r="AG61" s="75">
        <v>100000</v>
      </c>
      <c r="AH61" s="75">
        <v>100000</v>
      </c>
      <c r="AI61" s="75">
        <v>80000</v>
      </c>
      <c r="AJ61" s="75">
        <v>80000</v>
      </c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 t="s">
        <v>494</v>
      </c>
      <c r="AY61" s="19" t="s">
        <v>261</v>
      </c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>
        <f t="shared" si="23"/>
        <v>0</v>
      </c>
      <c r="BQ61" s="16">
        <f t="shared" si="24"/>
        <v>0</v>
      </c>
      <c r="BR61" s="16">
        <f t="shared" si="25"/>
        <v>0</v>
      </c>
      <c r="BS61" s="16">
        <f t="shared" si="26"/>
        <v>0</v>
      </c>
      <c r="BT61" s="17">
        <f t="shared" si="27"/>
        <v>0</v>
      </c>
      <c r="BU61" s="28">
        <f t="shared" si="3"/>
        <v>25000</v>
      </c>
      <c r="BV61" s="28">
        <f t="shared" si="4"/>
        <v>0</v>
      </c>
      <c r="BW61" s="28">
        <f t="shared" si="5"/>
        <v>25000</v>
      </c>
    </row>
    <row r="62" spans="1:75" ht="17.399999999999999" x14ac:dyDescent="0.25">
      <c r="A62" s="69">
        <f t="shared" si="13"/>
        <v>61</v>
      </c>
      <c r="B62" s="73" t="s">
        <v>1633</v>
      </c>
      <c r="C62" s="71" t="s">
        <v>243</v>
      </c>
      <c r="D62" s="71" t="s">
        <v>1624</v>
      </c>
      <c r="E62" s="71" t="s">
        <v>1532</v>
      </c>
      <c r="F62" s="71" t="s">
        <v>1625</v>
      </c>
      <c r="G62" s="71" t="s">
        <v>900</v>
      </c>
      <c r="H62" s="71" t="s">
        <v>1634</v>
      </c>
      <c r="I62" s="71" t="str">
        <f>VLOOKUP(H62,[1]Sheet1!$C:$C,1,0)</f>
        <v>SC1445A1-41F</v>
      </c>
      <c r="J62" s="71"/>
      <c r="K62" s="71"/>
      <c r="L62" s="73" t="s">
        <v>1635</v>
      </c>
      <c r="M62" s="80">
        <v>120000</v>
      </c>
      <c r="N62" s="72" t="s">
        <v>361</v>
      </c>
      <c r="O62" s="73"/>
      <c r="P62" s="71" t="s">
        <v>504</v>
      </c>
      <c r="Q62" s="71"/>
      <c r="R62" s="100">
        <v>0.33</v>
      </c>
      <c r="S62" s="75">
        <f t="shared" si="22"/>
        <v>9900</v>
      </c>
      <c r="T62" s="91">
        <v>0</v>
      </c>
      <c r="U62" s="76">
        <f t="shared" si="1"/>
        <v>30000</v>
      </c>
      <c r="V62" s="80">
        <v>17000</v>
      </c>
      <c r="W62" s="80">
        <v>11000</v>
      </c>
      <c r="X62" s="80">
        <v>15000</v>
      </c>
      <c r="Y62" s="72">
        <v>15000</v>
      </c>
      <c r="Z62" s="72">
        <v>15000</v>
      </c>
      <c r="AA62" s="72">
        <v>15000</v>
      </c>
      <c r="AB62" s="72">
        <v>15000</v>
      </c>
      <c r="AC62" s="72">
        <v>10000</v>
      </c>
      <c r="AD62" s="77">
        <v>10000</v>
      </c>
      <c r="AE62" s="75">
        <v>10000</v>
      </c>
      <c r="AF62" s="75">
        <v>10000</v>
      </c>
      <c r="AG62" s="75">
        <v>10000</v>
      </c>
      <c r="AH62" s="75">
        <v>10000</v>
      </c>
      <c r="AI62" s="75">
        <v>10000</v>
      </c>
      <c r="AJ62" s="75">
        <v>10000</v>
      </c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10" t="s">
        <v>494</v>
      </c>
      <c r="AX62" s="10" t="s">
        <v>85</v>
      </c>
      <c r="AY62" s="19" t="s">
        <v>261</v>
      </c>
      <c r="AZ62" s="10" t="s">
        <v>167</v>
      </c>
      <c r="BA62" s="10" t="s">
        <v>346</v>
      </c>
      <c r="BB62" s="10" t="s">
        <v>347</v>
      </c>
      <c r="BC62" s="10" t="s">
        <v>1134</v>
      </c>
      <c r="BD62" s="10" t="s">
        <v>1627</v>
      </c>
      <c r="BE62" s="10"/>
      <c r="BF62" s="10"/>
      <c r="BG62" s="13">
        <v>1</v>
      </c>
      <c r="BH62" s="10">
        <v>45656</v>
      </c>
      <c r="BI62" s="14">
        <v>45616</v>
      </c>
      <c r="BJ62" s="14">
        <v>45636</v>
      </c>
      <c r="BK62" s="14">
        <v>46006</v>
      </c>
      <c r="BL62" s="14">
        <v>46011</v>
      </c>
      <c r="BM62" s="14">
        <v>46016</v>
      </c>
      <c r="BN62" s="35">
        <v>1</v>
      </c>
      <c r="BO62" s="11">
        <v>5</v>
      </c>
      <c r="BP62" s="16">
        <f t="shared" si="23"/>
        <v>4950</v>
      </c>
      <c r="BQ62" s="16">
        <f t="shared" si="24"/>
        <v>4950</v>
      </c>
      <c r="BR62" s="16">
        <f t="shared" si="25"/>
        <v>4950</v>
      </c>
      <c r="BS62" s="16">
        <f t="shared" si="26"/>
        <v>3300</v>
      </c>
      <c r="BT62" s="17">
        <f t="shared" si="27"/>
        <v>3300</v>
      </c>
      <c r="BU62" s="28">
        <f t="shared" si="3"/>
        <v>3300</v>
      </c>
      <c r="BV62" s="28">
        <f t="shared" si="4"/>
        <v>3300</v>
      </c>
      <c r="BW62" s="28">
        <f t="shared" si="5"/>
        <v>3300</v>
      </c>
    </row>
    <row r="63" spans="1:75" ht="17.399999999999999" x14ac:dyDescent="0.25">
      <c r="A63" s="69">
        <f t="shared" si="13"/>
        <v>62</v>
      </c>
      <c r="B63" s="73" t="s">
        <v>1636</v>
      </c>
      <c r="C63" s="71" t="s">
        <v>235</v>
      </c>
      <c r="D63" s="71" t="s">
        <v>1624</v>
      </c>
      <c r="E63" s="71" t="s">
        <v>1532</v>
      </c>
      <c r="F63" s="71" t="s">
        <v>1625</v>
      </c>
      <c r="G63" s="71" t="s">
        <v>1318</v>
      </c>
      <c r="H63" s="71" t="s">
        <v>1319</v>
      </c>
      <c r="I63" s="71" t="str">
        <f>VLOOKUP(H63,[1]Sheet1!$C:$C,1,0)</f>
        <v>SC2527S6-SD-Q-DA-40CR-2527</v>
      </c>
      <c r="J63" s="71"/>
      <c r="K63" s="71"/>
      <c r="L63" s="73" t="s">
        <v>515</v>
      </c>
      <c r="M63" s="80">
        <v>1000000</v>
      </c>
      <c r="N63" s="72" t="s">
        <v>251</v>
      </c>
      <c r="O63" s="73"/>
      <c r="P63" s="71" t="s">
        <v>504</v>
      </c>
      <c r="Q63" s="71"/>
      <c r="R63" s="100">
        <v>0.81</v>
      </c>
      <c r="S63" s="75">
        <f t="shared" si="22"/>
        <v>8100.0000000000009</v>
      </c>
      <c r="T63" s="91">
        <v>0</v>
      </c>
      <c r="U63" s="76">
        <f t="shared" si="1"/>
        <v>10000</v>
      </c>
      <c r="V63" s="80"/>
      <c r="W63" s="80"/>
      <c r="X63" s="80"/>
      <c r="Y63" s="72"/>
      <c r="Z63" s="72">
        <v>500</v>
      </c>
      <c r="AA63" s="72">
        <v>3000</v>
      </c>
      <c r="AB63" s="72">
        <v>3000</v>
      </c>
      <c r="AC63" s="72">
        <v>0</v>
      </c>
      <c r="AD63" s="77"/>
      <c r="AE63" s="75"/>
      <c r="AF63" s="75"/>
      <c r="AG63" s="75">
        <v>10000</v>
      </c>
      <c r="AH63" s="75">
        <v>10000</v>
      </c>
      <c r="AI63" s="75">
        <v>10000</v>
      </c>
      <c r="AJ63" s="75">
        <v>10000</v>
      </c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19" t="s">
        <v>978</v>
      </c>
      <c r="AX63" s="19" t="s">
        <v>85</v>
      </c>
      <c r="AY63" s="19" t="s">
        <v>261</v>
      </c>
      <c r="AZ63" s="19" t="s">
        <v>62</v>
      </c>
      <c r="BA63" s="19" t="s">
        <v>96</v>
      </c>
      <c r="BB63" s="19" t="s">
        <v>141</v>
      </c>
      <c r="BC63" s="19" t="s">
        <v>1626</v>
      </c>
      <c r="BD63" s="19" t="s">
        <v>1627</v>
      </c>
      <c r="BE63" s="19"/>
      <c r="BF63" s="19"/>
      <c r="BG63" s="24"/>
      <c r="BH63" s="19">
        <v>45858</v>
      </c>
      <c r="BI63" s="25">
        <v>45920</v>
      </c>
      <c r="BJ63" s="25">
        <v>45920</v>
      </c>
      <c r="BK63" s="25">
        <v>45616</v>
      </c>
      <c r="BL63" s="25">
        <v>45708</v>
      </c>
      <c r="BM63" s="25">
        <v>45736</v>
      </c>
      <c r="BN63" s="37">
        <v>1</v>
      </c>
      <c r="BO63" s="21">
        <v>5</v>
      </c>
      <c r="BP63" s="27">
        <f t="shared" si="23"/>
        <v>405</v>
      </c>
      <c r="BQ63" s="27">
        <f t="shared" si="24"/>
        <v>2430</v>
      </c>
      <c r="BR63" s="27">
        <f t="shared" si="25"/>
        <v>2430</v>
      </c>
      <c r="BS63" s="27">
        <f t="shared" si="26"/>
        <v>0</v>
      </c>
      <c r="BT63" s="28">
        <f t="shared" si="27"/>
        <v>0</v>
      </c>
      <c r="BU63" s="28">
        <f t="shared" si="3"/>
        <v>0</v>
      </c>
      <c r="BV63" s="28">
        <f t="shared" si="4"/>
        <v>0</v>
      </c>
      <c r="BW63" s="28">
        <f t="shared" si="5"/>
        <v>8100.0000000000009</v>
      </c>
    </row>
    <row r="64" spans="1:75" ht="17.399999999999999" x14ac:dyDescent="0.25">
      <c r="A64" s="69">
        <f t="shared" si="13"/>
        <v>63</v>
      </c>
      <c r="B64" s="73" t="s">
        <v>899</v>
      </c>
      <c r="C64" s="71" t="s">
        <v>243</v>
      </c>
      <c r="D64" s="71" t="s">
        <v>1624</v>
      </c>
      <c r="E64" s="71" t="s">
        <v>1532</v>
      </c>
      <c r="F64" s="71" t="s">
        <v>1625</v>
      </c>
      <c r="G64" s="71" t="s">
        <v>900</v>
      </c>
      <c r="H64" s="71" t="s">
        <v>1634</v>
      </c>
      <c r="I64" s="71" t="str">
        <f>VLOOKUP(H64,[1]Sheet1!$C:$C,1,0)</f>
        <v>SC1445A1-41F</v>
      </c>
      <c r="J64" s="71"/>
      <c r="K64" s="71"/>
      <c r="L64" s="73" t="s">
        <v>1139</v>
      </c>
      <c r="M64" s="80">
        <v>200000</v>
      </c>
      <c r="N64" s="72" t="s">
        <v>361</v>
      </c>
      <c r="O64" s="73"/>
      <c r="P64" s="71" t="s">
        <v>504</v>
      </c>
      <c r="Q64" s="71"/>
      <c r="R64" s="100">
        <v>0.34</v>
      </c>
      <c r="S64" s="75">
        <f t="shared" si="22"/>
        <v>3060</v>
      </c>
      <c r="T64" s="91">
        <v>0</v>
      </c>
      <c r="U64" s="76">
        <f t="shared" si="1"/>
        <v>9000</v>
      </c>
      <c r="V64" s="80"/>
      <c r="W64" s="80"/>
      <c r="X64" s="80"/>
      <c r="Y64" s="72">
        <v>3000</v>
      </c>
      <c r="Z64" s="72">
        <v>3000</v>
      </c>
      <c r="AA64" s="72">
        <v>3000</v>
      </c>
      <c r="AB64" s="72">
        <v>3000</v>
      </c>
      <c r="AC64" s="72">
        <v>3000</v>
      </c>
      <c r="AD64" s="77">
        <v>3000</v>
      </c>
      <c r="AE64" s="75">
        <v>3000</v>
      </c>
      <c r="AF64" s="75">
        <v>3000</v>
      </c>
      <c r="AG64" s="75">
        <v>3000</v>
      </c>
      <c r="AH64" s="75">
        <v>3000</v>
      </c>
      <c r="AI64" s="75">
        <v>3000</v>
      </c>
      <c r="AJ64" s="75">
        <v>3000</v>
      </c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10" t="s">
        <v>494</v>
      </c>
      <c r="AX64" s="10" t="s">
        <v>85</v>
      </c>
      <c r="AY64" s="19" t="s">
        <v>261</v>
      </c>
      <c r="AZ64" s="10" t="s">
        <v>62</v>
      </c>
      <c r="BA64" s="10" t="s">
        <v>96</v>
      </c>
      <c r="BB64" s="10" t="s">
        <v>141</v>
      </c>
      <c r="BC64" s="10" t="s">
        <v>1626</v>
      </c>
      <c r="BD64" s="10" t="s">
        <v>1627</v>
      </c>
      <c r="BE64" s="10"/>
      <c r="BF64" s="10"/>
      <c r="BG64" s="13"/>
      <c r="BH64" s="10">
        <v>45858</v>
      </c>
      <c r="BI64" s="14">
        <v>45920</v>
      </c>
      <c r="BJ64" s="14">
        <v>45920</v>
      </c>
      <c r="BK64" s="14">
        <v>45616</v>
      </c>
      <c r="BL64" s="14">
        <v>45708</v>
      </c>
      <c r="BM64" s="14">
        <v>45736</v>
      </c>
      <c r="BN64" s="35">
        <v>1</v>
      </c>
      <c r="BO64" s="11">
        <v>5</v>
      </c>
      <c r="BP64" s="16">
        <f t="shared" si="23"/>
        <v>1020.0000000000001</v>
      </c>
      <c r="BQ64" s="16">
        <f t="shared" si="24"/>
        <v>1020.0000000000001</v>
      </c>
      <c r="BR64" s="16">
        <f t="shared" si="25"/>
        <v>1020.0000000000001</v>
      </c>
      <c r="BS64" s="16">
        <f t="shared" si="26"/>
        <v>1020.0000000000001</v>
      </c>
      <c r="BT64" s="17">
        <f t="shared" si="27"/>
        <v>1020.0000000000001</v>
      </c>
      <c r="BU64" s="28">
        <f t="shared" si="3"/>
        <v>1020.0000000000001</v>
      </c>
      <c r="BV64" s="28">
        <f t="shared" si="4"/>
        <v>1020.0000000000001</v>
      </c>
      <c r="BW64" s="28">
        <f t="shared" si="5"/>
        <v>1020.0000000000001</v>
      </c>
    </row>
    <row r="65" spans="1:75" ht="17.399999999999999" x14ac:dyDescent="0.25">
      <c r="A65" s="69">
        <f t="shared" si="13"/>
        <v>64</v>
      </c>
      <c r="B65" s="73" t="s">
        <v>1637</v>
      </c>
      <c r="C65" s="71" t="s">
        <v>243</v>
      </c>
      <c r="D65" s="71" t="s">
        <v>1624</v>
      </c>
      <c r="E65" s="71" t="s">
        <v>1532</v>
      </c>
      <c r="F65" s="71" t="s">
        <v>1625</v>
      </c>
      <c r="G65" s="71" t="s">
        <v>255</v>
      </c>
      <c r="H65" s="71" t="s">
        <v>1465</v>
      </c>
      <c r="I65" s="71" t="str">
        <f>VLOOKUP(H65,[1]Sheet1!$C:$C,1,0)</f>
        <v>SC69401DC-Q-HD-4XCR-69401</v>
      </c>
      <c r="J65" s="71"/>
      <c r="K65" s="71"/>
      <c r="L65" s="73" t="s">
        <v>1638</v>
      </c>
      <c r="M65" s="80">
        <v>120000</v>
      </c>
      <c r="N65" s="72" t="s">
        <v>251</v>
      </c>
      <c r="O65" s="73"/>
      <c r="P65" s="71" t="s">
        <v>504</v>
      </c>
      <c r="Q65" s="71"/>
      <c r="R65" s="100">
        <v>3.8</v>
      </c>
      <c r="S65" s="75">
        <f t="shared" si="22"/>
        <v>19000</v>
      </c>
      <c r="T65" s="91">
        <v>0</v>
      </c>
      <c r="U65" s="76">
        <f t="shared" si="1"/>
        <v>5000</v>
      </c>
      <c r="V65" s="80"/>
      <c r="W65" s="80"/>
      <c r="X65" s="80"/>
      <c r="Y65" s="72"/>
      <c r="Z65" s="72"/>
      <c r="AA65" s="72"/>
      <c r="AB65" s="72"/>
      <c r="AC65" s="72"/>
      <c r="AD65" s="77"/>
      <c r="AE65" s="75"/>
      <c r="AF65" s="75"/>
      <c r="AG65" s="75">
        <v>5000</v>
      </c>
      <c r="AH65" s="75">
        <v>5000</v>
      </c>
      <c r="AI65" s="75">
        <v>5000</v>
      </c>
      <c r="AJ65" s="75">
        <v>5000</v>
      </c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19" t="s">
        <v>494</v>
      </c>
      <c r="AX65" s="19" t="s">
        <v>85</v>
      </c>
      <c r="AY65" s="19" t="s">
        <v>371</v>
      </c>
      <c r="AZ65" s="19" t="s">
        <v>62</v>
      </c>
      <c r="BA65" s="19" t="s">
        <v>96</v>
      </c>
      <c r="BB65" s="19" t="s">
        <v>141</v>
      </c>
      <c r="BC65" s="19" t="s">
        <v>1626</v>
      </c>
      <c r="BD65" s="19" t="s">
        <v>1627</v>
      </c>
      <c r="BE65" s="19"/>
      <c r="BF65" s="19"/>
      <c r="BG65" s="24"/>
      <c r="BH65" s="19">
        <v>45858</v>
      </c>
      <c r="BI65" s="25">
        <v>45920</v>
      </c>
      <c r="BJ65" s="25">
        <v>45920</v>
      </c>
      <c r="BK65" s="25">
        <v>45616</v>
      </c>
      <c r="BL65" s="25">
        <v>45708</v>
      </c>
      <c r="BM65" s="25">
        <v>45736</v>
      </c>
      <c r="BN65" s="37">
        <v>1</v>
      </c>
      <c r="BO65" s="21">
        <v>5</v>
      </c>
      <c r="BP65" s="27">
        <f t="shared" si="23"/>
        <v>0</v>
      </c>
      <c r="BQ65" s="27">
        <f t="shared" si="24"/>
        <v>0</v>
      </c>
      <c r="BR65" s="27">
        <f t="shared" si="25"/>
        <v>0</v>
      </c>
      <c r="BS65" s="27">
        <f t="shared" si="26"/>
        <v>0</v>
      </c>
      <c r="BT65" s="28">
        <f t="shared" si="27"/>
        <v>0</v>
      </c>
      <c r="BU65" s="28">
        <f t="shared" si="3"/>
        <v>0</v>
      </c>
      <c r="BV65" s="28">
        <f t="shared" si="4"/>
        <v>0</v>
      </c>
      <c r="BW65" s="28">
        <f t="shared" si="5"/>
        <v>19000</v>
      </c>
    </row>
    <row r="66" spans="1:75" ht="17.399999999999999" x14ac:dyDescent="0.25">
      <c r="A66" s="69">
        <f t="shared" ref="A66:A102" si="28">ROW()-1</f>
        <v>65</v>
      </c>
      <c r="B66" s="73" t="s">
        <v>1639</v>
      </c>
      <c r="C66" s="71" t="s">
        <v>243</v>
      </c>
      <c r="D66" s="71" t="s">
        <v>1624</v>
      </c>
      <c r="E66" s="71" t="s">
        <v>1532</v>
      </c>
      <c r="F66" s="71" t="s">
        <v>1625</v>
      </c>
      <c r="G66" s="71" t="s">
        <v>840</v>
      </c>
      <c r="H66" s="71" t="s">
        <v>1441</v>
      </c>
      <c r="I66" s="71" t="str">
        <f>VLOOKUP(H66,[1]Sheet1!$C:$C,1,0)</f>
        <v>SC2462SO-Q-CJ-10CR-2462</v>
      </c>
      <c r="J66" s="71"/>
      <c r="K66" s="71"/>
      <c r="L66" s="73" t="s">
        <v>1640</v>
      </c>
      <c r="M66" s="80">
        <v>120000</v>
      </c>
      <c r="N66" s="72" t="s">
        <v>361</v>
      </c>
      <c r="O66" s="73"/>
      <c r="P66" s="71" t="s">
        <v>504</v>
      </c>
      <c r="Q66" s="71"/>
      <c r="R66" s="100">
        <v>0.52</v>
      </c>
      <c r="S66" s="75">
        <f t="shared" si="22"/>
        <v>23400</v>
      </c>
      <c r="T66" s="91">
        <v>0</v>
      </c>
      <c r="U66" s="76">
        <f t="shared" ref="U66:U129" si="29">SUM(AE66:AG66)</f>
        <v>45000</v>
      </c>
      <c r="V66" s="80"/>
      <c r="W66" s="80">
        <v>12000</v>
      </c>
      <c r="X66" s="80"/>
      <c r="Y66" s="72">
        <v>12000</v>
      </c>
      <c r="Z66" s="72">
        <v>15000</v>
      </c>
      <c r="AA66" s="72">
        <v>15000</v>
      </c>
      <c r="AB66" s="72">
        <v>15000</v>
      </c>
      <c r="AC66" s="72">
        <v>15000</v>
      </c>
      <c r="AD66" s="77">
        <v>15000</v>
      </c>
      <c r="AE66" s="75">
        <v>15000</v>
      </c>
      <c r="AF66" s="75">
        <v>15000</v>
      </c>
      <c r="AG66" s="75">
        <v>15000</v>
      </c>
      <c r="AH66" s="75">
        <v>15000</v>
      </c>
      <c r="AI66" s="75">
        <v>15000</v>
      </c>
      <c r="AJ66" s="75">
        <v>15000</v>
      </c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10" t="s">
        <v>689</v>
      </c>
      <c r="AX66" s="10" t="s">
        <v>85</v>
      </c>
      <c r="AY66" s="19" t="s">
        <v>261</v>
      </c>
      <c r="AZ66" s="10" t="s">
        <v>62</v>
      </c>
      <c r="BA66" s="10" t="s">
        <v>86</v>
      </c>
      <c r="BB66" s="10" t="s">
        <v>87</v>
      </c>
      <c r="BC66" s="10" t="s">
        <v>1641</v>
      </c>
      <c r="BD66" s="10"/>
      <c r="BE66" s="10"/>
      <c r="BF66" s="10"/>
      <c r="BG66" s="13"/>
      <c r="BH66" s="10">
        <v>45432</v>
      </c>
      <c r="BI66" s="14">
        <v>45311</v>
      </c>
      <c r="BJ66" s="14">
        <v>45342</v>
      </c>
      <c r="BK66" s="14">
        <v>45371</v>
      </c>
      <c r="BL66" s="14">
        <v>45402</v>
      </c>
      <c r="BM66" s="14">
        <v>45402</v>
      </c>
      <c r="BN66" s="35">
        <v>1</v>
      </c>
      <c r="BO66" s="11">
        <v>5</v>
      </c>
      <c r="BP66" s="16">
        <f t="shared" si="23"/>
        <v>7800</v>
      </c>
      <c r="BQ66" s="16">
        <f t="shared" si="24"/>
        <v>7800</v>
      </c>
      <c r="BR66" s="16">
        <f t="shared" si="25"/>
        <v>7800</v>
      </c>
      <c r="BS66" s="16">
        <f t="shared" si="26"/>
        <v>7800</v>
      </c>
      <c r="BT66" s="17">
        <f t="shared" si="27"/>
        <v>7800</v>
      </c>
      <c r="BU66" s="28">
        <f t="shared" si="3"/>
        <v>7800</v>
      </c>
      <c r="BV66" s="28">
        <f t="shared" si="4"/>
        <v>7800</v>
      </c>
      <c r="BW66" s="28">
        <f t="shared" si="5"/>
        <v>7800</v>
      </c>
    </row>
    <row r="67" spans="1:75" ht="17.399999999999999" x14ac:dyDescent="0.25">
      <c r="A67" s="69">
        <f t="shared" si="28"/>
        <v>66</v>
      </c>
      <c r="B67" s="73" t="s">
        <v>1642</v>
      </c>
      <c r="C67" s="71" t="s">
        <v>243</v>
      </c>
      <c r="D67" s="71" t="s">
        <v>1643</v>
      </c>
      <c r="E67" s="71" t="s">
        <v>1532</v>
      </c>
      <c r="F67" s="71" t="s">
        <v>1644</v>
      </c>
      <c r="G67" s="71" t="s">
        <v>525</v>
      </c>
      <c r="H67" s="71" t="s">
        <v>1288</v>
      </c>
      <c r="I67" s="71" t="str">
        <f>VLOOKUP(H67,[1]Sheet1!$C:$C,1,0)</f>
        <v>SC2442SO-N-Q-DB-60CR-2442</v>
      </c>
      <c r="J67" s="71"/>
      <c r="K67" s="71"/>
      <c r="L67" s="73" t="s">
        <v>1243</v>
      </c>
      <c r="M67" s="80">
        <v>200000</v>
      </c>
      <c r="N67" s="72" t="s">
        <v>367</v>
      </c>
      <c r="O67" s="73"/>
      <c r="P67" s="71" t="s">
        <v>504</v>
      </c>
      <c r="Q67" s="71"/>
      <c r="R67" s="100">
        <v>0.52</v>
      </c>
      <c r="S67" s="75">
        <f t="shared" si="22"/>
        <v>6240</v>
      </c>
      <c r="T67" s="91">
        <v>0</v>
      </c>
      <c r="U67" s="76">
        <f t="shared" si="29"/>
        <v>12000</v>
      </c>
      <c r="V67" s="80"/>
      <c r="W67" s="80"/>
      <c r="X67" s="80"/>
      <c r="Y67" s="72">
        <v>8000</v>
      </c>
      <c r="Z67" s="72">
        <v>8000</v>
      </c>
      <c r="AA67" s="72">
        <v>8000</v>
      </c>
      <c r="AB67" s="72">
        <v>10000</v>
      </c>
      <c r="AC67" s="72"/>
      <c r="AD67" s="77"/>
      <c r="AE67" s="75"/>
      <c r="AF67" s="75"/>
      <c r="AG67" s="75">
        <v>12000</v>
      </c>
      <c r="AH67" s="75">
        <v>12000</v>
      </c>
      <c r="AI67" s="75">
        <v>12000</v>
      </c>
      <c r="AJ67" s="75">
        <v>12000</v>
      </c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19" t="s">
        <v>494</v>
      </c>
      <c r="AX67" s="19" t="s">
        <v>85</v>
      </c>
      <c r="AY67" s="19" t="s">
        <v>261</v>
      </c>
      <c r="AZ67" s="19" t="s">
        <v>62</v>
      </c>
      <c r="BA67" s="19" t="s">
        <v>96</v>
      </c>
      <c r="BB67" s="19" t="s">
        <v>1399</v>
      </c>
      <c r="BC67" s="19" t="s">
        <v>1645</v>
      </c>
      <c r="BD67" s="19" t="s">
        <v>98</v>
      </c>
      <c r="BE67" s="19"/>
      <c r="BF67" s="19"/>
      <c r="BG67" s="24"/>
      <c r="BH67" s="19">
        <v>45493</v>
      </c>
      <c r="BI67" s="25">
        <v>45371</v>
      </c>
      <c r="BJ67" s="25">
        <v>45402</v>
      </c>
      <c r="BK67" s="25">
        <v>45432</v>
      </c>
      <c r="BL67" s="25">
        <v>45463</v>
      </c>
      <c r="BM67" s="25">
        <v>45463</v>
      </c>
      <c r="BN67" s="37">
        <v>1</v>
      </c>
      <c r="BO67" s="21">
        <v>5</v>
      </c>
      <c r="BP67" s="27">
        <f t="shared" si="23"/>
        <v>4160</v>
      </c>
      <c r="BQ67" s="27">
        <f t="shared" si="24"/>
        <v>4160</v>
      </c>
      <c r="BR67" s="27">
        <f t="shared" si="25"/>
        <v>5200</v>
      </c>
      <c r="BS67" s="27">
        <f t="shared" si="26"/>
        <v>0</v>
      </c>
      <c r="BT67" s="28">
        <f t="shared" si="27"/>
        <v>0</v>
      </c>
      <c r="BU67" s="28">
        <f t="shared" si="3"/>
        <v>0</v>
      </c>
      <c r="BV67" s="28">
        <f t="shared" si="4"/>
        <v>0</v>
      </c>
      <c r="BW67" s="28">
        <f t="shared" si="5"/>
        <v>6240</v>
      </c>
    </row>
    <row r="68" spans="1:75" ht="17.399999999999999" x14ac:dyDescent="0.25">
      <c r="A68" s="69">
        <f t="shared" si="28"/>
        <v>67</v>
      </c>
      <c r="B68" s="73" t="s">
        <v>1646</v>
      </c>
      <c r="C68" s="71" t="s">
        <v>235</v>
      </c>
      <c r="D68" s="71" t="s">
        <v>1643</v>
      </c>
      <c r="E68" s="71" t="s">
        <v>1532</v>
      </c>
      <c r="F68" s="71" t="s">
        <v>1644</v>
      </c>
      <c r="G68" s="71" t="s">
        <v>400</v>
      </c>
      <c r="H68" s="71" t="s">
        <v>1539</v>
      </c>
      <c r="I68" s="71" t="str">
        <f>VLOOKUP(H68,[1]Sheet1!$C:$C,1,0)</f>
        <v>SC1134SO-N-Q-CI-00LR-1134</v>
      </c>
      <c r="J68" s="71"/>
      <c r="K68" s="71" t="s">
        <v>571</v>
      </c>
      <c r="L68" s="73" t="s">
        <v>572</v>
      </c>
      <c r="M68" s="80">
        <v>300000</v>
      </c>
      <c r="N68" s="72" t="s">
        <v>367</v>
      </c>
      <c r="O68" s="73"/>
      <c r="P68" s="71" t="s">
        <v>504</v>
      </c>
      <c r="Q68" s="71"/>
      <c r="R68" s="100">
        <v>0.42</v>
      </c>
      <c r="S68" s="75">
        <f t="shared" si="22"/>
        <v>6300</v>
      </c>
      <c r="T68" s="91">
        <v>0</v>
      </c>
      <c r="U68" s="76">
        <f t="shared" si="29"/>
        <v>15000</v>
      </c>
      <c r="V68" s="80"/>
      <c r="W68" s="80"/>
      <c r="X68" s="80"/>
      <c r="Y68" s="72"/>
      <c r="Z68" s="72"/>
      <c r="AA68" s="72">
        <v>5000</v>
      </c>
      <c r="AB68" s="72">
        <v>5000</v>
      </c>
      <c r="AC68" s="72">
        <v>5000</v>
      </c>
      <c r="AD68" s="77">
        <v>5000</v>
      </c>
      <c r="AE68" s="75">
        <v>5000</v>
      </c>
      <c r="AF68" s="75">
        <v>5000</v>
      </c>
      <c r="AG68" s="75">
        <v>5000</v>
      </c>
      <c r="AH68" s="75">
        <v>5000</v>
      </c>
      <c r="AI68" s="75">
        <v>5000</v>
      </c>
      <c r="AJ68" s="75">
        <v>5000</v>
      </c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10" t="s">
        <v>494</v>
      </c>
      <c r="AX68" s="10" t="s">
        <v>85</v>
      </c>
      <c r="AY68" s="19" t="s">
        <v>261</v>
      </c>
      <c r="AZ68" s="10" t="s">
        <v>62</v>
      </c>
      <c r="BA68" s="10" t="s">
        <v>466</v>
      </c>
      <c r="BB68" s="10" t="s">
        <v>1536</v>
      </c>
      <c r="BC68" s="10" t="s">
        <v>1093</v>
      </c>
      <c r="BD68" s="10" t="s">
        <v>1647</v>
      </c>
      <c r="BE68" s="10"/>
      <c r="BF68" s="10" t="s">
        <v>1648</v>
      </c>
      <c r="BG68" s="13">
        <v>3</v>
      </c>
      <c r="BH68" s="10">
        <v>45677</v>
      </c>
      <c r="BI68" s="14">
        <v>45311</v>
      </c>
      <c r="BJ68" s="14">
        <v>45371</v>
      </c>
      <c r="BK68" s="14">
        <v>45432</v>
      </c>
      <c r="BL68" s="14">
        <v>45463</v>
      </c>
      <c r="BM68" s="14">
        <v>45493</v>
      </c>
      <c r="BN68" s="35">
        <v>1</v>
      </c>
      <c r="BO68" s="11">
        <v>5</v>
      </c>
      <c r="BP68" s="16">
        <f t="shared" si="23"/>
        <v>0</v>
      </c>
      <c r="BQ68" s="16">
        <f t="shared" si="24"/>
        <v>2100</v>
      </c>
      <c r="BR68" s="16">
        <f t="shared" si="25"/>
        <v>2100</v>
      </c>
      <c r="BS68" s="16">
        <f t="shared" si="26"/>
        <v>2100</v>
      </c>
      <c r="BT68" s="17">
        <f t="shared" si="27"/>
        <v>2100</v>
      </c>
      <c r="BU68" s="28">
        <f t="shared" ref="BU68:BU131" si="30">$R68*AE68</f>
        <v>2100</v>
      </c>
      <c r="BV68" s="28">
        <f t="shared" ref="BV68:BV131" si="31">$R68*AF68</f>
        <v>2100</v>
      </c>
      <c r="BW68" s="28">
        <f t="shared" ref="BW68:BW131" si="32">$R68*AG68</f>
        <v>2100</v>
      </c>
    </row>
    <row r="69" spans="1:75" ht="17.399999999999999" x14ac:dyDescent="0.25">
      <c r="A69" s="69">
        <f t="shared" si="28"/>
        <v>68</v>
      </c>
      <c r="B69" s="73" t="s">
        <v>1646</v>
      </c>
      <c r="C69" s="71" t="s">
        <v>235</v>
      </c>
      <c r="D69" s="71" t="s">
        <v>1643</v>
      </c>
      <c r="E69" s="71" t="s">
        <v>1532</v>
      </c>
      <c r="F69" s="71" t="s">
        <v>1644</v>
      </c>
      <c r="G69" s="71" t="s">
        <v>407</v>
      </c>
      <c r="H69" s="71" t="s">
        <v>1649</v>
      </c>
      <c r="I69" s="71" t="str">
        <f>VLOOKUP(H69,[1]Sheet1!$C:$C,1,0)</f>
        <v>SC2438SO-Q-CM-10CR-2438</v>
      </c>
      <c r="J69" s="71"/>
      <c r="K69" s="71"/>
      <c r="L69" s="73" t="s">
        <v>572</v>
      </c>
      <c r="M69" s="80">
        <v>300000</v>
      </c>
      <c r="N69" s="72" t="s">
        <v>367</v>
      </c>
      <c r="O69" s="73"/>
      <c r="P69" s="71" t="s">
        <v>504</v>
      </c>
      <c r="Q69" s="71"/>
      <c r="R69" s="100">
        <v>0.51</v>
      </c>
      <c r="S69" s="75">
        <f t="shared" si="22"/>
        <v>7650</v>
      </c>
      <c r="T69" s="91">
        <v>0</v>
      </c>
      <c r="U69" s="76">
        <f t="shared" si="29"/>
        <v>15000</v>
      </c>
      <c r="V69" s="80"/>
      <c r="W69" s="80"/>
      <c r="X69" s="80"/>
      <c r="Y69" s="72"/>
      <c r="Z69" s="72"/>
      <c r="AA69" s="72">
        <v>5000</v>
      </c>
      <c r="AB69" s="72">
        <v>5000</v>
      </c>
      <c r="AC69" s="72">
        <v>5000</v>
      </c>
      <c r="AD69" s="77">
        <v>5000</v>
      </c>
      <c r="AE69" s="75">
        <v>5000</v>
      </c>
      <c r="AF69" s="75">
        <v>5000</v>
      </c>
      <c r="AG69" s="75">
        <v>5000</v>
      </c>
      <c r="AH69" s="75">
        <v>5000</v>
      </c>
      <c r="AI69" s="75">
        <v>5000</v>
      </c>
      <c r="AJ69" s="75">
        <v>5000</v>
      </c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19" t="s">
        <v>494</v>
      </c>
      <c r="AX69" s="19" t="s">
        <v>85</v>
      </c>
      <c r="AY69" s="19" t="s">
        <v>261</v>
      </c>
      <c r="AZ69" s="19" t="s">
        <v>62</v>
      </c>
      <c r="BA69" s="19" t="s">
        <v>466</v>
      </c>
      <c r="BB69" s="19" t="s">
        <v>1536</v>
      </c>
      <c r="BC69" s="19" t="s">
        <v>1093</v>
      </c>
      <c r="BD69" s="19" t="s">
        <v>1647</v>
      </c>
      <c r="BE69" s="19"/>
      <c r="BF69" s="19" t="s">
        <v>1648</v>
      </c>
      <c r="BG69" s="24">
        <v>3</v>
      </c>
      <c r="BH69" s="19">
        <v>45677</v>
      </c>
      <c r="BI69" s="25">
        <v>45311</v>
      </c>
      <c r="BJ69" s="25">
        <v>45371</v>
      </c>
      <c r="BK69" s="25">
        <v>45432</v>
      </c>
      <c r="BL69" s="25">
        <v>45463</v>
      </c>
      <c r="BM69" s="25">
        <v>45493</v>
      </c>
      <c r="BN69" s="37">
        <v>1</v>
      </c>
      <c r="BO69" s="21">
        <v>5</v>
      </c>
      <c r="BP69" s="27">
        <f t="shared" si="23"/>
        <v>0</v>
      </c>
      <c r="BQ69" s="27">
        <f t="shared" si="24"/>
        <v>2550</v>
      </c>
      <c r="BR69" s="27">
        <f t="shared" si="25"/>
        <v>2550</v>
      </c>
      <c r="BS69" s="27">
        <f t="shared" si="26"/>
        <v>2550</v>
      </c>
      <c r="BT69" s="28">
        <f t="shared" si="27"/>
        <v>2550</v>
      </c>
      <c r="BU69" s="28">
        <f t="shared" si="30"/>
        <v>2550</v>
      </c>
      <c r="BV69" s="28">
        <f t="shared" si="31"/>
        <v>2550</v>
      </c>
      <c r="BW69" s="28">
        <f t="shared" si="32"/>
        <v>2550</v>
      </c>
    </row>
    <row r="70" spans="1:75" ht="17.399999999999999" x14ac:dyDescent="0.25">
      <c r="A70" s="69">
        <f t="shared" si="28"/>
        <v>69</v>
      </c>
      <c r="B70" s="73" t="s">
        <v>1650</v>
      </c>
      <c r="C70" s="71" t="s">
        <v>235</v>
      </c>
      <c r="D70" s="71" t="s">
        <v>1643</v>
      </c>
      <c r="E70" s="71" t="s">
        <v>1532</v>
      </c>
      <c r="F70" s="71" t="s">
        <v>1651</v>
      </c>
      <c r="G70" s="71" t="s">
        <v>543</v>
      </c>
      <c r="H70" s="71" t="s">
        <v>1652</v>
      </c>
      <c r="I70" s="71" t="str">
        <f>VLOOKUP(H70,[1]Sheet1!$C:$C,1,0)</f>
        <v>SC9641TS-PC-Q-AI-10LR-9641PC</v>
      </c>
      <c r="J70" s="71"/>
      <c r="K70" s="71"/>
      <c r="L70" s="73" t="s">
        <v>448</v>
      </c>
      <c r="M70" s="80">
        <v>400000</v>
      </c>
      <c r="N70" s="72" t="s">
        <v>367</v>
      </c>
      <c r="O70" s="73"/>
      <c r="P70" s="71" t="s">
        <v>504</v>
      </c>
      <c r="Q70" s="71"/>
      <c r="R70" s="100">
        <v>2.5</v>
      </c>
      <c r="S70" s="75">
        <f t="shared" si="22"/>
        <v>62500</v>
      </c>
      <c r="T70" s="91">
        <v>0</v>
      </c>
      <c r="U70" s="76">
        <f t="shared" si="29"/>
        <v>25000</v>
      </c>
      <c r="V70" s="80"/>
      <c r="W70" s="80"/>
      <c r="X70" s="80"/>
      <c r="Y70" s="72">
        <v>10000</v>
      </c>
      <c r="Z70" s="72">
        <v>20000</v>
      </c>
      <c r="AA70" s="72">
        <v>30000</v>
      </c>
      <c r="AB70" s="72">
        <v>30000</v>
      </c>
      <c r="AC70" s="72">
        <v>10000</v>
      </c>
      <c r="AD70" s="77">
        <v>5000</v>
      </c>
      <c r="AE70" s="75">
        <v>5000</v>
      </c>
      <c r="AF70" s="75">
        <v>10000</v>
      </c>
      <c r="AG70" s="75">
        <v>10000</v>
      </c>
      <c r="AH70" s="75">
        <v>10000</v>
      </c>
      <c r="AI70" s="75">
        <v>10000</v>
      </c>
      <c r="AJ70" s="75">
        <v>10000</v>
      </c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10" t="s">
        <v>1375</v>
      </c>
      <c r="AX70" s="10" t="s">
        <v>85</v>
      </c>
      <c r="AY70" s="19" t="s">
        <v>386</v>
      </c>
      <c r="AZ70" s="10" t="s">
        <v>62</v>
      </c>
      <c r="BA70" s="10" t="s">
        <v>466</v>
      </c>
      <c r="BB70" s="10" t="s">
        <v>1610</v>
      </c>
      <c r="BC70" s="10" t="s">
        <v>1611</v>
      </c>
      <c r="BD70" s="10"/>
      <c r="BE70" s="10"/>
      <c r="BF70" s="10"/>
      <c r="BG70" s="13"/>
      <c r="BH70" s="10">
        <v>45585</v>
      </c>
      <c r="BI70" s="14">
        <v>45189</v>
      </c>
      <c r="BJ70" s="14">
        <v>45219</v>
      </c>
      <c r="BK70" s="14">
        <v>45280</v>
      </c>
      <c r="BL70" s="14">
        <v>45432</v>
      </c>
      <c r="BM70" s="14">
        <v>45493</v>
      </c>
      <c r="BN70" s="35">
        <v>1</v>
      </c>
      <c r="BO70" s="11">
        <v>5</v>
      </c>
      <c r="BP70" s="16">
        <f t="shared" si="23"/>
        <v>50000</v>
      </c>
      <c r="BQ70" s="16">
        <f t="shared" si="24"/>
        <v>75000</v>
      </c>
      <c r="BR70" s="16">
        <f t="shared" si="25"/>
        <v>75000</v>
      </c>
      <c r="BS70" s="16">
        <f t="shared" si="26"/>
        <v>25000</v>
      </c>
      <c r="BT70" s="17">
        <f t="shared" si="27"/>
        <v>12500</v>
      </c>
      <c r="BU70" s="28">
        <f t="shared" si="30"/>
        <v>12500</v>
      </c>
      <c r="BV70" s="28">
        <f t="shared" si="31"/>
        <v>25000</v>
      </c>
      <c r="BW70" s="28">
        <f t="shared" si="32"/>
        <v>25000</v>
      </c>
    </row>
    <row r="71" spans="1:75" ht="17.399999999999999" x14ac:dyDescent="0.25">
      <c r="A71" s="69">
        <f t="shared" si="28"/>
        <v>70</v>
      </c>
      <c r="B71" s="73" t="s">
        <v>1650</v>
      </c>
      <c r="C71" s="71" t="s">
        <v>235</v>
      </c>
      <c r="D71" s="71" t="s">
        <v>1643</v>
      </c>
      <c r="E71" s="71" t="s">
        <v>1532</v>
      </c>
      <c r="F71" s="71" t="s">
        <v>1651</v>
      </c>
      <c r="G71" s="71" t="s">
        <v>545</v>
      </c>
      <c r="H71" s="71" t="s">
        <v>585</v>
      </c>
      <c r="I71" s="71" t="str">
        <f>VLOOKUP(H71,[1]Sheet1!$C:$C,1,0)</f>
        <v>SC9642TS-EC-Q-AH-4XLR-9642</v>
      </c>
      <c r="J71" s="71"/>
      <c r="K71" s="71"/>
      <c r="L71" s="73" t="s">
        <v>448</v>
      </c>
      <c r="M71" s="80">
        <v>400000</v>
      </c>
      <c r="N71" s="72" t="s">
        <v>361</v>
      </c>
      <c r="O71" s="73"/>
      <c r="P71" s="71" t="s">
        <v>504</v>
      </c>
      <c r="Q71" s="71"/>
      <c r="R71" s="100">
        <v>2.5</v>
      </c>
      <c r="S71" s="75">
        <f t="shared" si="22"/>
        <v>62500</v>
      </c>
      <c r="T71" s="91">
        <v>0</v>
      </c>
      <c r="U71" s="76">
        <f t="shared" si="29"/>
        <v>25000</v>
      </c>
      <c r="V71" s="80"/>
      <c r="W71" s="80"/>
      <c r="X71" s="80"/>
      <c r="Y71" s="72">
        <v>10000</v>
      </c>
      <c r="Z71" s="72">
        <v>15000</v>
      </c>
      <c r="AA71" s="72">
        <v>20000</v>
      </c>
      <c r="AB71" s="72">
        <v>20000</v>
      </c>
      <c r="AC71" s="72">
        <v>10000</v>
      </c>
      <c r="AD71" s="77">
        <v>5000</v>
      </c>
      <c r="AE71" s="75">
        <v>5000</v>
      </c>
      <c r="AF71" s="75">
        <v>10000</v>
      </c>
      <c r="AG71" s="75">
        <v>10000</v>
      </c>
      <c r="AH71" s="75">
        <v>10000</v>
      </c>
      <c r="AI71" s="75">
        <v>10000</v>
      </c>
      <c r="AJ71" s="75">
        <v>10000</v>
      </c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19" t="s">
        <v>1375</v>
      </c>
      <c r="AX71" s="19" t="s">
        <v>85</v>
      </c>
      <c r="AY71" s="19" t="s">
        <v>386</v>
      </c>
      <c r="AZ71" s="19" t="s">
        <v>62</v>
      </c>
      <c r="BA71" s="19" t="s">
        <v>466</v>
      </c>
      <c r="BB71" s="19" t="s">
        <v>1610</v>
      </c>
      <c r="BC71" s="19" t="s">
        <v>1611</v>
      </c>
      <c r="BD71" s="19"/>
      <c r="BE71" s="19"/>
      <c r="BF71" s="19"/>
      <c r="BG71" s="24"/>
      <c r="BH71" s="19">
        <v>45646</v>
      </c>
      <c r="BI71" s="25">
        <v>45189</v>
      </c>
      <c r="BJ71" s="25">
        <v>45219</v>
      </c>
      <c r="BK71" s="25">
        <v>45280</v>
      </c>
      <c r="BL71" s="25">
        <v>45432</v>
      </c>
      <c r="BM71" s="25">
        <v>45493</v>
      </c>
      <c r="BN71" s="37">
        <v>1</v>
      </c>
      <c r="BO71" s="21">
        <v>5</v>
      </c>
      <c r="BP71" s="27">
        <f t="shared" si="23"/>
        <v>37500</v>
      </c>
      <c r="BQ71" s="27">
        <f t="shared" si="24"/>
        <v>50000</v>
      </c>
      <c r="BR71" s="27">
        <f t="shared" si="25"/>
        <v>50000</v>
      </c>
      <c r="BS71" s="27">
        <f t="shared" si="26"/>
        <v>25000</v>
      </c>
      <c r="BT71" s="28">
        <f t="shared" si="27"/>
        <v>12500</v>
      </c>
      <c r="BU71" s="28">
        <f t="shared" si="30"/>
        <v>12500</v>
      </c>
      <c r="BV71" s="28">
        <f t="shared" si="31"/>
        <v>25000</v>
      </c>
      <c r="BW71" s="28">
        <f t="shared" si="32"/>
        <v>25000</v>
      </c>
    </row>
    <row r="72" spans="1:75" ht="17.399999999999999" x14ac:dyDescent="0.25">
      <c r="A72" s="69">
        <f t="shared" si="28"/>
        <v>71</v>
      </c>
      <c r="B72" s="73" t="s">
        <v>1653</v>
      </c>
      <c r="C72" s="71" t="s">
        <v>243</v>
      </c>
      <c r="D72" s="71" t="s">
        <v>1643</v>
      </c>
      <c r="E72" s="71" t="s">
        <v>1532</v>
      </c>
      <c r="F72" s="71" t="s">
        <v>1654</v>
      </c>
      <c r="G72" s="71" t="s">
        <v>273</v>
      </c>
      <c r="H72" s="71" t="s">
        <v>1278</v>
      </c>
      <c r="I72" s="71" t="str">
        <f>VLOOKUP(H72,[1]Sheet1!$C:$C,1,0)</f>
        <v>SC2402SO-N-GA-00NR-2402</v>
      </c>
      <c r="J72" s="71"/>
      <c r="K72" s="71"/>
      <c r="L72" s="73" t="s">
        <v>1655</v>
      </c>
      <c r="M72" s="80">
        <v>800000</v>
      </c>
      <c r="N72" s="72" t="s">
        <v>251</v>
      </c>
      <c r="O72" s="73"/>
      <c r="P72" s="71" t="s">
        <v>504</v>
      </c>
      <c r="Q72" s="71"/>
      <c r="R72" s="100">
        <v>0.32</v>
      </c>
      <c r="S72" s="75">
        <f t="shared" si="22"/>
        <v>4800</v>
      </c>
      <c r="T72" s="91">
        <v>0</v>
      </c>
      <c r="U72" s="76">
        <f t="shared" si="29"/>
        <v>15000</v>
      </c>
      <c r="V72" s="80"/>
      <c r="W72" s="80"/>
      <c r="X72" s="80"/>
      <c r="Y72" s="72">
        <v>2000</v>
      </c>
      <c r="Z72" s="72">
        <v>2000</v>
      </c>
      <c r="AA72" s="72">
        <v>2000</v>
      </c>
      <c r="AB72" s="72">
        <v>5000</v>
      </c>
      <c r="AC72" s="72">
        <v>5000</v>
      </c>
      <c r="AD72" s="77">
        <v>5000</v>
      </c>
      <c r="AE72" s="75">
        <v>5000</v>
      </c>
      <c r="AF72" s="75">
        <v>5000</v>
      </c>
      <c r="AG72" s="75">
        <v>5000</v>
      </c>
      <c r="AH72" s="75">
        <v>5000</v>
      </c>
      <c r="AI72" s="75">
        <v>5000</v>
      </c>
      <c r="AJ72" s="75">
        <v>5000</v>
      </c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10" t="s">
        <v>689</v>
      </c>
      <c r="AX72" s="10" t="s">
        <v>85</v>
      </c>
      <c r="AY72" s="19" t="s">
        <v>261</v>
      </c>
      <c r="AZ72" s="10" t="s">
        <v>115</v>
      </c>
      <c r="BA72" s="10" t="s">
        <v>1656</v>
      </c>
      <c r="BB72" s="10" t="s">
        <v>1657</v>
      </c>
      <c r="BC72" s="10" t="s">
        <v>1658</v>
      </c>
      <c r="BD72" s="10"/>
      <c r="BE72" s="10"/>
      <c r="BF72" s="10"/>
      <c r="BG72" s="13"/>
      <c r="BH72" s="10">
        <v>45767</v>
      </c>
      <c r="BI72" s="14">
        <v>45555</v>
      </c>
      <c r="BJ72" s="14">
        <v>45585</v>
      </c>
      <c r="BK72" s="14">
        <v>45616</v>
      </c>
      <c r="BL72" s="14">
        <v>45646</v>
      </c>
      <c r="BM72" s="14">
        <v>45677</v>
      </c>
      <c r="BN72" s="35">
        <v>1</v>
      </c>
      <c r="BO72" s="11">
        <v>5</v>
      </c>
      <c r="BP72" s="16">
        <f t="shared" si="23"/>
        <v>640</v>
      </c>
      <c r="BQ72" s="16">
        <f t="shared" si="24"/>
        <v>640</v>
      </c>
      <c r="BR72" s="16">
        <f t="shared" si="25"/>
        <v>1600</v>
      </c>
      <c r="BS72" s="16">
        <f t="shared" si="26"/>
        <v>1600</v>
      </c>
      <c r="BT72" s="17">
        <f t="shared" si="27"/>
        <v>1600</v>
      </c>
      <c r="BU72" s="28">
        <f t="shared" si="30"/>
        <v>1600</v>
      </c>
      <c r="BV72" s="28">
        <f t="shared" si="31"/>
        <v>1600</v>
      </c>
      <c r="BW72" s="28">
        <f t="shared" si="32"/>
        <v>1600</v>
      </c>
    </row>
    <row r="73" spans="1:75" ht="17.399999999999999" x14ac:dyDescent="0.25">
      <c r="A73" s="69">
        <f t="shared" si="28"/>
        <v>72</v>
      </c>
      <c r="B73" s="73" t="s">
        <v>1653</v>
      </c>
      <c r="C73" s="71" t="s">
        <v>243</v>
      </c>
      <c r="D73" s="71" t="s">
        <v>1643</v>
      </c>
      <c r="E73" s="71" t="s">
        <v>1532</v>
      </c>
      <c r="F73" s="71" t="s">
        <v>1654</v>
      </c>
      <c r="G73" s="71" t="s">
        <v>339</v>
      </c>
      <c r="H73" s="71" t="s">
        <v>1659</v>
      </c>
      <c r="I73" s="71" t="str">
        <f>VLOOKUP(H73,[1]Sheet1!$C:$C,1,0)</f>
        <v>SC1245SO-N-CD-00NR-1245</v>
      </c>
      <c r="J73" s="71"/>
      <c r="K73" s="71"/>
      <c r="L73" s="73" t="s">
        <v>1655</v>
      </c>
      <c r="M73" s="80">
        <v>600000</v>
      </c>
      <c r="N73" s="72" t="s">
        <v>361</v>
      </c>
      <c r="O73" s="73"/>
      <c r="P73" s="71" t="s">
        <v>504</v>
      </c>
      <c r="Q73" s="71"/>
      <c r="R73" s="100">
        <v>0.32</v>
      </c>
      <c r="S73" s="75">
        <f t="shared" si="22"/>
        <v>19200</v>
      </c>
      <c r="T73" s="91">
        <v>0</v>
      </c>
      <c r="U73" s="76">
        <f t="shared" si="29"/>
        <v>60000</v>
      </c>
      <c r="V73" s="80">
        <v>6000</v>
      </c>
      <c r="W73" s="80"/>
      <c r="X73" s="80"/>
      <c r="Y73" s="72">
        <v>12000</v>
      </c>
      <c r="Z73" s="72">
        <v>50000</v>
      </c>
      <c r="AA73" s="72">
        <v>50000</v>
      </c>
      <c r="AB73" s="72">
        <v>50000</v>
      </c>
      <c r="AC73" s="72">
        <v>20000</v>
      </c>
      <c r="AD73" s="77"/>
      <c r="AE73" s="75">
        <v>20000</v>
      </c>
      <c r="AF73" s="75">
        <v>20000</v>
      </c>
      <c r="AG73" s="75">
        <v>20000</v>
      </c>
      <c r="AH73" s="75">
        <v>20000</v>
      </c>
      <c r="AI73" s="75">
        <v>20000</v>
      </c>
      <c r="AJ73" s="75">
        <v>20000</v>
      </c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19" t="s">
        <v>689</v>
      </c>
      <c r="AX73" s="19" t="s">
        <v>85</v>
      </c>
      <c r="AY73" s="19" t="s">
        <v>261</v>
      </c>
      <c r="AZ73" s="19" t="s">
        <v>115</v>
      </c>
      <c r="BA73" s="19" t="s">
        <v>1656</v>
      </c>
      <c r="BB73" s="19" t="s">
        <v>1657</v>
      </c>
      <c r="BC73" s="19" t="s">
        <v>1658</v>
      </c>
      <c r="BD73" s="19"/>
      <c r="BE73" s="19"/>
      <c r="BF73" s="19"/>
      <c r="BG73" s="24"/>
      <c r="BH73" s="19">
        <v>45524</v>
      </c>
      <c r="BI73" s="25">
        <v>45371</v>
      </c>
      <c r="BJ73" s="25">
        <v>45402</v>
      </c>
      <c r="BK73" s="25">
        <v>45432</v>
      </c>
      <c r="BL73" s="25">
        <v>45463</v>
      </c>
      <c r="BM73" s="25">
        <v>45493</v>
      </c>
      <c r="BN73" s="37">
        <v>1</v>
      </c>
      <c r="BO73" s="21">
        <v>5</v>
      </c>
      <c r="BP73" s="27">
        <f t="shared" si="23"/>
        <v>16000</v>
      </c>
      <c r="BQ73" s="27">
        <f t="shared" si="24"/>
        <v>16000</v>
      </c>
      <c r="BR73" s="27">
        <f t="shared" si="25"/>
        <v>16000</v>
      </c>
      <c r="BS73" s="27">
        <f t="shared" si="26"/>
        <v>6400</v>
      </c>
      <c r="BT73" s="28">
        <f t="shared" si="27"/>
        <v>0</v>
      </c>
      <c r="BU73" s="28">
        <f t="shared" si="30"/>
        <v>6400</v>
      </c>
      <c r="BV73" s="28">
        <f t="shared" si="31"/>
        <v>6400</v>
      </c>
      <c r="BW73" s="28">
        <f t="shared" si="32"/>
        <v>6400</v>
      </c>
    </row>
    <row r="74" spans="1:75" ht="17.399999999999999" x14ac:dyDescent="0.25">
      <c r="A74" s="69">
        <f t="shared" si="28"/>
        <v>73</v>
      </c>
      <c r="B74" s="73" t="s">
        <v>1653</v>
      </c>
      <c r="C74" s="71" t="s">
        <v>243</v>
      </c>
      <c r="D74" s="71" t="s">
        <v>1643</v>
      </c>
      <c r="E74" s="71" t="s">
        <v>1532</v>
      </c>
      <c r="F74" s="71" t="s">
        <v>1654</v>
      </c>
      <c r="G74" s="71" t="s">
        <v>1660</v>
      </c>
      <c r="H74" s="71" t="s">
        <v>1557</v>
      </c>
      <c r="I74" s="71" t="str">
        <f>VLOOKUP(H74,[1]Sheet1!$C:$C,1,0)</f>
        <v>SC2943SO-Q-DB-60CR-2943</v>
      </c>
      <c r="J74" s="71"/>
      <c r="K74" s="71"/>
      <c r="L74" s="73" t="s">
        <v>1661</v>
      </c>
      <c r="M74" s="80">
        <v>100000</v>
      </c>
      <c r="N74" s="72" t="s">
        <v>251</v>
      </c>
      <c r="O74" s="73"/>
      <c r="P74" s="71" t="s">
        <v>504</v>
      </c>
      <c r="Q74" s="71"/>
      <c r="R74" s="100">
        <v>0.52</v>
      </c>
      <c r="S74" s="75">
        <f t="shared" si="22"/>
        <v>10920</v>
      </c>
      <c r="T74" s="91">
        <v>0</v>
      </c>
      <c r="U74" s="76">
        <f t="shared" si="29"/>
        <v>21000</v>
      </c>
      <c r="V74" s="80"/>
      <c r="W74" s="80"/>
      <c r="X74" s="80"/>
      <c r="Y74" s="72"/>
      <c r="Z74" s="72"/>
      <c r="AA74" s="72"/>
      <c r="AB74" s="72"/>
      <c r="AC74" s="72"/>
      <c r="AD74" s="77"/>
      <c r="AE74" s="75">
        <v>5000</v>
      </c>
      <c r="AF74" s="75">
        <v>8000</v>
      </c>
      <c r="AG74" s="75">
        <v>8000</v>
      </c>
      <c r="AH74" s="75">
        <v>8000</v>
      </c>
      <c r="AI74" s="75">
        <v>8000</v>
      </c>
      <c r="AJ74" s="75">
        <v>8000</v>
      </c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10" t="s">
        <v>689</v>
      </c>
      <c r="AX74" s="10" t="s">
        <v>85</v>
      </c>
      <c r="AY74" s="19" t="s">
        <v>261</v>
      </c>
      <c r="AZ74" s="10" t="s">
        <v>62</v>
      </c>
      <c r="BA74" s="10" t="s">
        <v>96</v>
      </c>
      <c r="BB74" s="10" t="s">
        <v>1399</v>
      </c>
      <c r="BC74" s="10" t="s">
        <v>1645</v>
      </c>
      <c r="BD74" s="10"/>
      <c r="BE74" s="10"/>
      <c r="BF74" s="10"/>
      <c r="BG74" s="13"/>
      <c r="BH74" s="10">
        <v>45950</v>
      </c>
      <c r="BI74" s="14">
        <v>45585</v>
      </c>
      <c r="BJ74" s="14">
        <v>45585</v>
      </c>
      <c r="BK74" s="14">
        <v>45616</v>
      </c>
      <c r="BL74" s="14"/>
      <c r="BM74" s="14"/>
      <c r="BN74" s="35">
        <v>1</v>
      </c>
      <c r="BO74" s="11">
        <v>5</v>
      </c>
      <c r="BP74" s="16">
        <f t="shared" si="23"/>
        <v>0</v>
      </c>
      <c r="BQ74" s="16">
        <f t="shared" si="24"/>
        <v>0</v>
      </c>
      <c r="BR74" s="16">
        <f t="shared" si="25"/>
        <v>0</v>
      </c>
      <c r="BS74" s="16">
        <f t="shared" si="26"/>
        <v>0</v>
      </c>
      <c r="BT74" s="17">
        <f t="shared" si="27"/>
        <v>0</v>
      </c>
      <c r="BU74" s="28">
        <f t="shared" si="30"/>
        <v>2600</v>
      </c>
      <c r="BV74" s="28">
        <f t="shared" si="31"/>
        <v>4160</v>
      </c>
      <c r="BW74" s="28">
        <f t="shared" si="32"/>
        <v>4160</v>
      </c>
    </row>
    <row r="75" spans="1:75" ht="17.399999999999999" x14ac:dyDescent="0.25">
      <c r="A75" s="69">
        <f t="shared" si="28"/>
        <v>74</v>
      </c>
      <c r="B75" s="73" t="s">
        <v>1662</v>
      </c>
      <c r="C75" s="71" t="s">
        <v>243</v>
      </c>
      <c r="D75" s="71" t="s">
        <v>1643</v>
      </c>
      <c r="E75" s="71" t="s">
        <v>1532</v>
      </c>
      <c r="F75" s="71" t="s">
        <v>1654</v>
      </c>
      <c r="G75" s="71" t="s">
        <v>574</v>
      </c>
      <c r="H75" s="71" t="s">
        <v>575</v>
      </c>
      <c r="I75" s="71" t="str">
        <f>VLOOKUP(H75,[1]Sheet1!$C:$C,1,0)</f>
        <v>SC2443UA-Q-DB-60AK-2443</v>
      </c>
      <c r="J75" s="71"/>
      <c r="K75" s="71"/>
      <c r="L75" s="73" t="s">
        <v>1663</v>
      </c>
      <c r="M75" s="80">
        <v>100000</v>
      </c>
      <c r="N75" s="72" t="s">
        <v>367</v>
      </c>
      <c r="O75" s="73"/>
      <c r="P75" s="71" t="s">
        <v>504</v>
      </c>
      <c r="Q75" s="71"/>
      <c r="R75" s="100">
        <v>0.52</v>
      </c>
      <c r="S75" s="75">
        <f t="shared" si="22"/>
        <v>15600</v>
      </c>
      <c r="T75" s="91">
        <v>0</v>
      </c>
      <c r="U75" s="76">
        <f t="shared" si="29"/>
        <v>30000</v>
      </c>
      <c r="V75" s="80"/>
      <c r="W75" s="80"/>
      <c r="X75" s="80"/>
      <c r="Y75" s="72">
        <v>5000</v>
      </c>
      <c r="Z75" s="72">
        <v>5000</v>
      </c>
      <c r="AA75" s="72">
        <v>5000</v>
      </c>
      <c r="AB75" s="72">
        <v>5000</v>
      </c>
      <c r="AC75" s="72"/>
      <c r="AD75" s="77"/>
      <c r="AE75" s="75">
        <v>10000</v>
      </c>
      <c r="AF75" s="75">
        <v>10000</v>
      </c>
      <c r="AG75" s="75">
        <v>10000</v>
      </c>
      <c r="AH75" s="75">
        <v>10000</v>
      </c>
      <c r="AI75" s="75">
        <v>10000</v>
      </c>
      <c r="AJ75" s="75">
        <v>10000</v>
      </c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19" t="s">
        <v>494</v>
      </c>
      <c r="AX75" s="19" t="s">
        <v>85</v>
      </c>
      <c r="AY75" s="19" t="s">
        <v>261</v>
      </c>
      <c r="AZ75" s="19" t="s">
        <v>62</v>
      </c>
      <c r="BA75" s="19" t="s">
        <v>96</v>
      </c>
      <c r="BB75" s="19" t="s">
        <v>97</v>
      </c>
      <c r="BC75" s="19" t="s">
        <v>1664</v>
      </c>
      <c r="BD75" s="19"/>
      <c r="BE75" s="19"/>
      <c r="BF75" s="19"/>
      <c r="BG75" s="24"/>
      <c r="BH75" s="19">
        <v>45585</v>
      </c>
      <c r="BI75" s="25">
        <v>45342</v>
      </c>
      <c r="BJ75" s="25">
        <v>45371</v>
      </c>
      <c r="BK75" s="25">
        <v>45402</v>
      </c>
      <c r="BL75" s="25">
        <v>45432</v>
      </c>
      <c r="BM75" s="25">
        <v>45493</v>
      </c>
      <c r="BN75" s="37">
        <v>1</v>
      </c>
      <c r="BO75" s="21">
        <v>5</v>
      </c>
      <c r="BP75" s="27">
        <f t="shared" si="23"/>
        <v>2600</v>
      </c>
      <c r="BQ75" s="27">
        <f t="shared" si="24"/>
        <v>2600</v>
      </c>
      <c r="BR75" s="27">
        <f t="shared" si="25"/>
        <v>2600</v>
      </c>
      <c r="BS75" s="27">
        <f t="shared" si="26"/>
        <v>0</v>
      </c>
      <c r="BT75" s="28">
        <f t="shared" si="27"/>
        <v>0</v>
      </c>
      <c r="BU75" s="28">
        <f t="shared" si="30"/>
        <v>5200</v>
      </c>
      <c r="BV75" s="28">
        <f t="shared" si="31"/>
        <v>5200</v>
      </c>
      <c r="BW75" s="28">
        <f t="shared" si="32"/>
        <v>5200</v>
      </c>
    </row>
    <row r="76" spans="1:75" ht="17.399999999999999" x14ac:dyDescent="0.25">
      <c r="A76" s="69">
        <f t="shared" si="28"/>
        <v>75</v>
      </c>
      <c r="B76" s="73" t="s">
        <v>1665</v>
      </c>
      <c r="C76" s="71" t="s">
        <v>235</v>
      </c>
      <c r="D76" s="71" t="s">
        <v>749</v>
      </c>
      <c r="E76" s="71" t="s">
        <v>1532</v>
      </c>
      <c r="F76" s="71" t="s">
        <v>1666</v>
      </c>
      <c r="G76" s="71" t="s">
        <v>1667</v>
      </c>
      <c r="H76" s="71" t="s">
        <v>1668</v>
      </c>
      <c r="I76" s="71" t="str">
        <f>VLOOKUP(H76,[1]Sheet1!$C:$C,1,0)</f>
        <v>SC3100VB-DG-00CK-3100</v>
      </c>
      <c r="J76" s="71"/>
      <c r="K76" s="71"/>
      <c r="L76" s="73" t="s">
        <v>1669</v>
      </c>
      <c r="M76" s="80">
        <v>300000</v>
      </c>
      <c r="N76" s="72" t="s">
        <v>367</v>
      </c>
      <c r="O76" s="73"/>
      <c r="P76" s="71" t="s">
        <v>504</v>
      </c>
      <c r="Q76" s="71"/>
      <c r="R76" s="100">
        <v>2.8</v>
      </c>
      <c r="S76" s="75">
        <f t="shared" si="22"/>
        <v>168000</v>
      </c>
      <c r="T76" s="91">
        <v>0</v>
      </c>
      <c r="U76" s="76">
        <f t="shared" si="29"/>
        <v>60000</v>
      </c>
      <c r="V76" s="80"/>
      <c r="W76" s="80"/>
      <c r="X76" s="80"/>
      <c r="Y76" s="72"/>
      <c r="Z76" s="72">
        <v>5000</v>
      </c>
      <c r="AA76" s="72">
        <v>5000</v>
      </c>
      <c r="AB76" s="72">
        <v>10000</v>
      </c>
      <c r="AC76" s="72">
        <v>10000</v>
      </c>
      <c r="AD76" s="77"/>
      <c r="AE76" s="75">
        <v>20000</v>
      </c>
      <c r="AF76" s="75">
        <v>20000</v>
      </c>
      <c r="AG76" s="75">
        <v>20000</v>
      </c>
      <c r="AH76" s="75">
        <v>20000</v>
      </c>
      <c r="AI76" s="75">
        <v>20000</v>
      </c>
      <c r="AJ76" s="75">
        <v>20000</v>
      </c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10" t="s">
        <v>1670</v>
      </c>
      <c r="AX76" s="10" t="s">
        <v>85</v>
      </c>
      <c r="AY76" s="19" t="s">
        <v>247</v>
      </c>
      <c r="AZ76" s="10" t="s">
        <v>1265</v>
      </c>
      <c r="BA76" s="10" t="s">
        <v>1671</v>
      </c>
      <c r="BB76" s="10" t="s">
        <v>1672</v>
      </c>
      <c r="BC76" s="10" t="s">
        <v>1673</v>
      </c>
      <c r="BD76" s="10"/>
      <c r="BE76" s="10"/>
      <c r="BF76" s="10"/>
      <c r="BG76" s="13"/>
      <c r="BH76" s="10">
        <v>45585</v>
      </c>
      <c r="BI76" s="14">
        <v>45311</v>
      </c>
      <c r="BJ76" s="14">
        <v>45342</v>
      </c>
      <c r="BK76" s="14">
        <v>45371</v>
      </c>
      <c r="BL76" s="14">
        <v>45402</v>
      </c>
      <c r="BM76" s="14">
        <v>45463</v>
      </c>
      <c r="BN76" s="35">
        <v>1</v>
      </c>
      <c r="BO76" s="11">
        <v>5</v>
      </c>
      <c r="BP76" s="16">
        <f t="shared" si="23"/>
        <v>14000</v>
      </c>
      <c r="BQ76" s="16">
        <f t="shared" si="24"/>
        <v>14000</v>
      </c>
      <c r="BR76" s="16">
        <f t="shared" si="25"/>
        <v>28000</v>
      </c>
      <c r="BS76" s="16">
        <f t="shared" si="26"/>
        <v>28000</v>
      </c>
      <c r="BT76" s="17">
        <f t="shared" si="27"/>
        <v>0</v>
      </c>
      <c r="BU76" s="28">
        <f t="shared" si="30"/>
        <v>56000</v>
      </c>
      <c r="BV76" s="28">
        <f t="shared" si="31"/>
        <v>56000</v>
      </c>
      <c r="BW76" s="28">
        <f t="shared" si="32"/>
        <v>56000</v>
      </c>
    </row>
    <row r="77" spans="1:75" ht="17.399999999999999" x14ac:dyDescent="0.25">
      <c r="A77" s="69">
        <f t="shared" si="28"/>
        <v>76</v>
      </c>
      <c r="B77" s="73" t="s">
        <v>1665</v>
      </c>
      <c r="C77" s="71" t="s">
        <v>235</v>
      </c>
      <c r="D77" s="71" t="s">
        <v>749</v>
      </c>
      <c r="E77" s="71" t="s">
        <v>1532</v>
      </c>
      <c r="F77" s="71" t="s">
        <v>1666</v>
      </c>
      <c r="G77" s="71" t="s">
        <v>547</v>
      </c>
      <c r="H77" s="71" t="s">
        <v>1674</v>
      </c>
      <c r="I77" s="71" t="str">
        <f>VLOOKUP(H77,[1]Sheet1!$C:$C,1,0)</f>
        <v>SC4643VB-Q-DE-40CK-4643</v>
      </c>
      <c r="J77" s="71"/>
      <c r="K77" s="71"/>
      <c r="L77" s="73" t="s">
        <v>1675</v>
      </c>
      <c r="M77" s="80">
        <v>300000</v>
      </c>
      <c r="N77" s="72" t="s">
        <v>367</v>
      </c>
      <c r="O77" s="73"/>
      <c r="P77" s="71" t="s">
        <v>504</v>
      </c>
      <c r="Q77" s="71"/>
      <c r="R77" s="100">
        <v>2.8</v>
      </c>
      <c r="S77" s="75">
        <f t="shared" si="22"/>
        <v>84000</v>
      </c>
      <c r="T77" s="91">
        <v>0</v>
      </c>
      <c r="U77" s="76">
        <f t="shared" si="29"/>
        <v>30000</v>
      </c>
      <c r="V77" s="80"/>
      <c r="W77" s="80"/>
      <c r="X77" s="80"/>
      <c r="Y77" s="72"/>
      <c r="Z77" s="72">
        <v>5000</v>
      </c>
      <c r="AA77" s="72">
        <v>5000</v>
      </c>
      <c r="AB77" s="72">
        <v>10000</v>
      </c>
      <c r="AC77" s="72">
        <v>10000</v>
      </c>
      <c r="AD77" s="77">
        <v>10000</v>
      </c>
      <c r="AE77" s="75">
        <v>10000</v>
      </c>
      <c r="AF77" s="75">
        <v>10000</v>
      </c>
      <c r="AG77" s="75">
        <v>10000</v>
      </c>
      <c r="AH77" s="75">
        <v>10000</v>
      </c>
      <c r="AI77" s="75">
        <v>10000</v>
      </c>
      <c r="AJ77" s="75">
        <v>10000</v>
      </c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19" t="s">
        <v>1670</v>
      </c>
      <c r="AX77" s="19" t="s">
        <v>85</v>
      </c>
      <c r="AY77" s="19" t="s">
        <v>247</v>
      </c>
      <c r="AZ77" s="19" t="s">
        <v>1265</v>
      </c>
      <c r="BA77" s="19" t="s">
        <v>1671</v>
      </c>
      <c r="BB77" s="19" t="s">
        <v>1672</v>
      </c>
      <c r="BC77" s="19" t="s">
        <v>1673</v>
      </c>
      <c r="BD77" s="19"/>
      <c r="BE77" s="19"/>
      <c r="BF77" s="19"/>
      <c r="BG77" s="24"/>
      <c r="BH77" s="19">
        <v>45585</v>
      </c>
      <c r="BI77" s="25">
        <v>45311</v>
      </c>
      <c r="BJ77" s="25">
        <v>45342</v>
      </c>
      <c r="BK77" s="25">
        <v>45371</v>
      </c>
      <c r="BL77" s="25">
        <v>45402</v>
      </c>
      <c r="BM77" s="25">
        <v>45463</v>
      </c>
      <c r="BN77" s="37">
        <v>1</v>
      </c>
      <c r="BO77" s="21">
        <v>5</v>
      </c>
      <c r="BP77" s="27">
        <f t="shared" si="23"/>
        <v>14000</v>
      </c>
      <c r="BQ77" s="27">
        <f t="shared" si="24"/>
        <v>14000</v>
      </c>
      <c r="BR77" s="27">
        <f t="shared" si="25"/>
        <v>28000</v>
      </c>
      <c r="BS77" s="27">
        <f t="shared" si="26"/>
        <v>28000</v>
      </c>
      <c r="BT77" s="28">
        <f t="shared" si="27"/>
        <v>28000</v>
      </c>
      <c r="BU77" s="28">
        <f t="shared" si="30"/>
        <v>28000</v>
      </c>
      <c r="BV77" s="28">
        <f t="shared" si="31"/>
        <v>28000</v>
      </c>
      <c r="BW77" s="28">
        <f t="shared" si="32"/>
        <v>28000</v>
      </c>
    </row>
    <row r="78" spans="1:75" ht="17.399999999999999" x14ac:dyDescent="0.25">
      <c r="A78" s="69">
        <f t="shared" si="28"/>
        <v>77</v>
      </c>
      <c r="B78" s="73" t="s">
        <v>1665</v>
      </c>
      <c r="C78" s="71" t="s">
        <v>235</v>
      </c>
      <c r="D78" s="71" t="s">
        <v>749</v>
      </c>
      <c r="E78" s="71" t="s">
        <v>1532</v>
      </c>
      <c r="F78" s="71" t="s">
        <v>1666</v>
      </c>
      <c r="G78" s="71" t="s">
        <v>547</v>
      </c>
      <c r="H78" s="71" t="s">
        <v>1674</v>
      </c>
      <c r="I78" s="71" t="str">
        <f>VLOOKUP(H78,[1]Sheet1!$C:$C,1,0)</f>
        <v>SC4643VB-Q-DE-40CK-4643</v>
      </c>
      <c r="J78" s="71"/>
      <c r="K78" s="71"/>
      <c r="L78" s="73" t="s">
        <v>1676</v>
      </c>
      <c r="M78" s="80">
        <v>300000</v>
      </c>
      <c r="N78" s="72" t="s">
        <v>367</v>
      </c>
      <c r="O78" s="73"/>
      <c r="P78" s="71" t="s">
        <v>504</v>
      </c>
      <c r="Q78" s="71"/>
      <c r="R78" s="100">
        <v>2.8</v>
      </c>
      <c r="S78" s="75">
        <f t="shared" si="22"/>
        <v>84000</v>
      </c>
      <c r="T78" s="91">
        <v>0</v>
      </c>
      <c r="U78" s="76">
        <f t="shared" si="29"/>
        <v>30000</v>
      </c>
      <c r="V78" s="80"/>
      <c r="W78" s="80"/>
      <c r="X78" s="80"/>
      <c r="Y78" s="72"/>
      <c r="Z78" s="72"/>
      <c r="AA78" s="72">
        <v>10000</v>
      </c>
      <c r="AB78" s="72">
        <v>10000</v>
      </c>
      <c r="AC78" s="72">
        <v>10000</v>
      </c>
      <c r="AD78" s="77">
        <v>10000</v>
      </c>
      <c r="AE78" s="75">
        <v>10000</v>
      </c>
      <c r="AF78" s="75">
        <v>10000</v>
      </c>
      <c r="AG78" s="75">
        <v>10000</v>
      </c>
      <c r="AH78" s="75">
        <v>10000</v>
      </c>
      <c r="AI78" s="75">
        <v>10000</v>
      </c>
      <c r="AJ78" s="75">
        <v>10000</v>
      </c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10" t="s">
        <v>1670</v>
      </c>
      <c r="AX78" s="10" t="s">
        <v>85</v>
      </c>
      <c r="AY78" s="19" t="s">
        <v>247</v>
      </c>
      <c r="AZ78" s="10" t="s">
        <v>1265</v>
      </c>
      <c r="BA78" s="10" t="s">
        <v>1671</v>
      </c>
      <c r="BB78" s="10" t="s">
        <v>1672</v>
      </c>
      <c r="BC78" s="10" t="s">
        <v>1673</v>
      </c>
      <c r="BD78" s="10"/>
      <c r="BE78" s="10"/>
      <c r="BF78" s="10"/>
      <c r="BG78" s="13"/>
      <c r="BH78" s="10">
        <v>45585</v>
      </c>
      <c r="BI78" s="14">
        <v>45311</v>
      </c>
      <c r="BJ78" s="14">
        <v>45342</v>
      </c>
      <c r="BK78" s="14">
        <v>45371</v>
      </c>
      <c r="BL78" s="14">
        <v>45402</v>
      </c>
      <c r="BM78" s="14">
        <v>45463</v>
      </c>
      <c r="BN78" s="35">
        <v>1</v>
      </c>
      <c r="BO78" s="11">
        <v>5</v>
      </c>
      <c r="BP78" s="16">
        <f t="shared" si="23"/>
        <v>0</v>
      </c>
      <c r="BQ78" s="16">
        <f t="shared" si="24"/>
        <v>28000</v>
      </c>
      <c r="BR78" s="16">
        <f t="shared" si="25"/>
        <v>28000</v>
      </c>
      <c r="BS78" s="16">
        <f t="shared" si="26"/>
        <v>28000</v>
      </c>
      <c r="BT78" s="17">
        <f t="shared" si="27"/>
        <v>28000</v>
      </c>
      <c r="BU78" s="28">
        <f t="shared" si="30"/>
        <v>28000</v>
      </c>
      <c r="BV78" s="28">
        <f t="shared" si="31"/>
        <v>28000</v>
      </c>
      <c r="BW78" s="28">
        <f t="shared" si="32"/>
        <v>28000</v>
      </c>
    </row>
    <row r="79" spans="1:75" ht="17.399999999999999" x14ac:dyDescent="0.25">
      <c r="A79" s="69">
        <f t="shared" si="28"/>
        <v>78</v>
      </c>
      <c r="B79" s="73" t="s">
        <v>1665</v>
      </c>
      <c r="C79" s="71" t="s">
        <v>235</v>
      </c>
      <c r="D79" s="71" t="s">
        <v>749</v>
      </c>
      <c r="E79" s="71" t="s">
        <v>1532</v>
      </c>
      <c r="F79" s="71" t="s">
        <v>1666</v>
      </c>
      <c r="G79" s="71" t="s">
        <v>534</v>
      </c>
      <c r="H79" s="71" t="s">
        <v>1677</v>
      </c>
      <c r="I79" s="71" t="str">
        <f>VLOOKUP(H79,[1]Sheet1!$C:$C,1,0)</f>
        <v>SC4643SA-Q-DE-40CK-4643</v>
      </c>
      <c r="J79" s="71"/>
      <c r="K79" s="71"/>
      <c r="L79" s="73" t="s">
        <v>1676</v>
      </c>
      <c r="M79" s="80">
        <v>200000</v>
      </c>
      <c r="N79" s="72" t="s">
        <v>251</v>
      </c>
      <c r="O79" s="73"/>
      <c r="P79" s="71" t="s">
        <v>504</v>
      </c>
      <c r="Q79" s="71"/>
      <c r="R79" s="100">
        <v>2.8</v>
      </c>
      <c r="S79" s="75">
        <f t="shared" si="22"/>
        <v>84000</v>
      </c>
      <c r="T79" s="91">
        <v>0</v>
      </c>
      <c r="U79" s="76">
        <f t="shared" si="29"/>
        <v>30000</v>
      </c>
      <c r="V79" s="80"/>
      <c r="W79" s="80"/>
      <c r="X79" s="80"/>
      <c r="Y79" s="72"/>
      <c r="Z79" s="72"/>
      <c r="AA79" s="72"/>
      <c r="AB79" s="72"/>
      <c r="AC79" s="72">
        <v>10000</v>
      </c>
      <c r="AD79" s="77">
        <v>10000</v>
      </c>
      <c r="AE79" s="75">
        <v>10000</v>
      </c>
      <c r="AF79" s="75">
        <v>10000</v>
      </c>
      <c r="AG79" s="75">
        <v>10000</v>
      </c>
      <c r="AH79" s="75">
        <v>10000</v>
      </c>
      <c r="AI79" s="75">
        <v>10000</v>
      </c>
      <c r="AJ79" s="75">
        <v>10000</v>
      </c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19" t="s">
        <v>1670</v>
      </c>
      <c r="AX79" s="19" t="s">
        <v>85</v>
      </c>
      <c r="AY79" s="19" t="s">
        <v>247</v>
      </c>
      <c r="AZ79" s="19" t="s">
        <v>1265</v>
      </c>
      <c r="BA79" s="19" t="s">
        <v>1671</v>
      </c>
      <c r="BB79" s="19" t="s">
        <v>1672</v>
      </c>
      <c r="BC79" s="19" t="s">
        <v>1673</v>
      </c>
      <c r="BD79" s="19"/>
      <c r="BE79" s="19"/>
      <c r="BF79" s="19"/>
      <c r="BG79" s="24"/>
      <c r="BH79" s="19">
        <v>45585</v>
      </c>
      <c r="BI79" s="25">
        <v>45311</v>
      </c>
      <c r="BJ79" s="25">
        <v>45342</v>
      </c>
      <c r="BK79" s="25">
        <v>45371</v>
      </c>
      <c r="BL79" s="25">
        <v>45402</v>
      </c>
      <c r="BM79" s="25">
        <v>45463</v>
      </c>
      <c r="BN79" s="37">
        <v>1</v>
      </c>
      <c r="BO79" s="21">
        <v>5</v>
      </c>
      <c r="BP79" s="27">
        <f t="shared" si="23"/>
        <v>0</v>
      </c>
      <c r="BQ79" s="27">
        <f t="shared" si="24"/>
        <v>0</v>
      </c>
      <c r="BR79" s="27">
        <f t="shared" si="25"/>
        <v>0</v>
      </c>
      <c r="BS79" s="27">
        <f t="shared" si="26"/>
        <v>28000</v>
      </c>
      <c r="BT79" s="28">
        <f t="shared" si="27"/>
        <v>28000</v>
      </c>
      <c r="BU79" s="28">
        <f t="shared" si="30"/>
        <v>28000</v>
      </c>
      <c r="BV79" s="28">
        <f t="shared" si="31"/>
        <v>28000</v>
      </c>
      <c r="BW79" s="28">
        <f t="shared" si="32"/>
        <v>28000</v>
      </c>
    </row>
    <row r="80" spans="1:75" ht="17.399999999999999" x14ac:dyDescent="0.25">
      <c r="A80" s="69">
        <f t="shared" si="28"/>
        <v>79</v>
      </c>
      <c r="B80" s="73" t="s">
        <v>1678</v>
      </c>
      <c r="C80" s="71" t="s">
        <v>235</v>
      </c>
      <c r="D80" s="71" t="s">
        <v>749</v>
      </c>
      <c r="E80" s="71" t="s">
        <v>1532</v>
      </c>
      <c r="F80" s="71" t="s">
        <v>1666</v>
      </c>
      <c r="G80" s="71" t="s">
        <v>1679</v>
      </c>
      <c r="H80" s="71" t="s">
        <v>1680</v>
      </c>
      <c r="I80" s="71" t="str">
        <f>VLOOKUP(H80,[1]Sheet1!$C:$C,1,0)</f>
        <v>SC4665VB-HB-33CK-4665</v>
      </c>
      <c r="J80" s="71"/>
      <c r="K80" s="71"/>
      <c r="L80" s="73" t="s">
        <v>1681</v>
      </c>
      <c r="M80" s="80">
        <v>500000</v>
      </c>
      <c r="N80" s="72" t="s">
        <v>251</v>
      </c>
      <c r="O80" s="73"/>
      <c r="P80" s="71" t="s">
        <v>504</v>
      </c>
      <c r="Q80" s="71"/>
      <c r="R80" s="100">
        <v>2.8</v>
      </c>
      <c r="S80" s="75">
        <f t="shared" si="22"/>
        <v>14000</v>
      </c>
      <c r="T80" s="91">
        <v>0</v>
      </c>
      <c r="U80" s="76">
        <f t="shared" si="29"/>
        <v>5000</v>
      </c>
      <c r="V80" s="80"/>
      <c r="W80" s="80"/>
      <c r="X80" s="80"/>
      <c r="Y80" s="72"/>
      <c r="Z80" s="72"/>
      <c r="AA80" s="72"/>
      <c r="AB80" s="72"/>
      <c r="AC80" s="72"/>
      <c r="AD80" s="77"/>
      <c r="AE80" s="75"/>
      <c r="AF80" s="75"/>
      <c r="AG80" s="75">
        <v>5000</v>
      </c>
      <c r="AH80" s="75">
        <v>5000</v>
      </c>
      <c r="AI80" s="75">
        <v>5000</v>
      </c>
      <c r="AJ80" s="75">
        <v>5000</v>
      </c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10" t="s">
        <v>1670</v>
      </c>
      <c r="AX80" s="10" t="s">
        <v>85</v>
      </c>
      <c r="AY80" s="19" t="s">
        <v>247</v>
      </c>
      <c r="AZ80" s="10" t="s">
        <v>1265</v>
      </c>
      <c r="BA80" s="10" t="s">
        <v>1671</v>
      </c>
      <c r="BB80" s="10" t="s">
        <v>1672</v>
      </c>
      <c r="BC80" s="10" t="s">
        <v>1673</v>
      </c>
      <c r="BD80" s="10"/>
      <c r="BE80" s="10"/>
      <c r="BF80" s="10"/>
      <c r="BG80" s="13"/>
      <c r="BH80" s="10">
        <v>45585</v>
      </c>
      <c r="BI80" s="14">
        <v>45311</v>
      </c>
      <c r="BJ80" s="14">
        <v>45342</v>
      </c>
      <c r="BK80" s="14">
        <v>45371</v>
      </c>
      <c r="BL80" s="14">
        <v>45402</v>
      </c>
      <c r="BM80" s="14">
        <v>45463</v>
      </c>
      <c r="BN80" s="35">
        <v>1</v>
      </c>
      <c r="BO80" s="11">
        <v>5</v>
      </c>
      <c r="BP80" s="16">
        <f t="shared" si="23"/>
        <v>0</v>
      </c>
      <c r="BQ80" s="16">
        <f t="shared" si="24"/>
        <v>0</v>
      </c>
      <c r="BR80" s="16">
        <f t="shared" si="25"/>
        <v>0</v>
      </c>
      <c r="BS80" s="16">
        <f t="shared" si="26"/>
        <v>0</v>
      </c>
      <c r="BT80" s="17">
        <f t="shared" si="27"/>
        <v>0</v>
      </c>
      <c r="BU80" s="28">
        <f t="shared" si="30"/>
        <v>0</v>
      </c>
      <c r="BV80" s="28">
        <f t="shared" si="31"/>
        <v>0</v>
      </c>
      <c r="BW80" s="28">
        <f t="shared" si="32"/>
        <v>14000</v>
      </c>
    </row>
    <row r="81" spans="1:75" ht="17.399999999999999" x14ac:dyDescent="0.25">
      <c r="A81" s="69">
        <f t="shared" si="28"/>
        <v>80</v>
      </c>
      <c r="B81" s="73" t="s">
        <v>1682</v>
      </c>
      <c r="C81" s="71" t="s">
        <v>290</v>
      </c>
      <c r="D81" s="71" t="s">
        <v>1683</v>
      </c>
      <c r="E81" s="71" t="s">
        <v>1532</v>
      </c>
      <c r="F81" s="71" t="s">
        <v>1684</v>
      </c>
      <c r="G81" s="71" t="s">
        <v>1685</v>
      </c>
      <c r="H81" s="71" t="s">
        <v>1686</v>
      </c>
      <c r="I81" s="71" t="str">
        <f>VLOOKUP(H81,[1]Sheet1!$C:$C,1,0)</f>
        <v>SC25791SE-Q-CG-40CR-5791</v>
      </c>
      <c r="J81" s="71"/>
      <c r="K81" s="71"/>
      <c r="L81" s="73" t="s">
        <v>1687</v>
      </c>
      <c r="M81" s="80">
        <v>2000000</v>
      </c>
      <c r="N81" s="72" t="s">
        <v>367</v>
      </c>
      <c r="O81" s="73"/>
      <c r="P81" s="71" t="s">
        <v>1688</v>
      </c>
      <c r="Q81" s="71"/>
      <c r="R81" s="100">
        <v>0.55000000000000004</v>
      </c>
      <c r="S81" s="75">
        <f t="shared" si="22"/>
        <v>33000</v>
      </c>
      <c r="T81" s="91">
        <v>0</v>
      </c>
      <c r="U81" s="76">
        <f t="shared" si="29"/>
        <v>60000</v>
      </c>
      <c r="V81" s="80"/>
      <c r="W81" s="80"/>
      <c r="X81" s="80"/>
      <c r="Y81" s="72"/>
      <c r="Z81" s="72">
        <v>20000</v>
      </c>
      <c r="AA81" s="72">
        <v>10000</v>
      </c>
      <c r="AB81" s="72">
        <v>20000</v>
      </c>
      <c r="AC81" s="72">
        <v>5000</v>
      </c>
      <c r="AD81" s="77"/>
      <c r="AE81" s="75">
        <v>20000</v>
      </c>
      <c r="AF81" s="75">
        <v>20000</v>
      </c>
      <c r="AG81" s="75">
        <v>20000</v>
      </c>
      <c r="AH81" s="75">
        <v>20000</v>
      </c>
      <c r="AI81" s="75">
        <v>20000</v>
      </c>
      <c r="AJ81" s="75">
        <v>20000</v>
      </c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19" t="s">
        <v>978</v>
      </c>
      <c r="AX81" s="19" t="s">
        <v>85</v>
      </c>
      <c r="AY81" s="19" t="s">
        <v>261</v>
      </c>
      <c r="AZ81" s="19" t="s">
        <v>62</v>
      </c>
      <c r="BA81" s="19" t="s">
        <v>96</v>
      </c>
      <c r="BB81" s="19" t="s">
        <v>1568</v>
      </c>
      <c r="BC81" s="19" t="s">
        <v>1569</v>
      </c>
      <c r="BD81" s="19"/>
      <c r="BE81" s="19"/>
      <c r="BF81" s="19"/>
      <c r="BG81" s="24">
        <v>1</v>
      </c>
      <c r="BH81" s="19">
        <v>45828</v>
      </c>
      <c r="BI81" s="25">
        <v>44946</v>
      </c>
      <c r="BJ81" s="25">
        <v>45311</v>
      </c>
      <c r="BK81" s="25">
        <v>45371</v>
      </c>
      <c r="BL81" s="25">
        <v>45463</v>
      </c>
      <c r="BM81" s="25">
        <v>45493</v>
      </c>
      <c r="BN81" s="37">
        <v>1</v>
      </c>
      <c r="BO81" s="21">
        <v>5</v>
      </c>
      <c r="BP81" s="27">
        <f t="shared" si="23"/>
        <v>11000</v>
      </c>
      <c r="BQ81" s="27">
        <f t="shared" si="24"/>
        <v>5500</v>
      </c>
      <c r="BR81" s="27">
        <f t="shared" si="25"/>
        <v>11000</v>
      </c>
      <c r="BS81" s="27">
        <f t="shared" si="26"/>
        <v>2750</v>
      </c>
      <c r="BT81" s="28">
        <f t="shared" si="27"/>
        <v>0</v>
      </c>
      <c r="BU81" s="28">
        <f t="shared" si="30"/>
        <v>11000</v>
      </c>
      <c r="BV81" s="28">
        <f t="shared" si="31"/>
        <v>11000</v>
      </c>
      <c r="BW81" s="28">
        <f t="shared" si="32"/>
        <v>11000</v>
      </c>
    </row>
    <row r="82" spans="1:75" ht="17.399999999999999" x14ac:dyDescent="0.25">
      <c r="A82" s="69">
        <f t="shared" si="28"/>
        <v>81</v>
      </c>
      <c r="B82" s="73" t="s">
        <v>1682</v>
      </c>
      <c r="C82" s="71" t="s">
        <v>290</v>
      </c>
      <c r="D82" s="71" t="s">
        <v>1683</v>
      </c>
      <c r="E82" s="71" t="s">
        <v>1532</v>
      </c>
      <c r="F82" s="71" t="s">
        <v>1684</v>
      </c>
      <c r="G82" s="71" t="s">
        <v>1689</v>
      </c>
      <c r="H82" s="71" t="s">
        <v>1690</v>
      </c>
      <c r="I82" s="71" t="str">
        <f>VLOOKUP(H82,[1]Sheet1!$C:$C,1,0)</f>
        <v>SC25791CUA-A(STC11210G-Q)-25791C</v>
      </c>
      <c r="J82" s="71"/>
      <c r="K82" s="71"/>
      <c r="L82" s="73" t="s">
        <v>1687</v>
      </c>
      <c r="M82" s="80">
        <v>500000</v>
      </c>
      <c r="N82" s="72" t="s">
        <v>251</v>
      </c>
      <c r="O82" s="73"/>
      <c r="P82" s="71" t="s">
        <v>1691</v>
      </c>
      <c r="Q82" s="71"/>
      <c r="R82" s="100">
        <v>0.75</v>
      </c>
      <c r="S82" s="75">
        <f t="shared" si="22"/>
        <v>11250</v>
      </c>
      <c r="T82" s="91">
        <v>0</v>
      </c>
      <c r="U82" s="76">
        <f t="shared" si="29"/>
        <v>15000</v>
      </c>
      <c r="V82" s="80"/>
      <c r="W82" s="80"/>
      <c r="X82" s="80"/>
      <c r="Y82" s="72"/>
      <c r="Z82" s="72"/>
      <c r="AA82" s="72"/>
      <c r="AB82" s="72"/>
      <c r="AC82" s="72"/>
      <c r="AD82" s="77"/>
      <c r="AE82" s="75">
        <v>5000</v>
      </c>
      <c r="AF82" s="75">
        <v>5000</v>
      </c>
      <c r="AG82" s="75">
        <v>5000</v>
      </c>
      <c r="AH82" s="75">
        <v>5000</v>
      </c>
      <c r="AI82" s="75">
        <v>5000</v>
      </c>
      <c r="AJ82" s="75">
        <v>5000</v>
      </c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10" t="s">
        <v>978</v>
      </c>
      <c r="AX82" s="10" t="s">
        <v>85</v>
      </c>
      <c r="AY82" s="19" t="s">
        <v>258</v>
      </c>
      <c r="AZ82" s="10" t="s">
        <v>62</v>
      </c>
      <c r="BA82" s="10" t="s">
        <v>96</v>
      </c>
      <c r="BB82" s="10" t="s">
        <v>1568</v>
      </c>
      <c r="BC82" s="10" t="s">
        <v>1569</v>
      </c>
      <c r="BD82" s="10"/>
      <c r="BE82" s="10"/>
      <c r="BF82" s="10"/>
      <c r="BG82" s="13"/>
      <c r="BH82" s="10">
        <v>45828</v>
      </c>
      <c r="BI82" s="14">
        <v>45311</v>
      </c>
      <c r="BJ82" s="14">
        <v>45463</v>
      </c>
      <c r="BK82" s="14">
        <v>45524</v>
      </c>
      <c r="BL82" s="14">
        <v>45616</v>
      </c>
      <c r="BM82" s="14">
        <v>45646</v>
      </c>
      <c r="BN82" s="35">
        <v>0.2</v>
      </c>
      <c r="BO82" s="11">
        <v>5</v>
      </c>
      <c r="BP82" s="16">
        <f t="shared" si="23"/>
        <v>0</v>
      </c>
      <c r="BQ82" s="16">
        <f t="shared" si="24"/>
        <v>0</v>
      </c>
      <c r="BR82" s="16">
        <f t="shared" si="25"/>
        <v>0</v>
      </c>
      <c r="BS82" s="16">
        <f t="shared" si="26"/>
        <v>0</v>
      </c>
      <c r="BT82" s="17">
        <f t="shared" si="27"/>
        <v>0</v>
      </c>
      <c r="BU82" s="28">
        <f t="shared" si="30"/>
        <v>3750</v>
      </c>
      <c r="BV82" s="28">
        <f t="shared" si="31"/>
        <v>3750</v>
      </c>
      <c r="BW82" s="28">
        <f t="shared" si="32"/>
        <v>3750</v>
      </c>
    </row>
    <row r="83" spans="1:75" ht="17.399999999999999" x14ac:dyDescent="0.25">
      <c r="A83" s="69">
        <f t="shared" si="28"/>
        <v>82</v>
      </c>
      <c r="B83" s="73" t="s">
        <v>1682</v>
      </c>
      <c r="C83" s="71" t="s">
        <v>290</v>
      </c>
      <c r="D83" s="71" t="s">
        <v>1683</v>
      </c>
      <c r="E83" s="71" t="s">
        <v>1532</v>
      </c>
      <c r="F83" s="71" t="s">
        <v>1684</v>
      </c>
      <c r="G83" s="71" t="s">
        <v>263</v>
      </c>
      <c r="H83" s="71" t="s">
        <v>1309</v>
      </c>
      <c r="I83" s="71" t="str">
        <f>VLOOKUP(H83,[1]Sheet1!$C:$C,1,0)</f>
        <v>SC2442SO-Q-DB-60CR-2442</v>
      </c>
      <c r="J83" s="71"/>
      <c r="K83" s="71"/>
      <c r="L83" s="73" t="s">
        <v>1692</v>
      </c>
      <c r="M83" s="80">
        <v>200000</v>
      </c>
      <c r="N83" s="72" t="s">
        <v>367</v>
      </c>
      <c r="O83" s="73"/>
      <c r="P83" s="71" t="s">
        <v>1693</v>
      </c>
      <c r="Q83" s="71"/>
      <c r="R83" s="100">
        <v>0.45</v>
      </c>
      <c r="S83" s="75">
        <f t="shared" si="22"/>
        <v>13500</v>
      </c>
      <c r="T83" s="91">
        <v>0</v>
      </c>
      <c r="U83" s="76">
        <f t="shared" si="29"/>
        <v>30000</v>
      </c>
      <c r="V83" s="80"/>
      <c r="W83" s="80"/>
      <c r="X83" s="80"/>
      <c r="Y83" s="72"/>
      <c r="Z83" s="72"/>
      <c r="AA83" s="72"/>
      <c r="AB83" s="72"/>
      <c r="AC83" s="72">
        <v>5000</v>
      </c>
      <c r="AD83" s="77"/>
      <c r="AE83" s="75">
        <v>10000</v>
      </c>
      <c r="AF83" s="75">
        <v>10000</v>
      </c>
      <c r="AG83" s="75">
        <v>10000</v>
      </c>
      <c r="AH83" s="75">
        <v>10000</v>
      </c>
      <c r="AI83" s="75">
        <v>10000</v>
      </c>
      <c r="AJ83" s="75">
        <v>10000</v>
      </c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19" t="s">
        <v>978</v>
      </c>
      <c r="AX83" s="19" t="s">
        <v>85</v>
      </c>
      <c r="AY83" s="19" t="s">
        <v>261</v>
      </c>
      <c r="AZ83" s="19" t="s">
        <v>62</v>
      </c>
      <c r="BA83" s="19" t="s">
        <v>96</v>
      </c>
      <c r="BB83" s="19" t="s">
        <v>1568</v>
      </c>
      <c r="BC83" s="19" t="s">
        <v>1694</v>
      </c>
      <c r="BD83" s="19" t="s">
        <v>1695</v>
      </c>
      <c r="BE83" s="19"/>
      <c r="BF83" s="19"/>
      <c r="BG83" s="24">
        <v>2</v>
      </c>
      <c r="BH83" s="19">
        <v>45736</v>
      </c>
      <c r="BI83" s="25">
        <v>45311</v>
      </c>
      <c r="BJ83" s="25">
        <v>45342</v>
      </c>
      <c r="BK83" s="25">
        <v>45371</v>
      </c>
      <c r="BL83" s="25">
        <v>45432</v>
      </c>
      <c r="BM83" s="25">
        <v>45493</v>
      </c>
      <c r="BN83" s="37">
        <v>1</v>
      </c>
      <c r="BO83" s="21">
        <v>5</v>
      </c>
      <c r="BP83" s="27">
        <f t="shared" si="23"/>
        <v>0</v>
      </c>
      <c r="BQ83" s="27">
        <f t="shared" si="24"/>
        <v>0</v>
      </c>
      <c r="BR83" s="27">
        <f t="shared" si="25"/>
        <v>0</v>
      </c>
      <c r="BS83" s="27">
        <f t="shared" si="26"/>
        <v>2250</v>
      </c>
      <c r="BT83" s="28">
        <f t="shared" si="27"/>
        <v>0</v>
      </c>
      <c r="BU83" s="28">
        <f t="shared" si="30"/>
        <v>4500</v>
      </c>
      <c r="BV83" s="28">
        <f t="shared" si="31"/>
        <v>4500</v>
      </c>
      <c r="BW83" s="28">
        <f t="shared" si="32"/>
        <v>4500</v>
      </c>
    </row>
    <row r="84" spans="1:75" ht="17.399999999999999" x14ac:dyDescent="0.25">
      <c r="A84" s="69">
        <f t="shared" si="28"/>
        <v>83</v>
      </c>
      <c r="B84" s="73" t="s">
        <v>1682</v>
      </c>
      <c r="C84" s="71" t="s">
        <v>290</v>
      </c>
      <c r="D84" s="71" t="s">
        <v>1683</v>
      </c>
      <c r="E84" s="71" t="s">
        <v>1532</v>
      </c>
      <c r="F84" s="71" t="s">
        <v>1684</v>
      </c>
      <c r="G84" s="71" t="s">
        <v>242</v>
      </c>
      <c r="H84" s="71" t="s">
        <v>370</v>
      </c>
      <c r="I84" s="71" t="str">
        <f>VLOOKUP(H84,[1]Sheet1!$C:$C,1,0)</f>
        <v>SC4688DC-Q-DC-40CR-4688</v>
      </c>
      <c r="J84" s="71"/>
      <c r="K84" s="71"/>
      <c r="L84" s="73" t="s">
        <v>1696</v>
      </c>
      <c r="M84" s="80">
        <v>200000</v>
      </c>
      <c r="N84" s="72" t="s">
        <v>251</v>
      </c>
      <c r="O84" s="73"/>
      <c r="P84" s="71" t="s">
        <v>1697</v>
      </c>
      <c r="Q84" s="71"/>
      <c r="R84" s="100">
        <v>2.8</v>
      </c>
      <c r="S84" s="75">
        <f t="shared" si="22"/>
        <v>42000</v>
      </c>
      <c r="T84" s="91">
        <v>0</v>
      </c>
      <c r="U84" s="76">
        <f t="shared" si="29"/>
        <v>15000</v>
      </c>
      <c r="V84" s="80"/>
      <c r="W84" s="80"/>
      <c r="X84" s="80"/>
      <c r="Y84" s="72"/>
      <c r="Z84" s="72"/>
      <c r="AA84" s="72"/>
      <c r="AB84" s="72"/>
      <c r="AC84" s="72"/>
      <c r="AD84" s="77"/>
      <c r="AE84" s="75">
        <v>5000</v>
      </c>
      <c r="AF84" s="75">
        <v>5000</v>
      </c>
      <c r="AG84" s="75">
        <v>5000</v>
      </c>
      <c r="AH84" s="75">
        <v>5000</v>
      </c>
      <c r="AI84" s="75">
        <v>5000</v>
      </c>
      <c r="AJ84" s="75">
        <v>5000</v>
      </c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10" t="s">
        <v>1670</v>
      </c>
      <c r="AX84" s="10" t="s">
        <v>85</v>
      </c>
      <c r="AY84" s="19" t="s">
        <v>371</v>
      </c>
      <c r="AZ84" s="10" t="s">
        <v>62</v>
      </c>
      <c r="BA84" s="10" t="s">
        <v>96</v>
      </c>
      <c r="BB84" s="10" t="s">
        <v>1568</v>
      </c>
      <c r="BC84" s="10" t="s">
        <v>1698</v>
      </c>
      <c r="BD84" s="10"/>
      <c r="BE84" s="10"/>
      <c r="BF84" s="10"/>
      <c r="BG84" s="13"/>
      <c r="BH84" s="10">
        <v>45736</v>
      </c>
      <c r="BI84" s="14">
        <v>44946</v>
      </c>
      <c r="BJ84" s="14">
        <v>45311</v>
      </c>
      <c r="BK84" s="14">
        <v>45371</v>
      </c>
      <c r="BL84" s="14">
        <v>45463</v>
      </c>
      <c r="BM84" s="14">
        <v>45493</v>
      </c>
      <c r="BN84" s="35">
        <v>1</v>
      </c>
      <c r="BO84" s="11">
        <v>5</v>
      </c>
      <c r="BP84" s="16">
        <f t="shared" si="23"/>
        <v>0</v>
      </c>
      <c r="BQ84" s="16">
        <f t="shared" si="24"/>
        <v>0</v>
      </c>
      <c r="BR84" s="16">
        <f t="shared" si="25"/>
        <v>0</v>
      </c>
      <c r="BS84" s="16">
        <f t="shared" si="26"/>
        <v>0</v>
      </c>
      <c r="BT84" s="17">
        <f t="shared" si="27"/>
        <v>0</v>
      </c>
      <c r="BU84" s="28">
        <f t="shared" si="30"/>
        <v>14000</v>
      </c>
      <c r="BV84" s="28">
        <f t="shared" si="31"/>
        <v>14000</v>
      </c>
      <c r="BW84" s="28">
        <f t="shared" si="32"/>
        <v>14000</v>
      </c>
    </row>
    <row r="85" spans="1:75" ht="17.399999999999999" x14ac:dyDescent="0.25">
      <c r="A85" s="69">
        <f t="shared" si="28"/>
        <v>84</v>
      </c>
      <c r="B85" s="73" t="s">
        <v>1699</v>
      </c>
      <c r="C85" s="71" t="s">
        <v>243</v>
      </c>
      <c r="D85" s="71" t="s">
        <v>1700</v>
      </c>
      <c r="E85" s="71" t="s">
        <v>1532</v>
      </c>
      <c r="F85" s="71" t="s">
        <v>1701</v>
      </c>
      <c r="G85" s="71" t="s">
        <v>848</v>
      </c>
      <c r="H85" s="71" t="s">
        <v>1294</v>
      </c>
      <c r="I85" s="71" t="str">
        <f>VLOOKUP(H85,[1]Sheet1!$C:$C,1,0)</f>
        <v>SC4001SE-CB-90CR-4001</v>
      </c>
      <c r="J85" s="71"/>
      <c r="K85" s="71"/>
      <c r="L85" s="73" t="s">
        <v>1702</v>
      </c>
      <c r="M85" s="80">
        <v>700000</v>
      </c>
      <c r="N85" s="72" t="s">
        <v>361</v>
      </c>
      <c r="O85" s="73"/>
      <c r="P85" s="71" t="s">
        <v>504</v>
      </c>
      <c r="Q85" s="71"/>
      <c r="R85" s="100">
        <v>0.23499999999999999</v>
      </c>
      <c r="S85" s="75">
        <f t="shared" si="22"/>
        <v>4700</v>
      </c>
      <c r="T85" s="91">
        <v>0</v>
      </c>
      <c r="U85" s="76">
        <f t="shared" si="29"/>
        <v>20000</v>
      </c>
      <c r="V85" s="80"/>
      <c r="W85" s="80"/>
      <c r="X85" s="80"/>
      <c r="Y85" s="72">
        <v>18000</v>
      </c>
      <c r="Z85" s="72">
        <v>20000</v>
      </c>
      <c r="AA85" s="72">
        <v>20000</v>
      </c>
      <c r="AB85" s="72">
        <v>20000</v>
      </c>
      <c r="AC85" s="72">
        <v>20000</v>
      </c>
      <c r="AD85" s="77">
        <v>20000</v>
      </c>
      <c r="AE85" s="75"/>
      <c r="AF85" s="75">
        <v>20000</v>
      </c>
      <c r="AG85" s="75"/>
      <c r="AH85" s="75">
        <v>0</v>
      </c>
      <c r="AI85" s="75">
        <v>0</v>
      </c>
      <c r="AJ85" s="75">
        <v>0</v>
      </c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19" t="s">
        <v>689</v>
      </c>
      <c r="AX85" s="19" t="s">
        <v>85</v>
      </c>
      <c r="AY85" s="19" t="s">
        <v>261</v>
      </c>
      <c r="AZ85" s="19" t="s">
        <v>115</v>
      </c>
      <c r="BA85" s="19" t="s">
        <v>116</v>
      </c>
      <c r="BB85" s="19" t="s">
        <v>121</v>
      </c>
      <c r="BC85" s="19"/>
      <c r="BD85" s="19" t="s">
        <v>1703</v>
      </c>
      <c r="BE85" s="19"/>
      <c r="BF85" s="19"/>
      <c r="BG85" s="24">
        <v>2</v>
      </c>
      <c r="BH85" s="19">
        <v>45646</v>
      </c>
      <c r="BI85" s="25">
        <v>45402</v>
      </c>
      <c r="BJ85" s="25">
        <v>45432</v>
      </c>
      <c r="BK85" s="25">
        <v>45463</v>
      </c>
      <c r="BL85" s="25">
        <v>45493</v>
      </c>
      <c r="BM85" s="25">
        <v>45524</v>
      </c>
      <c r="BN85" s="37">
        <v>1</v>
      </c>
      <c r="BO85" s="21">
        <v>5</v>
      </c>
      <c r="BP85" s="27">
        <f t="shared" si="23"/>
        <v>4700</v>
      </c>
      <c r="BQ85" s="27">
        <f t="shared" si="24"/>
        <v>4700</v>
      </c>
      <c r="BR85" s="27">
        <f t="shared" si="25"/>
        <v>4700</v>
      </c>
      <c r="BS85" s="27">
        <f t="shared" si="26"/>
        <v>4700</v>
      </c>
      <c r="BT85" s="28">
        <f t="shared" si="27"/>
        <v>4700</v>
      </c>
      <c r="BU85" s="28">
        <f t="shared" si="30"/>
        <v>0</v>
      </c>
      <c r="BV85" s="28">
        <f t="shared" si="31"/>
        <v>4700</v>
      </c>
      <c r="BW85" s="28">
        <f t="shared" si="32"/>
        <v>0</v>
      </c>
    </row>
    <row r="86" spans="1:75" ht="17.399999999999999" x14ac:dyDescent="0.25">
      <c r="A86" s="69">
        <f t="shared" si="28"/>
        <v>85</v>
      </c>
      <c r="B86" s="73" t="s">
        <v>1850</v>
      </c>
      <c r="C86" s="71" t="s">
        <v>243</v>
      </c>
      <c r="D86" s="71" t="s">
        <v>1165</v>
      </c>
      <c r="E86" s="71" t="s">
        <v>1166</v>
      </c>
      <c r="F86" s="71"/>
      <c r="G86" s="71" t="s">
        <v>900</v>
      </c>
      <c r="H86" s="71" t="s">
        <v>1634</v>
      </c>
      <c r="I86" s="71" t="str">
        <f>VLOOKUP(H86,[1]Sheet1!$C:$C,1,0)</f>
        <v>SC1445A1-41F</v>
      </c>
      <c r="J86" s="71"/>
      <c r="K86" s="71"/>
      <c r="L86" s="73"/>
      <c r="M86" s="80"/>
      <c r="N86" s="72"/>
      <c r="O86" s="73"/>
      <c r="P86" s="71"/>
      <c r="Q86" s="71"/>
      <c r="R86" s="100">
        <v>0.31</v>
      </c>
      <c r="S86" s="75"/>
      <c r="T86" s="91"/>
      <c r="U86" s="76">
        <f t="shared" si="29"/>
        <v>180000</v>
      </c>
      <c r="V86" s="80"/>
      <c r="W86" s="80"/>
      <c r="X86" s="80"/>
      <c r="Y86" s="98"/>
      <c r="Z86" s="80"/>
      <c r="AA86" s="80"/>
      <c r="AB86" s="80"/>
      <c r="AC86" s="72"/>
      <c r="AD86" s="77">
        <v>60000</v>
      </c>
      <c r="AE86" s="75">
        <v>60000</v>
      </c>
      <c r="AF86" s="75">
        <v>60000</v>
      </c>
      <c r="AG86" s="75">
        <v>60000</v>
      </c>
      <c r="AH86" s="75">
        <v>60000</v>
      </c>
      <c r="AI86" s="75"/>
      <c r="AJ86" s="75">
        <f>AH86</f>
        <v>60000</v>
      </c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10"/>
      <c r="AX86" s="10"/>
      <c r="AY86" s="19" t="s">
        <v>261</v>
      </c>
      <c r="AZ86" s="10"/>
      <c r="BA86" s="10"/>
      <c r="BB86" s="10"/>
      <c r="BC86" s="10"/>
      <c r="BD86" s="10"/>
      <c r="BE86" s="10"/>
      <c r="BF86" s="10"/>
      <c r="BG86" s="13"/>
      <c r="BH86" s="10"/>
      <c r="BI86" s="14"/>
      <c r="BJ86" s="14"/>
      <c r="BK86" s="14"/>
      <c r="BL86" s="14"/>
      <c r="BM86" s="14"/>
      <c r="BN86" s="35"/>
      <c r="BO86" s="11"/>
      <c r="BP86" s="16"/>
      <c r="BQ86" s="16"/>
      <c r="BR86" s="16"/>
      <c r="BS86" s="16"/>
      <c r="BT86" s="17">
        <f t="shared" ref="BT86:BT91" si="33">$R86*AD86</f>
        <v>18600</v>
      </c>
      <c r="BU86" s="28">
        <f t="shared" si="30"/>
        <v>18600</v>
      </c>
      <c r="BV86" s="28">
        <f t="shared" si="31"/>
        <v>18600</v>
      </c>
      <c r="BW86" s="28">
        <f t="shared" si="32"/>
        <v>18600</v>
      </c>
    </row>
    <row r="87" spans="1:75" ht="17.399999999999999" x14ac:dyDescent="0.25">
      <c r="A87" s="69">
        <f t="shared" si="28"/>
        <v>86</v>
      </c>
      <c r="B87" s="73" t="s">
        <v>1851</v>
      </c>
      <c r="C87" s="71" t="s">
        <v>243</v>
      </c>
      <c r="D87" s="71" t="s">
        <v>1165</v>
      </c>
      <c r="E87" s="71" t="s">
        <v>1166</v>
      </c>
      <c r="F87" s="71"/>
      <c r="G87" s="71" t="s">
        <v>900</v>
      </c>
      <c r="H87" s="71" t="s">
        <v>1634</v>
      </c>
      <c r="I87" s="71" t="str">
        <f>VLOOKUP(H87,[1]Sheet1!$C:$C,1,0)</f>
        <v>SC1445A1-41F</v>
      </c>
      <c r="J87" s="71"/>
      <c r="K87" s="71"/>
      <c r="L87" s="73"/>
      <c r="M87" s="80"/>
      <c r="N87" s="72"/>
      <c r="O87" s="73"/>
      <c r="P87" s="71"/>
      <c r="Q87" s="71"/>
      <c r="R87" s="100">
        <v>0.31</v>
      </c>
      <c r="S87" s="75"/>
      <c r="T87" s="91"/>
      <c r="U87" s="76">
        <f t="shared" si="29"/>
        <v>0</v>
      </c>
      <c r="V87" s="80"/>
      <c r="W87" s="80"/>
      <c r="X87" s="80"/>
      <c r="Y87" s="98"/>
      <c r="Z87" s="80"/>
      <c r="AA87" s="80"/>
      <c r="AB87" s="80"/>
      <c r="AC87" s="72"/>
      <c r="AD87" s="77"/>
      <c r="AE87" s="75"/>
      <c r="AF87" s="75"/>
      <c r="AG87" s="75"/>
      <c r="AH87" s="75"/>
      <c r="AI87" s="75"/>
      <c r="AJ87" s="75">
        <f>AH87</f>
        <v>0</v>
      </c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19"/>
      <c r="AX87" s="19"/>
      <c r="AY87" s="19" t="s">
        <v>261</v>
      </c>
      <c r="AZ87" s="19"/>
      <c r="BA87" s="19"/>
      <c r="BB87" s="19"/>
      <c r="BC87" s="19"/>
      <c r="BD87" s="19"/>
      <c r="BE87" s="19"/>
      <c r="BF87" s="19"/>
      <c r="BG87" s="24"/>
      <c r="BH87" s="19"/>
      <c r="BI87" s="25"/>
      <c r="BJ87" s="25"/>
      <c r="BK87" s="25"/>
      <c r="BL87" s="25"/>
      <c r="BM87" s="25"/>
      <c r="BN87" s="37"/>
      <c r="BO87" s="21"/>
      <c r="BP87" s="27"/>
      <c r="BQ87" s="27"/>
      <c r="BR87" s="27"/>
      <c r="BS87" s="27"/>
      <c r="BT87" s="28">
        <f t="shared" si="33"/>
        <v>0</v>
      </c>
      <c r="BU87" s="28">
        <f t="shared" si="30"/>
        <v>0</v>
      </c>
      <c r="BV87" s="28">
        <f t="shared" si="31"/>
        <v>0</v>
      </c>
      <c r="BW87" s="28">
        <f t="shared" si="32"/>
        <v>0</v>
      </c>
    </row>
    <row r="88" spans="1:75" ht="17.399999999999999" x14ac:dyDescent="0.25">
      <c r="A88" s="69">
        <f t="shared" si="28"/>
        <v>87</v>
      </c>
      <c r="B88" s="73" t="s">
        <v>1710</v>
      </c>
      <c r="C88" s="71" t="s">
        <v>235</v>
      </c>
      <c r="D88" s="71" t="s">
        <v>1141</v>
      </c>
      <c r="E88" s="71" t="s">
        <v>1532</v>
      </c>
      <c r="F88" s="71" t="s">
        <v>1711</v>
      </c>
      <c r="G88" s="71" t="s">
        <v>1712</v>
      </c>
      <c r="H88" s="71" t="s">
        <v>1652</v>
      </c>
      <c r="I88" s="71" t="str">
        <f>VLOOKUP(H88,[1]Sheet1!$C:$C,1,0)</f>
        <v>SC9641TS-PC-Q-AI-10LR-9641PC</v>
      </c>
      <c r="J88" s="71"/>
      <c r="K88" s="71"/>
      <c r="L88" s="73" t="s">
        <v>1713</v>
      </c>
      <c r="M88" s="80">
        <v>300000</v>
      </c>
      <c r="N88" s="72" t="s">
        <v>361</v>
      </c>
      <c r="O88" s="73"/>
      <c r="P88" s="71" t="s">
        <v>1714</v>
      </c>
      <c r="Q88" s="71"/>
      <c r="R88" s="100">
        <v>2.2000000000000002</v>
      </c>
      <c r="S88" s="75">
        <f>R88*U88</f>
        <v>396000.00000000006</v>
      </c>
      <c r="T88" s="91">
        <v>0</v>
      </c>
      <c r="U88" s="76">
        <f t="shared" si="29"/>
        <v>180000</v>
      </c>
      <c r="V88" s="80"/>
      <c r="W88" s="80"/>
      <c r="X88" s="80">
        <v>47000</v>
      </c>
      <c r="Y88" s="72">
        <v>20000</v>
      </c>
      <c r="Z88" s="72">
        <v>30000</v>
      </c>
      <c r="AA88" s="72">
        <v>30000</v>
      </c>
      <c r="AB88" s="72">
        <v>40000</v>
      </c>
      <c r="AC88" s="72">
        <v>40000</v>
      </c>
      <c r="AD88" s="77"/>
      <c r="AE88" s="75"/>
      <c r="AF88" s="75">
        <v>180000</v>
      </c>
      <c r="AG88" s="75"/>
      <c r="AH88" s="75">
        <v>0</v>
      </c>
      <c r="AI88" s="75">
        <v>0</v>
      </c>
      <c r="AJ88" s="75">
        <v>0</v>
      </c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10" t="s">
        <v>494</v>
      </c>
      <c r="AX88" s="10" t="s">
        <v>85</v>
      </c>
      <c r="AY88" s="19" t="s">
        <v>386</v>
      </c>
      <c r="AZ88" s="10" t="s">
        <v>185</v>
      </c>
      <c r="BA88" s="10" t="s">
        <v>186</v>
      </c>
      <c r="BB88" s="10"/>
      <c r="BC88" s="10"/>
      <c r="BD88" s="10"/>
      <c r="BE88" s="10"/>
      <c r="BF88" s="10"/>
      <c r="BG88" s="13"/>
      <c r="BH88" s="10">
        <v>45493</v>
      </c>
      <c r="BI88" s="14">
        <v>45371</v>
      </c>
      <c r="BJ88" s="14">
        <v>45402</v>
      </c>
      <c r="BK88" s="14">
        <v>45432</v>
      </c>
      <c r="BL88" s="14">
        <v>45463</v>
      </c>
      <c r="BM88" s="14">
        <v>45463</v>
      </c>
      <c r="BN88" s="35">
        <v>1</v>
      </c>
      <c r="BO88" s="11">
        <v>5</v>
      </c>
      <c r="BP88" s="16">
        <f t="shared" ref="BP88:BS91" si="34">$R88*Z88</f>
        <v>66000</v>
      </c>
      <c r="BQ88" s="16">
        <f t="shared" si="34"/>
        <v>66000</v>
      </c>
      <c r="BR88" s="16">
        <f t="shared" si="34"/>
        <v>88000</v>
      </c>
      <c r="BS88" s="16">
        <f t="shared" si="34"/>
        <v>88000</v>
      </c>
      <c r="BT88" s="17">
        <f t="shared" si="33"/>
        <v>0</v>
      </c>
      <c r="BU88" s="28">
        <f t="shared" si="30"/>
        <v>0</v>
      </c>
      <c r="BV88" s="28">
        <f t="shared" si="31"/>
        <v>396000.00000000006</v>
      </c>
      <c r="BW88" s="28">
        <f t="shared" si="32"/>
        <v>0</v>
      </c>
    </row>
    <row r="89" spans="1:75" ht="17.399999999999999" x14ac:dyDescent="0.25">
      <c r="A89" s="69">
        <f t="shared" si="28"/>
        <v>88</v>
      </c>
      <c r="B89" s="73" t="s">
        <v>1715</v>
      </c>
      <c r="C89" s="71" t="s">
        <v>235</v>
      </c>
      <c r="D89" s="71" t="s">
        <v>1068</v>
      </c>
      <c r="E89" s="71" t="s">
        <v>1532</v>
      </c>
      <c r="F89" s="71" t="s">
        <v>1716</v>
      </c>
      <c r="G89" s="71" t="s">
        <v>1717</v>
      </c>
      <c r="H89" s="71" t="s">
        <v>554</v>
      </c>
      <c r="I89" s="71" t="str">
        <f>VLOOKUP(H89,[1]Sheet1!$C:$C,1,0)</f>
        <v>SC9641TS-Q-CB-10LR-9641</v>
      </c>
      <c r="J89" s="71"/>
      <c r="K89" s="71"/>
      <c r="L89" s="73" t="s">
        <v>1718</v>
      </c>
      <c r="M89" s="80">
        <v>300000</v>
      </c>
      <c r="N89" s="72" t="s">
        <v>251</v>
      </c>
      <c r="O89" s="73"/>
      <c r="P89" s="71" t="s">
        <v>504</v>
      </c>
      <c r="Q89" s="71"/>
      <c r="R89" s="100">
        <v>2.52</v>
      </c>
      <c r="S89" s="75">
        <f>R89*U89</f>
        <v>45360</v>
      </c>
      <c r="T89" s="91">
        <v>0</v>
      </c>
      <c r="U89" s="76">
        <f t="shared" si="29"/>
        <v>18000</v>
      </c>
      <c r="V89" s="80"/>
      <c r="W89" s="80"/>
      <c r="X89" s="80"/>
      <c r="Y89" s="72"/>
      <c r="Z89" s="72">
        <v>1000</v>
      </c>
      <c r="AA89" s="72">
        <v>3000</v>
      </c>
      <c r="AB89" s="72">
        <v>3000</v>
      </c>
      <c r="AC89" s="72">
        <v>0</v>
      </c>
      <c r="AD89" s="77">
        <v>5000</v>
      </c>
      <c r="AE89" s="75">
        <v>5000</v>
      </c>
      <c r="AF89" s="75">
        <v>5000</v>
      </c>
      <c r="AG89" s="75">
        <v>8000</v>
      </c>
      <c r="AH89" s="75">
        <v>8000</v>
      </c>
      <c r="AI89" s="75">
        <v>8000</v>
      </c>
      <c r="AJ89" s="75">
        <v>8000</v>
      </c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19" t="s">
        <v>494</v>
      </c>
      <c r="AX89" s="19" t="s">
        <v>85</v>
      </c>
      <c r="AY89" s="19" t="s">
        <v>386</v>
      </c>
      <c r="AZ89" s="19" t="s">
        <v>185</v>
      </c>
      <c r="BA89" s="19" t="s">
        <v>186</v>
      </c>
      <c r="BB89" s="19"/>
      <c r="BC89" s="19"/>
      <c r="BD89" s="19"/>
      <c r="BE89" s="19"/>
      <c r="BF89" s="19"/>
      <c r="BG89" s="24"/>
      <c r="BH89" s="19">
        <v>45828</v>
      </c>
      <c r="BI89" s="25">
        <v>45889</v>
      </c>
      <c r="BJ89" s="25">
        <v>45889</v>
      </c>
      <c r="BK89" s="25">
        <v>45585</v>
      </c>
      <c r="BL89" s="25">
        <v>45646</v>
      </c>
      <c r="BM89" s="25">
        <v>45708</v>
      </c>
      <c r="BN89" s="37">
        <v>1</v>
      </c>
      <c r="BO89" s="21">
        <v>5</v>
      </c>
      <c r="BP89" s="27">
        <f t="shared" si="34"/>
        <v>2520</v>
      </c>
      <c r="BQ89" s="27">
        <f t="shared" si="34"/>
        <v>7560</v>
      </c>
      <c r="BR89" s="27">
        <f t="shared" si="34"/>
        <v>7560</v>
      </c>
      <c r="BS89" s="27">
        <f t="shared" si="34"/>
        <v>0</v>
      </c>
      <c r="BT89" s="28">
        <f t="shared" si="33"/>
        <v>12600</v>
      </c>
      <c r="BU89" s="28">
        <f t="shared" si="30"/>
        <v>12600</v>
      </c>
      <c r="BV89" s="28">
        <f t="shared" si="31"/>
        <v>12600</v>
      </c>
      <c r="BW89" s="28">
        <f t="shared" si="32"/>
        <v>20160</v>
      </c>
    </row>
    <row r="90" spans="1:75" ht="17.399999999999999" x14ac:dyDescent="0.25">
      <c r="A90" s="69">
        <f t="shared" si="28"/>
        <v>89</v>
      </c>
      <c r="B90" s="73" t="s">
        <v>1719</v>
      </c>
      <c r="C90" s="71" t="s">
        <v>235</v>
      </c>
      <c r="D90" s="71" t="s">
        <v>1624</v>
      </c>
      <c r="E90" s="71" t="s">
        <v>1532</v>
      </c>
      <c r="F90" s="71" t="s">
        <v>1720</v>
      </c>
      <c r="G90" s="71" t="s">
        <v>337</v>
      </c>
      <c r="H90" s="71" t="s">
        <v>338</v>
      </c>
      <c r="I90" s="71" t="str">
        <f>VLOOKUP(H90,[1]Sheet1!$C:$C,1,0)</f>
        <v>SC2443SO-Q-DB-60CR-2443</v>
      </c>
      <c r="J90" s="71"/>
      <c r="K90" s="71"/>
      <c r="L90" s="73" t="s">
        <v>1721</v>
      </c>
      <c r="M90" s="80">
        <v>4000000</v>
      </c>
      <c r="N90" s="72" t="s">
        <v>251</v>
      </c>
      <c r="O90" s="73"/>
      <c r="P90" s="71" t="s">
        <v>1613</v>
      </c>
      <c r="Q90" s="71"/>
      <c r="R90" s="100">
        <v>0.45200000000000001</v>
      </c>
      <c r="S90" s="75">
        <f>R90*U90</f>
        <v>13560</v>
      </c>
      <c r="T90" s="91">
        <v>0</v>
      </c>
      <c r="U90" s="76">
        <f t="shared" si="29"/>
        <v>30000</v>
      </c>
      <c r="V90" s="80"/>
      <c r="W90" s="80"/>
      <c r="X90" s="80"/>
      <c r="Y90" s="72"/>
      <c r="Z90" s="72"/>
      <c r="AA90" s="72"/>
      <c r="AB90" s="72">
        <v>5000</v>
      </c>
      <c r="AC90" s="72">
        <v>5000</v>
      </c>
      <c r="AD90" s="77"/>
      <c r="AE90" s="75">
        <v>10000</v>
      </c>
      <c r="AF90" s="75">
        <v>10000</v>
      </c>
      <c r="AG90" s="75">
        <v>10000</v>
      </c>
      <c r="AH90" s="75">
        <v>10000</v>
      </c>
      <c r="AI90" s="75">
        <v>10000</v>
      </c>
      <c r="AJ90" s="75">
        <v>10000</v>
      </c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10" t="s">
        <v>494</v>
      </c>
      <c r="AX90" s="10" t="s">
        <v>85</v>
      </c>
      <c r="AY90" s="19" t="s">
        <v>261</v>
      </c>
      <c r="AZ90" s="10" t="s">
        <v>62</v>
      </c>
      <c r="BA90" s="10" t="s">
        <v>96</v>
      </c>
      <c r="BB90" s="10" t="s">
        <v>1252</v>
      </c>
      <c r="BC90" s="10" t="s">
        <v>1553</v>
      </c>
      <c r="BD90" s="10" t="s">
        <v>1722</v>
      </c>
      <c r="BE90" s="10"/>
      <c r="BF90" s="10"/>
      <c r="BG90" s="13">
        <v>2</v>
      </c>
      <c r="BH90" s="10">
        <v>45858</v>
      </c>
      <c r="BI90" s="14">
        <v>45524</v>
      </c>
      <c r="BJ90" s="14">
        <v>45541</v>
      </c>
      <c r="BK90" s="14">
        <v>45585</v>
      </c>
      <c r="BL90" s="14">
        <v>45677</v>
      </c>
      <c r="BM90" s="14">
        <v>45736</v>
      </c>
      <c r="BN90" s="35">
        <v>1</v>
      </c>
      <c r="BO90" s="11">
        <v>5</v>
      </c>
      <c r="BP90" s="16">
        <f t="shared" si="34"/>
        <v>0</v>
      </c>
      <c r="BQ90" s="16">
        <f t="shared" si="34"/>
        <v>0</v>
      </c>
      <c r="BR90" s="16">
        <f t="shared" si="34"/>
        <v>2260</v>
      </c>
      <c r="BS90" s="16">
        <f t="shared" si="34"/>
        <v>2260</v>
      </c>
      <c r="BT90" s="17">
        <f t="shared" si="33"/>
        <v>0</v>
      </c>
      <c r="BU90" s="28">
        <f t="shared" si="30"/>
        <v>4520</v>
      </c>
      <c r="BV90" s="28">
        <f t="shared" si="31"/>
        <v>4520</v>
      </c>
      <c r="BW90" s="28">
        <f t="shared" si="32"/>
        <v>4520</v>
      </c>
    </row>
    <row r="91" spans="1:75" ht="17.399999999999999" x14ac:dyDescent="0.25">
      <c r="A91" s="69">
        <f t="shared" si="28"/>
        <v>90</v>
      </c>
      <c r="B91" s="73" t="s">
        <v>1719</v>
      </c>
      <c r="C91" s="71" t="s">
        <v>235</v>
      </c>
      <c r="D91" s="71" t="s">
        <v>1624</v>
      </c>
      <c r="E91" s="71" t="s">
        <v>1532</v>
      </c>
      <c r="F91" s="71" t="s">
        <v>1720</v>
      </c>
      <c r="G91" s="71" t="s">
        <v>400</v>
      </c>
      <c r="H91" s="71" t="s">
        <v>1539</v>
      </c>
      <c r="I91" s="71" t="str">
        <f>VLOOKUP(H91,[1]Sheet1!$C:$C,1,0)</f>
        <v>SC1134SO-N-Q-CI-00LR-1134</v>
      </c>
      <c r="J91" s="71"/>
      <c r="K91" s="71"/>
      <c r="L91" s="73" t="s">
        <v>1723</v>
      </c>
      <c r="M91" s="80">
        <v>200000</v>
      </c>
      <c r="N91" s="72" t="s">
        <v>382</v>
      </c>
      <c r="O91" s="73"/>
      <c r="P91" s="71" t="s">
        <v>504</v>
      </c>
      <c r="Q91" s="71"/>
      <c r="R91" s="100">
        <v>0.52</v>
      </c>
      <c r="S91" s="75">
        <f>R91*U91</f>
        <v>5200</v>
      </c>
      <c r="T91" s="91">
        <v>0</v>
      </c>
      <c r="U91" s="76">
        <f t="shared" si="29"/>
        <v>10000</v>
      </c>
      <c r="V91" s="80"/>
      <c r="W91" s="80"/>
      <c r="X91" s="80"/>
      <c r="Y91" s="72"/>
      <c r="Z91" s="72"/>
      <c r="AA91" s="72"/>
      <c r="AB91" s="72"/>
      <c r="AC91" s="72"/>
      <c r="AD91" s="77"/>
      <c r="AE91" s="75"/>
      <c r="AF91" s="75">
        <v>5000</v>
      </c>
      <c r="AG91" s="75">
        <v>5000</v>
      </c>
      <c r="AH91" s="75">
        <v>5000</v>
      </c>
      <c r="AI91" s="75">
        <v>5000</v>
      </c>
      <c r="AJ91" s="75">
        <v>5000</v>
      </c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19" t="s">
        <v>494</v>
      </c>
      <c r="AX91" s="19" t="s">
        <v>85</v>
      </c>
      <c r="AY91" s="19" t="s">
        <v>261</v>
      </c>
      <c r="AZ91" s="19" t="s">
        <v>62</v>
      </c>
      <c r="BA91" s="19" t="s">
        <v>86</v>
      </c>
      <c r="BB91" s="19" t="s">
        <v>87</v>
      </c>
      <c r="BC91" s="19" t="s">
        <v>1580</v>
      </c>
      <c r="BD91" s="19"/>
      <c r="BE91" s="19"/>
      <c r="BF91" s="19"/>
      <c r="BG91" s="24"/>
      <c r="BH91" s="19"/>
      <c r="BI91" s="25"/>
      <c r="BJ91" s="25"/>
      <c r="BK91" s="25"/>
      <c r="BL91" s="25"/>
      <c r="BM91" s="25"/>
      <c r="BN91" s="37"/>
      <c r="BO91" s="21"/>
      <c r="BP91" s="27">
        <f t="shared" si="34"/>
        <v>0</v>
      </c>
      <c r="BQ91" s="27">
        <f t="shared" si="34"/>
        <v>0</v>
      </c>
      <c r="BR91" s="27">
        <f t="shared" si="34"/>
        <v>0</v>
      </c>
      <c r="BS91" s="27">
        <f t="shared" si="34"/>
        <v>0</v>
      </c>
      <c r="BT91" s="28">
        <f t="shared" si="33"/>
        <v>0</v>
      </c>
      <c r="BU91" s="28">
        <f t="shared" si="30"/>
        <v>0</v>
      </c>
      <c r="BV91" s="28">
        <f t="shared" si="31"/>
        <v>2600</v>
      </c>
      <c r="BW91" s="28">
        <f t="shared" si="32"/>
        <v>2600</v>
      </c>
    </row>
    <row r="92" spans="1:75" ht="17.399999999999999" x14ac:dyDescent="0.25">
      <c r="A92" s="69">
        <f t="shared" si="28"/>
        <v>91</v>
      </c>
      <c r="B92" s="73" t="s">
        <v>1814</v>
      </c>
      <c r="C92" s="71" t="s">
        <v>243</v>
      </c>
      <c r="D92" s="71" t="s">
        <v>1811</v>
      </c>
      <c r="E92" s="71" t="s">
        <v>978</v>
      </c>
      <c r="F92" s="71" t="s">
        <v>978</v>
      </c>
      <c r="G92" s="71" t="s">
        <v>1945</v>
      </c>
      <c r="H92" s="71" t="s">
        <v>1946</v>
      </c>
      <c r="I92" s="71" t="str">
        <f>VLOOKUP(H92,[1]Sheet1!$C:$C,1,0)</f>
        <v>SC1445A1-AB-00HK-4451H</v>
      </c>
      <c r="J92" s="71"/>
      <c r="K92" s="71"/>
      <c r="L92" s="73"/>
      <c r="M92" s="80"/>
      <c r="N92" s="72"/>
      <c r="O92" s="73"/>
      <c r="P92" s="71"/>
      <c r="Q92" s="71"/>
      <c r="R92" s="100">
        <v>0.255</v>
      </c>
      <c r="S92" s="75"/>
      <c r="T92" s="91"/>
      <c r="U92" s="76">
        <f t="shared" si="29"/>
        <v>500000</v>
      </c>
      <c r="V92" s="80"/>
      <c r="W92" s="80"/>
      <c r="X92" s="80"/>
      <c r="Y92" s="72"/>
      <c r="Z92" s="72"/>
      <c r="AA92" s="72"/>
      <c r="AB92" s="72"/>
      <c r="AC92" s="72"/>
      <c r="AD92" s="77"/>
      <c r="AE92" s="123">
        <v>250000</v>
      </c>
      <c r="AF92" s="123">
        <v>250000</v>
      </c>
      <c r="AG92" s="75"/>
      <c r="AH92" s="75"/>
      <c r="AI92" s="75"/>
      <c r="AJ92" s="75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19"/>
      <c r="AX92" s="19"/>
      <c r="AY92" s="19" t="s">
        <v>261</v>
      </c>
      <c r="AZ92" s="19"/>
      <c r="BA92" s="19"/>
      <c r="BB92" s="19"/>
      <c r="BC92" s="19"/>
      <c r="BD92" s="19"/>
      <c r="BE92" s="19"/>
      <c r="BF92" s="19"/>
      <c r="BG92" s="24"/>
      <c r="BH92" s="19"/>
      <c r="BI92" s="25"/>
      <c r="BJ92" s="25"/>
      <c r="BK92" s="25"/>
      <c r="BL92" s="25"/>
      <c r="BM92" s="25"/>
      <c r="BN92" s="37"/>
      <c r="BO92" s="21"/>
      <c r="BP92" s="27"/>
      <c r="BQ92" s="27"/>
      <c r="BR92" s="27"/>
      <c r="BS92" s="27"/>
      <c r="BT92" s="28"/>
      <c r="BU92" s="28">
        <f t="shared" si="30"/>
        <v>63750</v>
      </c>
      <c r="BV92" s="28">
        <f t="shared" si="31"/>
        <v>63750</v>
      </c>
      <c r="BW92" s="28">
        <f t="shared" si="32"/>
        <v>0</v>
      </c>
    </row>
    <row r="93" spans="1:75" ht="17.399999999999999" x14ac:dyDescent="0.25">
      <c r="A93" s="69">
        <f t="shared" si="28"/>
        <v>92</v>
      </c>
      <c r="B93" s="73" t="s">
        <v>1728</v>
      </c>
      <c r="C93" s="71" t="s">
        <v>235</v>
      </c>
      <c r="D93" s="71" t="s">
        <v>1624</v>
      </c>
      <c r="E93" s="71" t="s">
        <v>1532</v>
      </c>
      <c r="F93" s="71" t="s">
        <v>1720</v>
      </c>
      <c r="G93" s="71" t="s">
        <v>337</v>
      </c>
      <c r="H93" s="71" t="s">
        <v>338</v>
      </c>
      <c r="I93" s="71" t="str">
        <f>VLOOKUP(H93,[1]Sheet1!$C:$C,1,0)</f>
        <v>SC2443SO-Q-DB-60CR-2443</v>
      </c>
      <c r="J93" s="71"/>
      <c r="K93" s="71"/>
      <c r="L93" s="73" t="s">
        <v>1721</v>
      </c>
      <c r="M93" s="80">
        <v>1000000</v>
      </c>
      <c r="N93" s="72" t="s">
        <v>382</v>
      </c>
      <c r="O93" s="73"/>
      <c r="P93" s="71" t="s">
        <v>1613</v>
      </c>
      <c r="Q93" s="71"/>
      <c r="R93" s="100">
        <v>0.52</v>
      </c>
      <c r="S93" s="75">
        <f t="shared" ref="S93:S102" si="35">R93*U93</f>
        <v>5200</v>
      </c>
      <c r="T93" s="91">
        <v>0</v>
      </c>
      <c r="U93" s="76">
        <f t="shared" si="29"/>
        <v>10000</v>
      </c>
      <c r="V93" s="80"/>
      <c r="W93" s="80"/>
      <c r="X93" s="80"/>
      <c r="Y93" s="72"/>
      <c r="Z93" s="72"/>
      <c r="AA93" s="72"/>
      <c r="AB93" s="72">
        <v>5000</v>
      </c>
      <c r="AC93" s="72">
        <v>5000</v>
      </c>
      <c r="AD93" s="77"/>
      <c r="AE93" s="75"/>
      <c r="AF93" s="75">
        <v>5000</v>
      </c>
      <c r="AG93" s="75">
        <v>5000</v>
      </c>
      <c r="AH93" s="75">
        <v>5000</v>
      </c>
      <c r="AI93" s="75">
        <v>5000</v>
      </c>
      <c r="AJ93" s="75">
        <v>5000</v>
      </c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19" t="s">
        <v>494</v>
      </c>
      <c r="AX93" s="19" t="s">
        <v>85</v>
      </c>
      <c r="AY93" s="19" t="s">
        <v>261</v>
      </c>
      <c r="AZ93" s="19" t="s">
        <v>62</v>
      </c>
      <c r="BA93" s="19" t="s">
        <v>96</v>
      </c>
      <c r="BB93" s="19" t="s">
        <v>1252</v>
      </c>
      <c r="BC93" s="19" t="s">
        <v>1553</v>
      </c>
      <c r="BD93" s="19" t="s">
        <v>1722</v>
      </c>
      <c r="BE93" s="19"/>
      <c r="BF93" s="19"/>
      <c r="BG93" s="24">
        <v>2</v>
      </c>
      <c r="BH93" s="19">
        <v>45858</v>
      </c>
      <c r="BI93" s="25">
        <v>45524</v>
      </c>
      <c r="BJ93" s="25">
        <v>45541</v>
      </c>
      <c r="BK93" s="25">
        <v>45585</v>
      </c>
      <c r="BL93" s="25">
        <v>45677</v>
      </c>
      <c r="BM93" s="25">
        <v>45736</v>
      </c>
      <c r="BN93" s="37">
        <v>1</v>
      </c>
      <c r="BO93" s="21">
        <v>5</v>
      </c>
      <c r="BP93" s="27">
        <f t="shared" ref="BP93:BT94" si="36">$R93*Z93</f>
        <v>0</v>
      </c>
      <c r="BQ93" s="27">
        <f t="shared" si="36"/>
        <v>0</v>
      </c>
      <c r="BR93" s="27">
        <f t="shared" si="36"/>
        <v>2600</v>
      </c>
      <c r="BS93" s="27">
        <f t="shared" si="36"/>
        <v>2600</v>
      </c>
      <c r="BT93" s="28">
        <f t="shared" si="36"/>
        <v>0</v>
      </c>
      <c r="BU93" s="28">
        <f t="shared" si="30"/>
        <v>0</v>
      </c>
      <c r="BV93" s="28">
        <f t="shared" si="31"/>
        <v>2600</v>
      </c>
      <c r="BW93" s="28">
        <f t="shared" si="32"/>
        <v>2600</v>
      </c>
    </row>
    <row r="94" spans="1:75" ht="17.399999999999999" x14ac:dyDescent="0.25">
      <c r="A94" s="69">
        <f t="shared" si="28"/>
        <v>93</v>
      </c>
      <c r="B94" s="73" t="s">
        <v>1729</v>
      </c>
      <c r="C94" s="71" t="s">
        <v>235</v>
      </c>
      <c r="D94" s="71" t="s">
        <v>1730</v>
      </c>
      <c r="E94" s="71" t="s">
        <v>1532</v>
      </c>
      <c r="F94" s="71" t="s">
        <v>1731</v>
      </c>
      <c r="G94" s="71" t="s">
        <v>1732</v>
      </c>
      <c r="H94" s="71" t="s">
        <v>1733</v>
      </c>
      <c r="I94" s="71" t="str">
        <f>VLOOKUP(H94,[1]Sheet1!$C:$C,1,0)</f>
        <v>SC2432SO-CM-10CR-2432</v>
      </c>
      <c r="J94" s="71"/>
      <c r="K94" s="71"/>
      <c r="L94" s="73" t="s">
        <v>1734</v>
      </c>
      <c r="M94" s="80">
        <v>400000</v>
      </c>
      <c r="N94" s="72" t="s">
        <v>251</v>
      </c>
      <c r="O94" s="73"/>
      <c r="P94" s="71" t="s">
        <v>504</v>
      </c>
      <c r="Q94" s="71"/>
      <c r="R94" s="100">
        <v>0.52</v>
      </c>
      <c r="S94" s="75">
        <f t="shared" si="35"/>
        <v>15600</v>
      </c>
      <c r="T94" s="91">
        <v>0</v>
      </c>
      <c r="U94" s="76">
        <f t="shared" si="29"/>
        <v>30000</v>
      </c>
      <c r="V94" s="80"/>
      <c r="W94" s="80"/>
      <c r="X94" s="80"/>
      <c r="Y94" s="72"/>
      <c r="Z94" s="72"/>
      <c r="AA94" s="72">
        <v>5000</v>
      </c>
      <c r="AB94" s="72">
        <v>5000</v>
      </c>
      <c r="AC94" s="72"/>
      <c r="AD94" s="77">
        <v>5000</v>
      </c>
      <c r="AE94" s="75">
        <v>5000</v>
      </c>
      <c r="AF94" s="75">
        <v>5000</v>
      </c>
      <c r="AG94" s="75">
        <v>20000</v>
      </c>
      <c r="AH94" s="75">
        <v>20000</v>
      </c>
      <c r="AI94" s="75">
        <v>20000</v>
      </c>
      <c r="AJ94" s="75">
        <v>20000</v>
      </c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10" t="s">
        <v>494</v>
      </c>
      <c r="AX94" s="10" t="s">
        <v>85</v>
      </c>
      <c r="AY94" s="19" t="s">
        <v>261</v>
      </c>
      <c r="AZ94" s="10" t="s">
        <v>115</v>
      </c>
      <c r="BA94" s="10" t="s">
        <v>116</v>
      </c>
      <c r="BB94" s="10"/>
      <c r="BC94" s="10"/>
      <c r="BD94" s="10"/>
      <c r="BE94" s="10"/>
      <c r="BF94" s="10"/>
      <c r="BG94" s="13"/>
      <c r="BH94" s="10">
        <v>45797</v>
      </c>
      <c r="BI94" s="14">
        <v>45555</v>
      </c>
      <c r="BJ94" s="14">
        <v>45585</v>
      </c>
      <c r="BK94" s="14">
        <v>45616</v>
      </c>
      <c r="BL94" s="14">
        <v>45371</v>
      </c>
      <c r="BM94" s="14">
        <v>45432</v>
      </c>
      <c r="BN94" s="35">
        <v>1</v>
      </c>
      <c r="BO94" s="11">
        <v>5</v>
      </c>
      <c r="BP94" s="16">
        <f t="shared" si="36"/>
        <v>0</v>
      </c>
      <c r="BQ94" s="16">
        <f t="shared" si="36"/>
        <v>2600</v>
      </c>
      <c r="BR94" s="16">
        <f t="shared" si="36"/>
        <v>2600</v>
      </c>
      <c r="BS94" s="16">
        <f t="shared" si="36"/>
        <v>0</v>
      </c>
      <c r="BT94" s="17">
        <f t="shared" si="36"/>
        <v>2600</v>
      </c>
      <c r="BU94" s="28">
        <f t="shared" si="30"/>
        <v>2600</v>
      </c>
      <c r="BV94" s="28">
        <f t="shared" si="31"/>
        <v>2600</v>
      </c>
      <c r="BW94" s="28">
        <f t="shared" si="32"/>
        <v>10400</v>
      </c>
    </row>
    <row r="95" spans="1:75" ht="17.399999999999999" x14ac:dyDescent="0.25">
      <c r="A95" s="69">
        <f t="shared" si="28"/>
        <v>94</v>
      </c>
      <c r="B95" s="73" t="s">
        <v>1729</v>
      </c>
      <c r="C95" s="71" t="s">
        <v>235</v>
      </c>
      <c r="D95" s="71" t="s">
        <v>1730</v>
      </c>
      <c r="E95" s="71" t="s">
        <v>1532</v>
      </c>
      <c r="F95" s="71" t="s">
        <v>1731</v>
      </c>
      <c r="G95" s="71" t="s">
        <v>1735</v>
      </c>
      <c r="H95" s="71" t="s">
        <v>1736</v>
      </c>
      <c r="I95" s="71" t="str">
        <f>VLOOKUP(H95,[1]Sheet1!$C:$C,1,0)</f>
        <v>SC2033SO-N-GD-00NR-2033</v>
      </c>
      <c r="J95" s="71"/>
      <c r="K95" s="71"/>
      <c r="L95" s="73" t="s">
        <v>1737</v>
      </c>
      <c r="M95" s="80">
        <v>200000</v>
      </c>
      <c r="N95" s="72" t="s">
        <v>251</v>
      </c>
      <c r="O95" s="73"/>
      <c r="P95" s="71" t="s">
        <v>1738</v>
      </c>
      <c r="Q95" s="71"/>
      <c r="R95" s="100">
        <v>0.52</v>
      </c>
      <c r="S95" s="75">
        <f t="shared" si="35"/>
        <v>7800</v>
      </c>
      <c r="T95" s="91">
        <v>0</v>
      </c>
      <c r="U95" s="76">
        <f t="shared" si="29"/>
        <v>15000</v>
      </c>
      <c r="V95" s="80"/>
      <c r="W95" s="80"/>
      <c r="X95" s="80"/>
      <c r="Y95" s="72"/>
      <c r="Z95" s="72"/>
      <c r="AA95" s="72"/>
      <c r="AB95" s="72"/>
      <c r="AC95" s="72"/>
      <c r="AD95" s="77"/>
      <c r="AE95" s="75">
        <v>5000</v>
      </c>
      <c r="AF95" s="75">
        <v>5000</v>
      </c>
      <c r="AG95" s="75">
        <v>5000</v>
      </c>
      <c r="AH95" s="75">
        <v>5000</v>
      </c>
      <c r="AI95" s="75">
        <v>5000</v>
      </c>
      <c r="AJ95" s="75">
        <v>5000</v>
      </c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19" t="s">
        <v>494</v>
      </c>
      <c r="AX95" s="19" t="s">
        <v>85</v>
      </c>
      <c r="AY95" s="19" t="s">
        <v>261</v>
      </c>
      <c r="AZ95" s="19" t="s">
        <v>116</v>
      </c>
      <c r="BA95" s="19"/>
      <c r="BB95" s="19"/>
      <c r="BC95" s="19"/>
      <c r="BD95" s="19"/>
      <c r="BE95" s="19"/>
      <c r="BF95" s="19"/>
      <c r="BG95" s="24"/>
      <c r="BH95" s="19"/>
      <c r="BI95" s="25"/>
      <c r="BJ95" s="25"/>
      <c r="BK95" s="25"/>
      <c r="BL95" s="25"/>
      <c r="BM95" s="25"/>
      <c r="BN95" s="37"/>
      <c r="BO95" s="21"/>
      <c r="BP95" s="27"/>
      <c r="BQ95" s="27"/>
      <c r="BR95" s="27"/>
      <c r="BS95" s="27">
        <f t="shared" ref="BS95:BT102" si="37">$R95*AC95</f>
        <v>0</v>
      </c>
      <c r="BT95" s="28">
        <f t="shared" si="37"/>
        <v>0</v>
      </c>
      <c r="BU95" s="28">
        <f t="shared" si="30"/>
        <v>2600</v>
      </c>
      <c r="BV95" s="28">
        <f t="shared" si="31"/>
        <v>2600</v>
      </c>
      <c r="BW95" s="28">
        <f t="shared" si="32"/>
        <v>2600</v>
      </c>
    </row>
    <row r="96" spans="1:75" ht="17.399999999999999" x14ac:dyDescent="0.25">
      <c r="A96" s="69">
        <f t="shared" si="28"/>
        <v>95</v>
      </c>
      <c r="B96" s="73" t="s">
        <v>1729</v>
      </c>
      <c r="C96" s="71" t="s">
        <v>235</v>
      </c>
      <c r="D96" s="71" t="s">
        <v>1730</v>
      </c>
      <c r="E96" s="71" t="s">
        <v>1532</v>
      </c>
      <c r="F96" s="71" t="s">
        <v>1731</v>
      </c>
      <c r="G96" s="71" t="s">
        <v>1595</v>
      </c>
      <c r="H96" s="71" t="s">
        <v>1596</v>
      </c>
      <c r="I96" s="71" t="str">
        <f>VLOOKUP(H96,[1]Sheet1!$C:$C,1,0)</f>
        <v>SC2434SO-CM-10CR-2434</v>
      </c>
      <c r="J96" s="71"/>
      <c r="K96" s="71"/>
      <c r="L96" s="73" t="s">
        <v>1737</v>
      </c>
      <c r="M96" s="80">
        <v>200000</v>
      </c>
      <c r="N96" s="72" t="s">
        <v>251</v>
      </c>
      <c r="O96" s="73"/>
      <c r="P96" s="71" t="s">
        <v>504</v>
      </c>
      <c r="Q96" s="71"/>
      <c r="R96" s="100">
        <v>0.52</v>
      </c>
      <c r="S96" s="75">
        <f t="shared" si="35"/>
        <v>15600</v>
      </c>
      <c r="T96" s="91">
        <v>0</v>
      </c>
      <c r="U96" s="76">
        <f t="shared" si="29"/>
        <v>30000</v>
      </c>
      <c r="V96" s="80"/>
      <c r="W96" s="80"/>
      <c r="X96" s="80"/>
      <c r="Y96" s="72"/>
      <c r="Z96" s="72"/>
      <c r="AA96" s="72">
        <v>5000</v>
      </c>
      <c r="AB96" s="72">
        <v>5000</v>
      </c>
      <c r="AC96" s="72"/>
      <c r="AD96" s="77">
        <v>5000</v>
      </c>
      <c r="AE96" s="75">
        <v>5000</v>
      </c>
      <c r="AF96" s="75">
        <v>5000</v>
      </c>
      <c r="AG96" s="75">
        <v>20000</v>
      </c>
      <c r="AH96" s="75">
        <v>20000</v>
      </c>
      <c r="AI96" s="75">
        <v>20000</v>
      </c>
      <c r="AJ96" s="75">
        <v>20000</v>
      </c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10" t="s">
        <v>494</v>
      </c>
      <c r="AX96" s="10" t="s">
        <v>85</v>
      </c>
      <c r="AY96" s="19" t="s">
        <v>261</v>
      </c>
      <c r="AZ96" s="10" t="s">
        <v>115</v>
      </c>
      <c r="BA96" s="10" t="s">
        <v>116</v>
      </c>
      <c r="BB96" s="10"/>
      <c r="BC96" s="10"/>
      <c r="BD96" s="10"/>
      <c r="BE96" s="10"/>
      <c r="BF96" s="10"/>
      <c r="BG96" s="13"/>
      <c r="BH96" s="10">
        <v>45797</v>
      </c>
      <c r="BI96" s="14">
        <v>45555</v>
      </c>
      <c r="BJ96" s="14">
        <v>45585</v>
      </c>
      <c r="BK96" s="14">
        <v>45616</v>
      </c>
      <c r="BL96" s="14">
        <v>45371</v>
      </c>
      <c r="BM96" s="14">
        <v>45432</v>
      </c>
      <c r="BN96" s="35">
        <v>1</v>
      </c>
      <c r="BO96" s="11">
        <v>5</v>
      </c>
      <c r="BP96" s="16">
        <f t="shared" ref="BP96:BR100" si="38">$R96*Z96</f>
        <v>0</v>
      </c>
      <c r="BQ96" s="16">
        <f t="shared" si="38"/>
        <v>2600</v>
      </c>
      <c r="BR96" s="16">
        <f t="shared" si="38"/>
        <v>2600</v>
      </c>
      <c r="BS96" s="16">
        <f t="shared" si="37"/>
        <v>0</v>
      </c>
      <c r="BT96" s="17">
        <f t="shared" si="37"/>
        <v>2600</v>
      </c>
      <c r="BU96" s="28">
        <f t="shared" si="30"/>
        <v>2600</v>
      </c>
      <c r="BV96" s="28">
        <f t="shared" si="31"/>
        <v>2600</v>
      </c>
      <c r="BW96" s="28">
        <f t="shared" si="32"/>
        <v>10400</v>
      </c>
    </row>
    <row r="97" spans="1:75" ht="17.399999999999999" x14ac:dyDescent="0.25">
      <c r="A97" s="69">
        <f t="shared" si="28"/>
        <v>96</v>
      </c>
      <c r="B97" s="73" t="s">
        <v>1739</v>
      </c>
      <c r="C97" s="71" t="s">
        <v>235</v>
      </c>
      <c r="D97" s="71" t="s">
        <v>1730</v>
      </c>
      <c r="E97" s="71" t="s">
        <v>1532</v>
      </c>
      <c r="F97" s="71" t="s">
        <v>1731</v>
      </c>
      <c r="G97" s="71" t="s">
        <v>929</v>
      </c>
      <c r="H97" s="71" t="s">
        <v>1258</v>
      </c>
      <c r="I97" s="71" t="str">
        <f>VLOOKUP(H97,[1]Sheet1!$C:$C,1,0)</f>
        <v>SC4011SO-N-CB-90NR-49E</v>
      </c>
      <c r="J97" s="71"/>
      <c r="K97" s="71"/>
      <c r="L97" s="73" t="s">
        <v>1740</v>
      </c>
      <c r="M97" s="80">
        <v>200000</v>
      </c>
      <c r="N97" s="72" t="s">
        <v>251</v>
      </c>
      <c r="O97" s="73"/>
      <c r="P97" s="71" t="s">
        <v>504</v>
      </c>
      <c r="Q97" s="71"/>
      <c r="R97" s="100">
        <v>0.52</v>
      </c>
      <c r="S97" s="75">
        <f t="shared" si="35"/>
        <v>15600</v>
      </c>
      <c r="T97" s="91">
        <v>0</v>
      </c>
      <c r="U97" s="76">
        <f t="shared" si="29"/>
        <v>30000</v>
      </c>
      <c r="V97" s="80"/>
      <c r="W97" s="80"/>
      <c r="X97" s="80"/>
      <c r="Y97" s="72"/>
      <c r="Z97" s="72"/>
      <c r="AA97" s="72">
        <v>5000</v>
      </c>
      <c r="AB97" s="72">
        <v>5000</v>
      </c>
      <c r="AC97" s="72"/>
      <c r="AD97" s="77">
        <v>5000</v>
      </c>
      <c r="AE97" s="75">
        <v>5000</v>
      </c>
      <c r="AF97" s="75">
        <v>5000</v>
      </c>
      <c r="AG97" s="75">
        <v>20000</v>
      </c>
      <c r="AH97" s="75">
        <v>20000</v>
      </c>
      <c r="AI97" s="75">
        <v>20000</v>
      </c>
      <c r="AJ97" s="75">
        <v>20000</v>
      </c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19" t="s">
        <v>494</v>
      </c>
      <c r="AX97" s="19" t="s">
        <v>85</v>
      </c>
      <c r="AY97" s="19" t="s">
        <v>261</v>
      </c>
      <c r="AZ97" s="19" t="s">
        <v>115</v>
      </c>
      <c r="BA97" s="19" t="s">
        <v>116</v>
      </c>
      <c r="BB97" s="19"/>
      <c r="BC97" s="19"/>
      <c r="BD97" s="19"/>
      <c r="BE97" s="19"/>
      <c r="BF97" s="19"/>
      <c r="BG97" s="24"/>
      <c r="BH97" s="19">
        <v>45797</v>
      </c>
      <c r="BI97" s="25">
        <v>45555</v>
      </c>
      <c r="BJ97" s="25">
        <v>45585</v>
      </c>
      <c r="BK97" s="25">
        <v>45616</v>
      </c>
      <c r="BL97" s="25">
        <v>45371</v>
      </c>
      <c r="BM97" s="25">
        <v>45432</v>
      </c>
      <c r="BN97" s="37">
        <v>1</v>
      </c>
      <c r="BO97" s="21">
        <v>5</v>
      </c>
      <c r="BP97" s="27">
        <f t="shared" si="38"/>
        <v>0</v>
      </c>
      <c r="BQ97" s="27">
        <f t="shared" si="38"/>
        <v>2600</v>
      </c>
      <c r="BR97" s="27">
        <f t="shared" si="38"/>
        <v>2600</v>
      </c>
      <c r="BS97" s="27">
        <f t="shared" si="37"/>
        <v>0</v>
      </c>
      <c r="BT97" s="28">
        <f t="shared" si="37"/>
        <v>2600</v>
      </c>
      <c r="BU97" s="28">
        <f t="shared" si="30"/>
        <v>2600</v>
      </c>
      <c r="BV97" s="28">
        <f t="shared" si="31"/>
        <v>2600</v>
      </c>
      <c r="BW97" s="28">
        <f t="shared" si="32"/>
        <v>10400</v>
      </c>
    </row>
    <row r="98" spans="1:75" ht="17.399999999999999" x14ac:dyDescent="0.25">
      <c r="A98" s="69">
        <f t="shared" si="28"/>
        <v>97</v>
      </c>
      <c r="B98" s="73" t="s">
        <v>1739</v>
      </c>
      <c r="C98" s="71" t="s">
        <v>235</v>
      </c>
      <c r="D98" s="71" t="s">
        <v>1730</v>
      </c>
      <c r="E98" s="71" t="s">
        <v>1532</v>
      </c>
      <c r="F98" s="71" t="s">
        <v>1731</v>
      </c>
      <c r="G98" s="71" t="s">
        <v>1595</v>
      </c>
      <c r="H98" s="71" t="s">
        <v>1596</v>
      </c>
      <c r="I98" s="71" t="str">
        <f>VLOOKUP(H98,[1]Sheet1!$C:$C,1,0)</f>
        <v>SC2434SO-CM-10CR-2434</v>
      </c>
      <c r="J98" s="71"/>
      <c r="K98" s="71"/>
      <c r="L98" s="73" t="s">
        <v>1741</v>
      </c>
      <c r="M98" s="80">
        <v>200000</v>
      </c>
      <c r="N98" s="72" t="s">
        <v>251</v>
      </c>
      <c r="O98" s="73"/>
      <c r="P98" s="71" t="s">
        <v>504</v>
      </c>
      <c r="Q98" s="71"/>
      <c r="R98" s="100">
        <v>0.52</v>
      </c>
      <c r="S98" s="75">
        <f t="shared" si="35"/>
        <v>13000</v>
      </c>
      <c r="T98" s="91">
        <v>0</v>
      </c>
      <c r="U98" s="76">
        <f t="shared" si="29"/>
        <v>25000</v>
      </c>
      <c r="V98" s="80"/>
      <c r="W98" s="80"/>
      <c r="X98" s="80"/>
      <c r="Y98" s="72"/>
      <c r="Z98" s="72"/>
      <c r="AA98" s="72">
        <v>5000</v>
      </c>
      <c r="AB98" s="72">
        <v>5000</v>
      </c>
      <c r="AC98" s="72"/>
      <c r="AD98" s="77"/>
      <c r="AE98" s="75"/>
      <c r="AF98" s="75">
        <v>5000</v>
      </c>
      <c r="AG98" s="75">
        <v>20000</v>
      </c>
      <c r="AH98" s="75">
        <v>20000</v>
      </c>
      <c r="AI98" s="75">
        <v>20000</v>
      </c>
      <c r="AJ98" s="75">
        <v>20000</v>
      </c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10" t="s">
        <v>494</v>
      </c>
      <c r="AX98" s="10" t="s">
        <v>85</v>
      </c>
      <c r="AY98" s="19" t="s">
        <v>261</v>
      </c>
      <c r="AZ98" s="10" t="s">
        <v>115</v>
      </c>
      <c r="BA98" s="10" t="s">
        <v>116</v>
      </c>
      <c r="BB98" s="10"/>
      <c r="BC98" s="10"/>
      <c r="BD98" s="10"/>
      <c r="BE98" s="10"/>
      <c r="BF98" s="10"/>
      <c r="BG98" s="13"/>
      <c r="BH98" s="10">
        <v>45797</v>
      </c>
      <c r="BI98" s="14">
        <v>45555</v>
      </c>
      <c r="BJ98" s="14">
        <v>45585</v>
      </c>
      <c r="BK98" s="14">
        <v>45616</v>
      </c>
      <c r="BL98" s="14">
        <v>45371</v>
      </c>
      <c r="BM98" s="14">
        <v>45432</v>
      </c>
      <c r="BN98" s="35">
        <v>1</v>
      </c>
      <c r="BO98" s="11">
        <v>5</v>
      </c>
      <c r="BP98" s="16">
        <f t="shared" si="38"/>
        <v>0</v>
      </c>
      <c r="BQ98" s="16">
        <f t="shared" si="38"/>
        <v>2600</v>
      </c>
      <c r="BR98" s="16">
        <f t="shared" si="38"/>
        <v>2600</v>
      </c>
      <c r="BS98" s="16">
        <f t="shared" si="37"/>
        <v>0</v>
      </c>
      <c r="BT98" s="17">
        <f t="shared" si="37"/>
        <v>0</v>
      </c>
      <c r="BU98" s="28">
        <f t="shared" si="30"/>
        <v>0</v>
      </c>
      <c r="BV98" s="28">
        <f t="shared" si="31"/>
        <v>2600</v>
      </c>
      <c r="BW98" s="28">
        <f t="shared" si="32"/>
        <v>10400</v>
      </c>
    </row>
    <row r="99" spans="1:75" ht="17.399999999999999" x14ac:dyDescent="0.25">
      <c r="A99" s="69">
        <f t="shared" si="28"/>
        <v>98</v>
      </c>
      <c r="B99" s="73" t="s">
        <v>1739</v>
      </c>
      <c r="C99" s="71" t="s">
        <v>235</v>
      </c>
      <c r="D99" s="71" t="s">
        <v>1730</v>
      </c>
      <c r="E99" s="71" t="s">
        <v>1532</v>
      </c>
      <c r="F99" s="71" t="s">
        <v>1731</v>
      </c>
      <c r="G99" s="71" t="s">
        <v>1732</v>
      </c>
      <c r="H99" s="71" t="s">
        <v>1733</v>
      </c>
      <c r="I99" s="71" t="str">
        <f>VLOOKUP(H99,[1]Sheet1!$C:$C,1,0)</f>
        <v>SC2432SO-CM-10CR-2432</v>
      </c>
      <c r="J99" s="71"/>
      <c r="K99" s="71"/>
      <c r="L99" s="73" t="s">
        <v>1734</v>
      </c>
      <c r="M99" s="80">
        <v>300000</v>
      </c>
      <c r="N99" s="72" t="s">
        <v>367</v>
      </c>
      <c r="O99" s="73"/>
      <c r="P99" s="71" t="s">
        <v>504</v>
      </c>
      <c r="Q99" s="71"/>
      <c r="R99" s="100">
        <v>0.52</v>
      </c>
      <c r="S99" s="75">
        <f t="shared" si="35"/>
        <v>15600</v>
      </c>
      <c r="T99" s="91">
        <v>0</v>
      </c>
      <c r="U99" s="76">
        <f t="shared" si="29"/>
        <v>30000</v>
      </c>
      <c r="V99" s="80"/>
      <c r="W99" s="80">
        <v>3000</v>
      </c>
      <c r="X99" s="80"/>
      <c r="Y99" s="72"/>
      <c r="Z99" s="72">
        <v>3000</v>
      </c>
      <c r="AA99" s="72">
        <v>5000</v>
      </c>
      <c r="AB99" s="72">
        <v>5000</v>
      </c>
      <c r="AC99" s="72">
        <v>5000</v>
      </c>
      <c r="AD99" s="77">
        <v>5000</v>
      </c>
      <c r="AE99" s="75">
        <v>5000</v>
      </c>
      <c r="AF99" s="75">
        <v>5000</v>
      </c>
      <c r="AG99" s="75">
        <v>20000</v>
      </c>
      <c r="AH99" s="75">
        <v>20000</v>
      </c>
      <c r="AI99" s="75">
        <v>20000</v>
      </c>
      <c r="AJ99" s="75">
        <v>20000</v>
      </c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19" t="s">
        <v>494</v>
      </c>
      <c r="AX99" s="19" t="s">
        <v>85</v>
      </c>
      <c r="AY99" s="19" t="s">
        <v>261</v>
      </c>
      <c r="AZ99" s="19" t="s">
        <v>115</v>
      </c>
      <c r="BA99" s="19" t="s">
        <v>116</v>
      </c>
      <c r="BB99" s="19"/>
      <c r="BC99" s="19"/>
      <c r="BD99" s="19"/>
      <c r="BE99" s="19"/>
      <c r="BF99" s="19"/>
      <c r="BG99" s="24"/>
      <c r="BH99" s="19"/>
      <c r="BI99" s="25"/>
      <c r="BJ99" s="25"/>
      <c r="BK99" s="25"/>
      <c r="BL99" s="25"/>
      <c r="BM99" s="25"/>
      <c r="BN99" s="37"/>
      <c r="BO99" s="21"/>
      <c r="BP99" s="27">
        <f t="shared" si="38"/>
        <v>1560</v>
      </c>
      <c r="BQ99" s="27">
        <f t="shared" si="38"/>
        <v>2600</v>
      </c>
      <c r="BR99" s="27">
        <f t="shared" si="38"/>
        <v>2600</v>
      </c>
      <c r="BS99" s="27">
        <f t="shared" si="37"/>
        <v>2600</v>
      </c>
      <c r="BT99" s="28">
        <f t="shared" si="37"/>
        <v>2600</v>
      </c>
      <c r="BU99" s="28">
        <f t="shared" si="30"/>
        <v>2600</v>
      </c>
      <c r="BV99" s="28">
        <f t="shared" si="31"/>
        <v>2600</v>
      </c>
      <c r="BW99" s="28">
        <f t="shared" si="32"/>
        <v>10400</v>
      </c>
    </row>
    <row r="100" spans="1:75" ht="17.399999999999999" x14ac:dyDescent="0.25">
      <c r="A100" s="69">
        <f t="shared" si="28"/>
        <v>99</v>
      </c>
      <c r="B100" s="73" t="s">
        <v>1742</v>
      </c>
      <c r="C100" s="71" t="s">
        <v>235</v>
      </c>
      <c r="D100" s="71" t="s">
        <v>764</v>
      </c>
      <c r="E100" s="71" t="s">
        <v>1532</v>
      </c>
      <c r="F100" s="71" t="s">
        <v>1743</v>
      </c>
      <c r="G100" s="71" t="s">
        <v>568</v>
      </c>
      <c r="H100" s="71" t="s">
        <v>1559</v>
      </c>
      <c r="I100" s="71" t="str">
        <f>VLOOKUP(H100,[1]Sheet1!$C:$C,1,0)</f>
        <v>SC2432SO-Q-CM-10CR-2432</v>
      </c>
      <c r="J100" s="71"/>
      <c r="K100" s="71"/>
      <c r="L100" s="73" t="s">
        <v>1744</v>
      </c>
      <c r="M100" s="80">
        <v>1000000</v>
      </c>
      <c r="N100" s="72" t="s">
        <v>251</v>
      </c>
      <c r="O100" s="73"/>
      <c r="P100" s="71" t="s">
        <v>1745</v>
      </c>
      <c r="Q100" s="71"/>
      <c r="R100" s="100">
        <v>0.52</v>
      </c>
      <c r="S100" s="75">
        <f t="shared" si="35"/>
        <v>67600</v>
      </c>
      <c r="T100" s="91">
        <v>0</v>
      </c>
      <c r="U100" s="76">
        <f t="shared" si="29"/>
        <v>130000</v>
      </c>
      <c r="V100" s="80"/>
      <c r="W100" s="80"/>
      <c r="X100" s="80"/>
      <c r="Y100" s="72"/>
      <c r="Z100" s="72"/>
      <c r="AA100" s="72"/>
      <c r="AB100" s="72">
        <v>300000</v>
      </c>
      <c r="AC100" s="72">
        <v>50000</v>
      </c>
      <c r="AD100" s="77">
        <v>50000</v>
      </c>
      <c r="AE100" s="75">
        <v>30000</v>
      </c>
      <c r="AF100" s="75">
        <v>50000</v>
      </c>
      <c r="AG100" s="75">
        <v>50000</v>
      </c>
      <c r="AH100" s="75">
        <v>50000</v>
      </c>
      <c r="AI100" s="75">
        <v>50000</v>
      </c>
      <c r="AJ100" s="75">
        <v>50000</v>
      </c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10" t="s">
        <v>494</v>
      </c>
      <c r="AX100" s="10" t="s">
        <v>85</v>
      </c>
      <c r="AY100" s="19" t="s">
        <v>261</v>
      </c>
      <c r="AZ100" s="10" t="s">
        <v>62</v>
      </c>
      <c r="BA100" s="10" t="s">
        <v>96</v>
      </c>
      <c r="BB100" s="10" t="s">
        <v>1399</v>
      </c>
      <c r="BC100" s="10" t="s">
        <v>1400</v>
      </c>
      <c r="BD100" s="10"/>
      <c r="BE100" s="10"/>
      <c r="BF100" s="10"/>
      <c r="BG100" s="13"/>
      <c r="BH100" s="10"/>
      <c r="BI100" s="14"/>
      <c r="BJ100" s="14"/>
      <c r="BK100" s="14"/>
      <c r="BL100" s="14"/>
      <c r="BM100" s="14"/>
      <c r="BN100" s="35"/>
      <c r="BO100" s="11"/>
      <c r="BP100" s="16">
        <f t="shared" si="38"/>
        <v>0</v>
      </c>
      <c r="BQ100" s="16">
        <f t="shared" si="38"/>
        <v>0</v>
      </c>
      <c r="BR100" s="16">
        <f t="shared" si="38"/>
        <v>156000</v>
      </c>
      <c r="BS100" s="16">
        <f t="shared" si="37"/>
        <v>26000</v>
      </c>
      <c r="BT100" s="17">
        <f t="shared" si="37"/>
        <v>26000</v>
      </c>
      <c r="BU100" s="28">
        <f t="shared" si="30"/>
        <v>15600</v>
      </c>
      <c r="BV100" s="28">
        <f t="shared" si="31"/>
        <v>26000</v>
      </c>
      <c r="BW100" s="28">
        <f t="shared" si="32"/>
        <v>26000</v>
      </c>
    </row>
    <row r="101" spans="1:75" ht="17.399999999999999" x14ac:dyDescent="0.25">
      <c r="A101" s="69">
        <f t="shared" si="28"/>
        <v>100</v>
      </c>
      <c r="B101" s="73" t="s">
        <v>1742</v>
      </c>
      <c r="C101" s="71" t="s">
        <v>235</v>
      </c>
      <c r="D101" s="71" t="s">
        <v>764</v>
      </c>
      <c r="E101" s="71" t="s">
        <v>1532</v>
      </c>
      <c r="F101" s="71" t="s">
        <v>1743</v>
      </c>
      <c r="G101" s="71" t="s">
        <v>400</v>
      </c>
      <c r="H101" s="71" t="s">
        <v>1539</v>
      </c>
      <c r="I101" s="71" t="str">
        <f>VLOOKUP(H101,[1]Sheet1!$C:$C,1,0)</f>
        <v>SC1134SO-N-Q-CI-00LR-1134</v>
      </c>
      <c r="J101" s="71"/>
      <c r="K101" s="71"/>
      <c r="L101" s="73"/>
      <c r="M101" s="80"/>
      <c r="N101" s="72"/>
      <c r="O101" s="73"/>
      <c r="P101" s="71"/>
      <c r="Q101" s="71"/>
      <c r="R101" s="100">
        <v>0.4</v>
      </c>
      <c r="S101" s="75">
        <f t="shared" si="35"/>
        <v>52000</v>
      </c>
      <c r="T101" s="91"/>
      <c r="U101" s="76">
        <f t="shared" si="29"/>
        <v>130000</v>
      </c>
      <c r="V101" s="80"/>
      <c r="W101" s="80"/>
      <c r="X101" s="80"/>
      <c r="Y101" s="72"/>
      <c r="Z101" s="72"/>
      <c r="AA101" s="72"/>
      <c r="AB101" s="72">
        <v>50000</v>
      </c>
      <c r="AC101" s="72">
        <v>50000</v>
      </c>
      <c r="AD101" s="77">
        <v>50000</v>
      </c>
      <c r="AE101" s="75">
        <v>30000</v>
      </c>
      <c r="AF101" s="75">
        <v>50000</v>
      </c>
      <c r="AG101" s="75">
        <v>50000</v>
      </c>
      <c r="AH101" s="75">
        <v>50000</v>
      </c>
      <c r="AI101" s="75">
        <v>50000</v>
      </c>
      <c r="AJ101" s="75">
        <v>50000</v>
      </c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19" t="s">
        <v>494</v>
      </c>
      <c r="AX101" s="19" t="s">
        <v>85</v>
      </c>
      <c r="AY101" s="19" t="s">
        <v>261</v>
      </c>
      <c r="AZ101" s="19"/>
      <c r="BA101" s="19"/>
      <c r="BB101" s="19"/>
      <c r="BC101" s="19"/>
      <c r="BD101" s="19"/>
      <c r="BE101" s="19"/>
      <c r="BF101" s="19"/>
      <c r="BG101" s="24"/>
      <c r="BH101" s="19"/>
      <c r="BI101" s="25"/>
      <c r="BJ101" s="25"/>
      <c r="BK101" s="25"/>
      <c r="BL101" s="25"/>
      <c r="BM101" s="25"/>
      <c r="BN101" s="37"/>
      <c r="BO101" s="21"/>
      <c r="BP101" s="27"/>
      <c r="BQ101" s="27">
        <f>$R101*AA101</f>
        <v>0</v>
      </c>
      <c r="BR101" s="27">
        <f>$R101*AB101</f>
        <v>20000</v>
      </c>
      <c r="BS101" s="27">
        <f t="shared" si="37"/>
        <v>20000</v>
      </c>
      <c r="BT101" s="28">
        <f t="shared" si="37"/>
        <v>20000</v>
      </c>
      <c r="BU101" s="28">
        <f t="shared" si="30"/>
        <v>12000</v>
      </c>
      <c r="BV101" s="28">
        <f t="shared" si="31"/>
        <v>20000</v>
      </c>
      <c r="BW101" s="28">
        <f t="shared" si="32"/>
        <v>20000</v>
      </c>
    </row>
    <row r="102" spans="1:75" ht="17.399999999999999" x14ac:dyDescent="0.25">
      <c r="A102" s="69">
        <f t="shared" si="28"/>
        <v>101</v>
      </c>
      <c r="B102" s="73" t="s">
        <v>1742</v>
      </c>
      <c r="C102" s="71" t="s">
        <v>235</v>
      </c>
      <c r="D102" s="71" t="s">
        <v>764</v>
      </c>
      <c r="E102" s="71" t="s">
        <v>1532</v>
      </c>
      <c r="F102" s="71" t="s">
        <v>1743</v>
      </c>
      <c r="G102" s="71" t="s">
        <v>1556</v>
      </c>
      <c r="H102" s="71" t="s">
        <v>1557</v>
      </c>
      <c r="I102" s="71" t="str">
        <f>VLOOKUP(H102,[1]Sheet1!$C:$C,1,0)</f>
        <v>SC2943SO-Q-DB-60CR-2943</v>
      </c>
      <c r="J102" s="71"/>
      <c r="K102" s="71"/>
      <c r="L102" s="73"/>
      <c r="M102" s="80"/>
      <c r="N102" s="72"/>
      <c r="O102" s="73"/>
      <c r="P102" s="71"/>
      <c r="Q102" s="71"/>
      <c r="R102" s="100">
        <v>0.51980000000000004</v>
      </c>
      <c r="S102" s="75">
        <f t="shared" si="35"/>
        <v>67574</v>
      </c>
      <c r="T102" s="91"/>
      <c r="U102" s="76">
        <f t="shared" si="29"/>
        <v>130000</v>
      </c>
      <c r="V102" s="80"/>
      <c r="W102" s="80"/>
      <c r="X102" s="80"/>
      <c r="Y102" s="72"/>
      <c r="Z102" s="72"/>
      <c r="AA102" s="72"/>
      <c r="AB102" s="72">
        <v>150000</v>
      </c>
      <c r="AC102" s="72">
        <v>50000</v>
      </c>
      <c r="AD102" s="77">
        <v>50000</v>
      </c>
      <c r="AE102" s="75">
        <v>30000</v>
      </c>
      <c r="AF102" s="75">
        <v>50000</v>
      </c>
      <c r="AG102" s="75">
        <v>50000</v>
      </c>
      <c r="AH102" s="75">
        <v>50000</v>
      </c>
      <c r="AI102" s="75">
        <v>50000</v>
      </c>
      <c r="AJ102" s="75">
        <v>50000</v>
      </c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10" t="s">
        <v>494</v>
      </c>
      <c r="AX102" s="10" t="s">
        <v>85</v>
      </c>
      <c r="AY102" s="19" t="s">
        <v>261</v>
      </c>
      <c r="AZ102" s="10"/>
      <c r="BA102" s="10"/>
      <c r="BB102" s="10"/>
      <c r="BC102" s="10"/>
      <c r="BD102" s="10"/>
      <c r="BE102" s="10"/>
      <c r="BF102" s="10"/>
      <c r="BG102" s="13"/>
      <c r="BH102" s="10"/>
      <c r="BI102" s="14"/>
      <c r="BJ102" s="14"/>
      <c r="BK102" s="14"/>
      <c r="BL102" s="14"/>
      <c r="BM102" s="14"/>
      <c r="BN102" s="35"/>
      <c r="BO102" s="11"/>
      <c r="BP102" s="16"/>
      <c r="BQ102" s="16">
        <f>$R102*AA102</f>
        <v>0</v>
      </c>
      <c r="BR102" s="16">
        <f>$R102*AB102</f>
        <v>77970</v>
      </c>
      <c r="BS102" s="16">
        <f t="shared" si="37"/>
        <v>25990.000000000004</v>
      </c>
      <c r="BT102" s="17">
        <f t="shared" si="37"/>
        <v>25990.000000000004</v>
      </c>
      <c r="BU102" s="28">
        <f t="shared" si="30"/>
        <v>15594.000000000002</v>
      </c>
      <c r="BV102" s="28">
        <f t="shared" si="31"/>
        <v>25990.000000000004</v>
      </c>
      <c r="BW102" s="28">
        <f t="shared" si="32"/>
        <v>25990.000000000004</v>
      </c>
    </row>
    <row r="103" spans="1:75" ht="17.399999999999999" x14ac:dyDescent="0.25">
      <c r="A103" s="69"/>
      <c r="B103" s="73" t="s">
        <v>1805</v>
      </c>
      <c r="C103" s="71" t="s">
        <v>243</v>
      </c>
      <c r="D103" s="71" t="s">
        <v>1805</v>
      </c>
      <c r="E103" s="71" t="s">
        <v>978</v>
      </c>
      <c r="F103" s="71" t="s">
        <v>978</v>
      </c>
      <c r="G103" s="71" t="s">
        <v>1806</v>
      </c>
      <c r="H103" s="71" t="s">
        <v>1807</v>
      </c>
      <c r="I103" s="71" t="str">
        <f>VLOOKUP(H103,[1]Sheet1!$C:$C,1,0)</f>
        <v>SC1445A2-713B</v>
      </c>
      <c r="J103" s="71"/>
      <c r="K103" s="71"/>
      <c r="L103" s="73"/>
      <c r="M103" s="80"/>
      <c r="N103" s="72"/>
      <c r="O103" s="73"/>
      <c r="P103" s="71"/>
      <c r="Q103" s="71"/>
      <c r="R103" s="100">
        <v>0.255</v>
      </c>
      <c r="S103" s="75"/>
      <c r="T103" s="91"/>
      <c r="U103" s="76">
        <f t="shared" si="29"/>
        <v>250000</v>
      </c>
      <c r="V103" s="80"/>
      <c r="W103" s="80"/>
      <c r="X103" s="80"/>
      <c r="Y103" s="72"/>
      <c r="Z103" s="72"/>
      <c r="AA103" s="72"/>
      <c r="AB103" s="72"/>
      <c r="AC103" s="72"/>
      <c r="AD103" s="77">
        <v>250000</v>
      </c>
      <c r="AE103" s="77">
        <v>250000</v>
      </c>
      <c r="AF103" s="75"/>
      <c r="AG103" s="75"/>
      <c r="AH103" s="75"/>
      <c r="AI103" s="75"/>
      <c r="AJ103" s="75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19"/>
      <c r="AX103" s="19"/>
      <c r="AY103" s="19" t="s">
        <v>261</v>
      </c>
      <c r="AZ103" s="19"/>
      <c r="BA103" s="19"/>
      <c r="BB103" s="19"/>
      <c r="BC103" s="19"/>
      <c r="BD103" s="19"/>
      <c r="BE103" s="19"/>
      <c r="BF103" s="19"/>
      <c r="BG103" s="24"/>
      <c r="BH103" s="19"/>
      <c r="BI103" s="25"/>
      <c r="BJ103" s="25"/>
      <c r="BK103" s="25"/>
      <c r="BL103" s="25"/>
      <c r="BM103" s="25"/>
      <c r="BN103" s="37"/>
      <c r="BO103" s="21"/>
      <c r="BP103" s="27"/>
      <c r="BQ103" s="27"/>
      <c r="BR103" s="27"/>
      <c r="BS103" s="27"/>
      <c r="BT103" s="28"/>
      <c r="BU103" s="28">
        <f t="shared" si="30"/>
        <v>63750</v>
      </c>
      <c r="BV103" s="28">
        <f t="shared" si="31"/>
        <v>0</v>
      </c>
      <c r="BW103" s="28">
        <f t="shared" si="32"/>
        <v>0</v>
      </c>
    </row>
    <row r="104" spans="1:75" ht="17.399999999999999" x14ac:dyDescent="0.25">
      <c r="A104" s="69">
        <f>ROW()-1</f>
        <v>103</v>
      </c>
      <c r="B104" s="73" t="s">
        <v>1742</v>
      </c>
      <c r="C104" s="71" t="s">
        <v>235</v>
      </c>
      <c r="D104" s="71" t="s">
        <v>764</v>
      </c>
      <c r="E104" s="71" t="s">
        <v>1532</v>
      </c>
      <c r="F104" s="71" t="s">
        <v>1743</v>
      </c>
      <c r="G104" s="71" t="s">
        <v>1318</v>
      </c>
      <c r="H104" s="71" t="s">
        <v>1319</v>
      </c>
      <c r="I104" s="71" t="str">
        <f>VLOOKUP(H104,[1]Sheet1!$C:$C,1,0)</f>
        <v>SC2527S6-SD-Q-DA-40CR-2527</v>
      </c>
      <c r="J104" s="71"/>
      <c r="K104" s="71"/>
      <c r="L104" s="73"/>
      <c r="M104" s="80"/>
      <c r="N104" s="72"/>
      <c r="O104" s="73"/>
      <c r="P104" s="71"/>
      <c r="Q104" s="71"/>
      <c r="R104" s="100">
        <v>0.66</v>
      </c>
      <c r="S104" s="75">
        <f>R104*U104</f>
        <v>85800</v>
      </c>
      <c r="T104" s="91"/>
      <c r="U104" s="76">
        <f t="shared" si="29"/>
        <v>130000</v>
      </c>
      <c r="V104" s="80"/>
      <c r="W104" s="80"/>
      <c r="X104" s="80"/>
      <c r="Y104" s="72"/>
      <c r="Z104" s="72"/>
      <c r="AA104" s="72"/>
      <c r="AB104" s="72">
        <v>30000</v>
      </c>
      <c r="AC104" s="72">
        <v>50000</v>
      </c>
      <c r="AD104" s="77">
        <v>50000</v>
      </c>
      <c r="AE104" s="75">
        <v>30000</v>
      </c>
      <c r="AF104" s="75">
        <v>50000</v>
      </c>
      <c r="AG104" s="75">
        <v>50000</v>
      </c>
      <c r="AH104" s="75">
        <v>50000</v>
      </c>
      <c r="AI104" s="75">
        <v>50000</v>
      </c>
      <c r="AJ104" s="75">
        <v>50000</v>
      </c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19" t="s">
        <v>494</v>
      </c>
      <c r="AX104" s="19" t="s">
        <v>85</v>
      </c>
      <c r="AY104" s="19" t="s">
        <v>261</v>
      </c>
      <c r="AZ104" s="19"/>
      <c r="BA104" s="19"/>
      <c r="BB104" s="19"/>
      <c r="BC104" s="19"/>
      <c r="BD104" s="19"/>
      <c r="BE104" s="19"/>
      <c r="BF104" s="19"/>
      <c r="BG104" s="24"/>
      <c r="BH104" s="19"/>
      <c r="BI104" s="25"/>
      <c r="BJ104" s="25"/>
      <c r="BK104" s="25"/>
      <c r="BL104" s="25"/>
      <c r="BM104" s="25"/>
      <c r="BN104" s="37"/>
      <c r="BO104" s="21"/>
      <c r="BP104" s="27"/>
      <c r="BQ104" s="27">
        <f>$R104*AA104</f>
        <v>0</v>
      </c>
      <c r="BR104" s="27">
        <f>$R104*AB104</f>
        <v>19800</v>
      </c>
      <c r="BS104" s="27">
        <f>$R104*AC104</f>
        <v>33000</v>
      </c>
      <c r="BT104" s="28">
        <f>$R104*AD104</f>
        <v>33000</v>
      </c>
      <c r="BU104" s="28">
        <f t="shared" si="30"/>
        <v>19800</v>
      </c>
      <c r="BV104" s="28">
        <f t="shared" si="31"/>
        <v>33000</v>
      </c>
      <c r="BW104" s="28">
        <f t="shared" si="32"/>
        <v>33000</v>
      </c>
    </row>
    <row r="105" spans="1:75" ht="17.399999999999999" x14ac:dyDescent="0.25">
      <c r="A105" s="69"/>
      <c r="B105" s="73" t="s">
        <v>1805</v>
      </c>
      <c r="C105" s="71" t="s">
        <v>243</v>
      </c>
      <c r="D105" s="71" t="s">
        <v>1805</v>
      </c>
      <c r="E105" s="71" t="s">
        <v>978</v>
      </c>
      <c r="F105" s="71" t="s">
        <v>978</v>
      </c>
      <c r="G105" s="71" t="s">
        <v>1808</v>
      </c>
      <c r="H105" s="71" t="s">
        <v>1809</v>
      </c>
      <c r="I105" s="71" t="str">
        <f>VLOOKUP(H105,[1]Sheet1!$C:$C,1,0)</f>
        <v>SC1445B2-713</v>
      </c>
      <c r="J105" s="71"/>
      <c r="K105" s="71"/>
      <c r="L105" s="73"/>
      <c r="M105" s="80"/>
      <c r="N105" s="72"/>
      <c r="O105" s="73"/>
      <c r="P105" s="71"/>
      <c r="Q105" s="71"/>
      <c r="R105" s="100">
        <v>0.255</v>
      </c>
      <c r="S105" s="75"/>
      <c r="T105" s="91"/>
      <c r="U105" s="76">
        <f t="shared" si="29"/>
        <v>500000</v>
      </c>
      <c r="V105" s="80"/>
      <c r="W105" s="80"/>
      <c r="X105" s="80"/>
      <c r="Y105" s="72"/>
      <c r="Z105" s="72"/>
      <c r="AA105" s="72"/>
      <c r="AB105" s="72"/>
      <c r="AC105" s="72"/>
      <c r="AD105" s="77">
        <v>750000</v>
      </c>
      <c r="AE105" s="75">
        <v>500000</v>
      </c>
      <c r="AF105" s="75"/>
      <c r="AG105" s="75"/>
      <c r="AH105" s="75"/>
      <c r="AI105" s="75"/>
      <c r="AJ105" s="75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19"/>
      <c r="AX105" s="19"/>
      <c r="AY105" s="19" t="s">
        <v>261</v>
      </c>
      <c r="AZ105" s="19"/>
      <c r="BA105" s="19"/>
      <c r="BB105" s="19"/>
      <c r="BC105" s="19"/>
      <c r="BD105" s="19"/>
      <c r="BE105" s="19"/>
      <c r="BF105" s="19"/>
      <c r="BG105" s="24"/>
      <c r="BH105" s="19"/>
      <c r="BI105" s="25"/>
      <c r="BJ105" s="25"/>
      <c r="BK105" s="25"/>
      <c r="BL105" s="25"/>
      <c r="BM105" s="25"/>
      <c r="BN105" s="37"/>
      <c r="BO105" s="21"/>
      <c r="BP105" s="27"/>
      <c r="BQ105" s="27"/>
      <c r="BR105" s="27"/>
      <c r="BS105" s="27"/>
      <c r="BT105" s="28"/>
      <c r="BU105" s="28">
        <f t="shared" si="30"/>
        <v>127500</v>
      </c>
      <c r="BV105" s="28">
        <f t="shared" si="31"/>
        <v>0</v>
      </c>
      <c r="BW105" s="28">
        <f t="shared" si="32"/>
        <v>0</v>
      </c>
    </row>
    <row r="106" spans="1:75" ht="17.399999999999999" x14ac:dyDescent="0.25">
      <c r="A106" s="69">
        <f t="shared" ref="A106:A168" si="39">ROW()-1</f>
        <v>105</v>
      </c>
      <c r="B106" s="73" t="s">
        <v>1750</v>
      </c>
      <c r="C106" s="71" t="s">
        <v>235</v>
      </c>
      <c r="D106" s="71" t="s">
        <v>1599</v>
      </c>
      <c r="E106" s="71" t="s">
        <v>1532</v>
      </c>
      <c r="F106" s="71" t="s">
        <v>1751</v>
      </c>
      <c r="G106" s="71" t="s">
        <v>547</v>
      </c>
      <c r="H106" s="71" t="s">
        <v>1674</v>
      </c>
      <c r="I106" s="71" t="str">
        <f>VLOOKUP(H106,[1]Sheet1!$C:$C,1,0)</f>
        <v>SC4643VB-Q-DE-40CK-4643</v>
      </c>
      <c r="J106" s="71"/>
      <c r="K106" s="71"/>
      <c r="L106" s="73" t="s">
        <v>424</v>
      </c>
      <c r="M106" s="80">
        <v>300000</v>
      </c>
      <c r="N106" s="72" t="s">
        <v>382</v>
      </c>
      <c r="O106" s="73"/>
      <c r="P106" s="71" t="s">
        <v>1752</v>
      </c>
      <c r="Q106" s="71"/>
      <c r="R106" s="100">
        <v>2.8</v>
      </c>
      <c r="S106" s="75">
        <f t="shared" ref="S106:S127" si="40">R106*U106</f>
        <v>56000</v>
      </c>
      <c r="T106" s="91">
        <v>0</v>
      </c>
      <c r="U106" s="76">
        <f t="shared" si="29"/>
        <v>20000</v>
      </c>
      <c r="V106" s="80"/>
      <c r="W106" s="80"/>
      <c r="X106" s="80"/>
      <c r="Y106" s="72"/>
      <c r="Z106" s="72"/>
      <c r="AA106" s="72"/>
      <c r="AB106" s="72"/>
      <c r="AC106" s="72"/>
      <c r="AD106" s="77"/>
      <c r="AE106" s="75"/>
      <c r="AF106" s="75">
        <v>10000</v>
      </c>
      <c r="AG106" s="75">
        <v>10000</v>
      </c>
      <c r="AH106" s="75">
        <v>10000</v>
      </c>
      <c r="AI106" s="75">
        <v>10000</v>
      </c>
      <c r="AJ106" s="75">
        <v>10000</v>
      </c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19" t="s">
        <v>494</v>
      </c>
      <c r="AX106" s="19" t="s">
        <v>85</v>
      </c>
      <c r="AY106" s="19" t="s">
        <v>247</v>
      </c>
      <c r="AZ106" s="19" t="s">
        <v>62</v>
      </c>
      <c r="BA106" s="19" t="s">
        <v>63</v>
      </c>
      <c r="BB106" s="19" t="s">
        <v>64</v>
      </c>
      <c r="BC106" s="19" t="s">
        <v>65</v>
      </c>
      <c r="BD106" s="19"/>
      <c r="BE106" s="19"/>
      <c r="BF106" s="19"/>
      <c r="BG106" s="24"/>
      <c r="BH106" s="19"/>
      <c r="BI106" s="25"/>
      <c r="BJ106" s="25"/>
      <c r="BK106" s="25"/>
      <c r="BL106" s="25"/>
      <c r="BM106" s="25"/>
      <c r="BN106" s="37"/>
      <c r="BO106" s="21"/>
      <c r="BP106" s="27">
        <f t="shared" ref="BP106:BT107" si="41">$R106*Z106</f>
        <v>0</v>
      </c>
      <c r="BQ106" s="27">
        <f t="shared" si="41"/>
        <v>0</v>
      </c>
      <c r="BR106" s="27">
        <f t="shared" si="41"/>
        <v>0</v>
      </c>
      <c r="BS106" s="27">
        <f t="shared" si="41"/>
        <v>0</v>
      </c>
      <c r="BT106" s="28">
        <f t="shared" si="41"/>
        <v>0</v>
      </c>
      <c r="BU106" s="28">
        <f t="shared" si="30"/>
        <v>0</v>
      </c>
      <c r="BV106" s="28">
        <f t="shared" si="31"/>
        <v>28000</v>
      </c>
      <c r="BW106" s="28">
        <f t="shared" si="32"/>
        <v>28000</v>
      </c>
    </row>
    <row r="107" spans="1:75" ht="17.399999999999999" x14ac:dyDescent="0.25">
      <c r="A107" s="69">
        <f t="shared" si="39"/>
        <v>106</v>
      </c>
      <c r="B107" s="73" t="s">
        <v>1753</v>
      </c>
      <c r="C107" s="71" t="s">
        <v>235</v>
      </c>
      <c r="D107" s="71" t="s">
        <v>600</v>
      </c>
      <c r="E107" s="71" t="s">
        <v>1532</v>
      </c>
      <c r="F107" s="71" t="s">
        <v>1625</v>
      </c>
      <c r="G107" s="71" t="s">
        <v>1660</v>
      </c>
      <c r="H107" s="71" t="s">
        <v>1557</v>
      </c>
      <c r="I107" s="71" t="str">
        <f>VLOOKUP(H107,[1]Sheet1!$C:$C,1,0)</f>
        <v>SC2943SO-Q-DB-60CR-2943</v>
      </c>
      <c r="J107" s="71"/>
      <c r="K107" s="71"/>
      <c r="L107" s="73" t="s">
        <v>1754</v>
      </c>
      <c r="M107" s="80">
        <v>1000000</v>
      </c>
      <c r="N107" s="72" t="s">
        <v>382</v>
      </c>
      <c r="O107" s="73"/>
      <c r="P107" s="71" t="s">
        <v>504</v>
      </c>
      <c r="Q107" s="71"/>
      <c r="R107" s="100">
        <v>0.52</v>
      </c>
      <c r="S107" s="75">
        <f t="shared" si="40"/>
        <v>2600</v>
      </c>
      <c r="T107" s="91">
        <v>0</v>
      </c>
      <c r="U107" s="76">
        <f t="shared" si="29"/>
        <v>5000</v>
      </c>
      <c r="V107" s="80"/>
      <c r="W107" s="80"/>
      <c r="X107" s="80"/>
      <c r="Y107" s="72"/>
      <c r="Z107" s="72"/>
      <c r="AA107" s="72"/>
      <c r="AB107" s="72"/>
      <c r="AC107" s="72"/>
      <c r="AD107" s="77"/>
      <c r="AE107" s="75"/>
      <c r="AF107" s="75"/>
      <c r="AG107" s="75">
        <v>5000</v>
      </c>
      <c r="AH107" s="75">
        <v>5000</v>
      </c>
      <c r="AI107" s="75">
        <v>5000</v>
      </c>
      <c r="AJ107" s="75">
        <v>5000</v>
      </c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10" t="s">
        <v>494</v>
      </c>
      <c r="AX107" s="10" t="s">
        <v>85</v>
      </c>
      <c r="AY107" s="19" t="s">
        <v>261</v>
      </c>
      <c r="AZ107" s="10" t="s">
        <v>62</v>
      </c>
      <c r="BA107" s="10" t="s">
        <v>96</v>
      </c>
      <c r="BB107" s="10" t="s">
        <v>1755</v>
      </c>
      <c r="BC107" s="10" t="s">
        <v>1553</v>
      </c>
      <c r="BD107" s="10"/>
      <c r="BE107" s="10"/>
      <c r="BF107" s="10"/>
      <c r="BG107" s="13"/>
      <c r="BH107" s="10"/>
      <c r="BI107" s="14"/>
      <c r="BJ107" s="14"/>
      <c r="BK107" s="14"/>
      <c r="BL107" s="14"/>
      <c r="BM107" s="14"/>
      <c r="BN107" s="35"/>
      <c r="BO107" s="11"/>
      <c r="BP107" s="16">
        <f t="shared" si="41"/>
        <v>0</v>
      </c>
      <c r="BQ107" s="16">
        <f t="shared" si="41"/>
        <v>0</v>
      </c>
      <c r="BR107" s="16">
        <f t="shared" si="41"/>
        <v>0</v>
      </c>
      <c r="BS107" s="16">
        <f t="shared" si="41"/>
        <v>0</v>
      </c>
      <c r="BT107" s="17">
        <f t="shared" si="41"/>
        <v>0</v>
      </c>
      <c r="BU107" s="28">
        <f t="shared" si="30"/>
        <v>0</v>
      </c>
      <c r="BV107" s="28">
        <f t="shared" si="31"/>
        <v>0</v>
      </c>
      <c r="BW107" s="28">
        <f t="shared" si="32"/>
        <v>2600</v>
      </c>
    </row>
    <row r="108" spans="1:75" ht="17.399999999999999" x14ac:dyDescent="0.25">
      <c r="A108" s="69">
        <f t="shared" si="39"/>
        <v>107</v>
      </c>
      <c r="B108" s="73" t="s">
        <v>1775</v>
      </c>
      <c r="C108" s="71" t="s">
        <v>243</v>
      </c>
      <c r="D108" s="71" t="s">
        <v>1531</v>
      </c>
      <c r="E108" s="71" t="s">
        <v>1532</v>
      </c>
      <c r="F108" s="71" t="s">
        <v>1551</v>
      </c>
      <c r="G108" s="71" t="s">
        <v>1318</v>
      </c>
      <c r="H108" s="71" t="s">
        <v>1319</v>
      </c>
      <c r="I108" s="71" t="str">
        <f>VLOOKUP(H108,[1]Sheet1!$C:$C,1,0)</f>
        <v>SC2527S6-SD-Q-DA-40CR-2527</v>
      </c>
      <c r="J108" s="71"/>
      <c r="K108" s="71"/>
      <c r="L108" s="73" t="s">
        <v>1776</v>
      </c>
      <c r="M108" s="80">
        <v>120000</v>
      </c>
      <c r="N108" s="72" t="s">
        <v>251</v>
      </c>
      <c r="O108" s="73"/>
      <c r="P108" s="71" t="s">
        <v>504</v>
      </c>
      <c r="Q108" s="71"/>
      <c r="R108" s="100">
        <v>0.85</v>
      </c>
      <c r="S108" s="75">
        <f t="shared" si="40"/>
        <v>12750</v>
      </c>
      <c r="T108" s="91">
        <v>0</v>
      </c>
      <c r="U108" s="76">
        <f t="shared" si="29"/>
        <v>15000</v>
      </c>
      <c r="V108" s="80"/>
      <c r="W108" s="80"/>
      <c r="X108" s="80"/>
      <c r="Y108" s="72"/>
      <c r="Z108" s="72"/>
      <c r="AA108" s="72"/>
      <c r="AB108" s="72"/>
      <c r="AC108" s="72"/>
      <c r="AD108" s="77"/>
      <c r="AE108" s="75">
        <v>5000</v>
      </c>
      <c r="AF108" s="75">
        <v>5000</v>
      </c>
      <c r="AG108" s="75">
        <v>5000</v>
      </c>
      <c r="AH108" s="75">
        <v>5000</v>
      </c>
      <c r="AI108" s="75">
        <v>5000</v>
      </c>
      <c r="AJ108" s="75">
        <v>5000</v>
      </c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10"/>
      <c r="AX108" s="10" t="s">
        <v>494</v>
      </c>
      <c r="AY108" s="19" t="s">
        <v>261</v>
      </c>
      <c r="AZ108" s="10"/>
      <c r="BA108" s="10"/>
      <c r="BB108" s="10"/>
      <c r="BC108" s="10"/>
      <c r="BD108" s="10"/>
      <c r="BE108" s="10"/>
      <c r="BF108" s="10"/>
      <c r="BG108" s="13"/>
      <c r="BH108" s="10"/>
      <c r="BI108" s="14"/>
      <c r="BJ108" s="14"/>
      <c r="BK108" s="14"/>
      <c r="BL108" s="14"/>
      <c r="BM108" s="14"/>
      <c r="BN108" s="35"/>
      <c r="BO108" s="11"/>
      <c r="BP108" s="16"/>
      <c r="BQ108" s="16"/>
      <c r="BR108" s="16"/>
      <c r="BS108" s="16">
        <f t="shared" ref="BS108:BS127" si="42">$R108*AC108</f>
        <v>0</v>
      </c>
      <c r="BT108" s="17">
        <f t="shared" ref="BT108:BT127" si="43">$R108*AD108</f>
        <v>0</v>
      </c>
      <c r="BU108" s="28">
        <f t="shared" si="30"/>
        <v>4250</v>
      </c>
      <c r="BV108" s="28">
        <f t="shared" si="31"/>
        <v>4250</v>
      </c>
      <c r="BW108" s="28">
        <f t="shared" si="32"/>
        <v>4250</v>
      </c>
    </row>
    <row r="109" spans="1:75" ht="17.399999999999999" x14ac:dyDescent="0.25">
      <c r="A109" s="69">
        <f t="shared" si="39"/>
        <v>108</v>
      </c>
      <c r="B109" s="73" t="s">
        <v>1777</v>
      </c>
      <c r="C109" s="71" t="s">
        <v>243</v>
      </c>
      <c r="D109" s="71" t="s">
        <v>1599</v>
      </c>
      <c r="E109" s="71" t="s">
        <v>1532</v>
      </c>
      <c r="F109" s="71" t="s">
        <v>1600</v>
      </c>
      <c r="G109" s="71" t="s">
        <v>391</v>
      </c>
      <c r="H109" s="71" t="s">
        <v>1606</v>
      </c>
      <c r="I109" s="71" t="str">
        <f>VLOOKUP(H109,[1]Sheet1!$C:$C,1,0)</f>
        <v>SC9675IM-LRF01-Q-AB-4XAR-9675</v>
      </c>
      <c r="J109" s="71"/>
      <c r="K109" s="71"/>
      <c r="L109" s="73" t="s">
        <v>381</v>
      </c>
      <c r="M109" s="80">
        <v>150000</v>
      </c>
      <c r="N109" s="72" t="s">
        <v>251</v>
      </c>
      <c r="O109" s="73"/>
      <c r="P109" s="71" t="s">
        <v>504</v>
      </c>
      <c r="Q109" s="71"/>
      <c r="R109" s="100">
        <v>6.73</v>
      </c>
      <c r="S109" s="75">
        <f t="shared" si="40"/>
        <v>100950</v>
      </c>
      <c r="T109" s="91">
        <v>0</v>
      </c>
      <c r="U109" s="76">
        <f t="shared" si="29"/>
        <v>15000</v>
      </c>
      <c r="V109" s="80"/>
      <c r="W109" s="80"/>
      <c r="X109" s="80"/>
      <c r="Y109" s="72"/>
      <c r="Z109" s="72"/>
      <c r="AA109" s="72">
        <v>5000</v>
      </c>
      <c r="AB109" s="72"/>
      <c r="AC109" s="72"/>
      <c r="AD109" s="77"/>
      <c r="AE109" s="75">
        <v>5000</v>
      </c>
      <c r="AF109" s="75">
        <v>5000</v>
      </c>
      <c r="AG109" s="75">
        <v>5000</v>
      </c>
      <c r="AH109" s="75">
        <v>5000</v>
      </c>
      <c r="AI109" s="75">
        <v>5000</v>
      </c>
      <c r="AJ109" s="75">
        <v>5000</v>
      </c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19"/>
      <c r="AX109" s="19" t="s">
        <v>494</v>
      </c>
      <c r="AY109" s="19" t="s">
        <v>386</v>
      </c>
      <c r="AZ109" s="19"/>
      <c r="BA109" s="19"/>
      <c r="BB109" s="19"/>
      <c r="BC109" s="19"/>
      <c r="BD109" s="19"/>
      <c r="BE109" s="19"/>
      <c r="BF109" s="19"/>
      <c r="BG109" s="24"/>
      <c r="BH109" s="19"/>
      <c r="BI109" s="25"/>
      <c r="BJ109" s="25"/>
      <c r="BK109" s="25"/>
      <c r="BL109" s="25"/>
      <c r="BM109" s="25"/>
      <c r="BN109" s="37"/>
      <c r="BO109" s="21"/>
      <c r="BP109" s="27"/>
      <c r="BQ109" s="27"/>
      <c r="BR109" s="27"/>
      <c r="BS109" s="27">
        <f t="shared" si="42"/>
        <v>0</v>
      </c>
      <c r="BT109" s="28">
        <f t="shared" si="43"/>
        <v>0</v>
      </c>
      <c r="BU109" s="28">
        <f t="shared" si="30"/>
        <v>33650</v>
      </c>
      <c r="BV109" s="28">
        <f t="shared" si="31"/>
        <v>33650</v>
      </c>
      <c r="BW109" s="28">
        <f t="shared" si="32"/>
        <v>33650</v>
      </c>
    </row>
    <row r="110" spans="1:75" ht="17.399999999999999" x14ac:dyDescent="0.25">
      <c r="A110" s="69">
        <f t="shared" si="39"/>
        <v>109</v>
      </c>
      <c r="B110" s="70" t="s">
        <v>55</v>
      </c>
      <c r="C110" s="71" t="s">
        <v>243</v>
      </c>
      <c r="D110" s="71" t="s">
        <v>57</v>
      </c>
      <c r="E110" s="71" t="s">
        <v>244</v>
      </c>
      <c r="F110" s="71" t="s">
        <v>245</v>
      </c>
      <c r="G110" s="71" t="s">
        <v>59</v>
      </c>
      <c r="H110" s="71" t="s">
        <v>246</v>
      </c>
      <c r="I110" s="71" t="str">
        <f>VLOOKUP(H110,[1]Sheet1!$C:$C,1,0)</f>
        <v>SC4643VB-Q-DE-40CK-4643</v>
      </c>
      <c r="J110" s="71"/>
      <c r="K110" s="71"/>
      <c r="L110" s="71"/>
      <c r="M110" s="72"/>
      <c r="N110" s="71" t="s">
        <v>60</v>
      </c>
      <c r="O110" s="73"/>
      <c r="P110" s="71"/>
      <c r="Q110" s="74"/>
      <c r="R110" s="100">
        <v>2.1</v>
      </c>
      <c r="S110" s="75">
        <f t="shared" si="40"/>
        <v>42000</v>
      </c>
      <c r="T110" s="76">
        <v>84000</v>
      </c>
      <c r="U110" s="76">
        <f t="shared" si="29"/>
        <v>20000</v>
      </c>
      <c r="V110" s="72">
        <f>U110</f>
        <v>20000</v>
      </c>
      <c r="W110" s="72"/>
      <c r="X110" s="72">
        <v>5000</v>
      </c>
      <c r="Y110" s="72">
        <v>5000</v>
      </c>
      <c r="Z110" s="72">
        <v>5000</v>
      </c>
      <c r="AA110" s="72">
        <v>5000</v>
      </c>
      <c r="AB110" s="72">
        <v>5000</v>
      </c>
      <c r="AC110" s="72">
        <v>5000</v>
      </c>
      <c r="AD110" s="77">
        <v>5000</v>
      </c>
      <c r="AE110" s="75">
        <v>5000</v>
      </c>
      <c r="AF110" s="75">
        <v>10000</v>
      </c>
      <c r="AG110" s="75">
        <v>5000</v>
      </c>
      <c r="AH110" s="75">
        <v>5000</v>
      </c>
      <c r="AI110" s="75">
        <v>5000</v>
      </c>
      <c r="AJ110" s="75">
        <v>5000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/>
      <c r="AS110" s="11"/>
      <c r="AT110" s="11"/>
      <c r="AU110" s="11"/>
      <c r="AV110" s="11"/>
      <c r="AW110" s="10"/>
      <c r="AX110" s="10" t="s">
        <v>61</v>
      </c>
      <c r="AY110" s="19" t="s">
        <v>247</v>
      </c>
      <c r="AZ110" s="9" t="s">
        <v>248</v>
      </c>
      <c r="BA110" s="10" t="s">
        <v>63</v>
      </c>
      <c r="BB110" s="10" t="s">
        <v>64</v>
      </c>
      <c r="BC110" s="10" t="s">
        <v>65</v>
      </c>
      <c r="BD110" s="10"/>
      <c r="BE110" s="10"/>
      <c r="BF110" s="10"/>
      <c r="BG110" s="13"/>
      <c r="BH110" s="14"/>
      <c r="BI110" s="14"/>
      <c r="BJ110" s="14"/>
      <c r="BK110" s="14"/>
      <c r="BL110" s="14"/>
      <c r="BM110" s="14"/>
      <c r="BN110" s="15"/>
      <c r="BO110" s="11"/>
      <c r="BP110" s="16">
        <f t="shared" ref="BP110:BP127" si="44">$R110*Z110</f>
        <v>10500</v>
      </c>
      <c r="BQ110" s="16">
        <f t="shared" ref="BQ110:BQ127" si="45">$R110*AA110</f>
        <v>10500</v>
      </c>
      <c r="BR110" s="16">
        <f t="shared" ref="BR110:BR127" si="46">$R110*AB110</f>
        <v>10500</v>
      </c>
      <c r="BS110" s="16">
        <f t="shared" si="42"/>
        <v>10500</v>
      </c>
      <c r="BT110" s="17">
        <f t="shared" si="43"/>
        <v>10500</v>
      </c>
      <c r="BU110" s="28">
        <f t="shared" si="30"/>
        <v>10500</v>
      </c>
      <c r="BV110" s="28">
        <f t="shared" si="31"/>
        <v>21000</v>
      </c>
      <c r="BW110" s="28">
        <f t="shared" si="32"/>
        <v>10500</v>
      </c>
    </row>
    <row r="111" spans="1:75" ht="17.399999999999999" x14ac:dyDescent="0.25">
      <c r="A111" s="69">
        <f t="shared" si="39"/>
        <v>110</v>
      </c>
      <c r="B111" s="70" t="s">
        <v>55</v>
      </c>
      <c r="C111" s="71" t="s">
        <v>243</v>
      </c>
      <c r="D111" s="71" t="s">
        <v>57</v>
      </c>
      <c r="E111" s="71" t="s">
        <v>244</v>
      </c>
      <c r="F111" s="71" t="s">
        <v>245</v>
      </c>
      <c r="G111" s="78" t="s">
        <v>249</v>
      </c>
      <c r="H111" s="71" t="s">
        <v>250</v>
      </c>
      <c r="I111" s="71" t="str">
        <f>VLOOKUP(H111,[1]Sheet1!$C:$C,1,0)</f>
        <v>SC4643VB-G-Q-DE-40CK-4643</v>
      </c>
      <c r="J111" s="78"/>
      <c r="K111" s="78"/>
      <c r="L111" s="71" t="s">
        <v>66</v>
      </c>
      <c r="M111" s="72">
        <v>500000</v>
      </c>
      <c r="N111" s="71" t="s">
        <v>251</v>
      </c>
      <c r="O111" s="73"/>
      <c r="P111" s="71"/>
      <c r="Q111" s="74"/>
      <c r="R111" s="100">
        <v>2.1</v>
      </c>
      <c r="S111" s="75">
        <f t="shared" si="40"/>
        <v>262080</v>
      </c>
      <c r="T111" s="76">
        <v>0</v>
      </c>
      <c r="U111" s="76">
        <f t="shared" si="29"/>
        <v>124800</v>
      </c>
      <c r="V111" s="72"/>
      <c r="W111" s="72"/>
      <c r="X111" s="72"/>
      <c r="Y111" s="72">
        <v>10000</v>
      </c>
      <c r="Z111" s="72">
        <v>25000</v>
      </c>
      <c r="AA111" s="72">
        <v>75000</v>
      </c>
      <c r="AB111" s="72">
        <v>75000</v>
      </c>
      <c r="AC111" s="72">
        <v>75000</v>
      </c>
      <c r="AD111" s="77">
        <v>41600</v>
      </c>
      <c r="AE111" s="75">
        <v>41600</v>
      </c>
      <c r="AF111" s="75">
        <v>41600</v>
      </c>
      <c r="AG111" s="75">
        <v>41600</v>
      </c>
      <c r="AH111" s="75">
        <v>41600</v>
      </c>
      <c r="AI111" s="75">
        <v>41600</v>
      </c>
      <c r="AJ111" s="75">
        <v>41600</v>
      </c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19"/>
      <c r="AX111" s="19" t="s">
        <v>61</v>
      </c>
      <c r="AY111" s="19" t="s">
        <v>247</v>
      </c>
      <c r="AZ111" s="18" t="s">
        <v>248</v>
      </c>
      <c r="BA111" s="19" t="s">
        <v>63</v>
      </c>
      <c r="BB111" s="19" t="s">
        <v>64</v>
      </c>
      <c r="BC111" s="19" t="s">
        <v>65</v>
      </c>
      <c r="BD111" s="19"/>
      <c r="BE111" s="19"/>
      <c r="BF111" s="19"/>
      <c r="BG111" s="24"/>
      <c r="BH111" s="25"/>
      <c r="BI111" s="25"/>
      <c r="BJ111" s="25"/>
      <c r="BK111" s="25"/>
      <c r="BL111" s="25"/>
      <c r="BM111" s="25"/>
      <c r="BN111" s="26"/>
      <c r="BO111" s="21"/>
      <c r="BP111" s="27">
        <f t="shared" si="44"/>
        <v>52500</v>
      </c>
      <c r="BQ111" s="27">
        <f t="shared" si="45"/>
        <v>157500</v>
      </c>
      <c r="BR111" s="27">
        <f t="shared" si="46"/>
        <v>157500</v>
      </c>
      <c r="BS111" s="27">
        <f t="shared" si="42"/>
        <v>157500</v>
      </c>
      <c r="BT111" s="28">
        <f t="shared" si="43"/>
        <v>87360</v>
      </c>
      <c r="BU111" s="28">
        <f t="shared" si="30"/>
        <v>87360</v>
      </c>
      <c r="BV111" s="28">
        <f t="shared" si="31"/>
        <v>87360</v>
      </c>
      <c r="BW111" s="28">
        <f t="shared" si="32"/>
        <v>87360</v>
      </c>
    </row>
    <row r="112" spans="1:75" ht="17.399999999999999" x14ac:dyDescent="0.25">
      <c r="A112" s="69">
        <f t="shared" si="39"/>
        <v>111</v>
      </c>
      <c r="B112" s="70" t="s">
        <v>132</v>
      </c>
      <c r="C112" s="71" t="s">
        <v>149</v>
      </c>
      <c r="D112" s="71" t="s">
        <v>132</v>
      </c>
      <c r="E112" s="71" t="s">
        <v>244</v>
      </c>
      <c r="F112" s="71" t="s">
        <v>95</v>
      </c>
      <c r="G112" s="71" t="s">
        <v>59</v>
      </c>
      <c r="H112" s="71" t="s">
        <v>279</v>
      </c>
      <c r="I112" s="71" t="str">
        <f>VLOOKUP(H112,[1]Sheet1!$C:$C,1,0)</f>
        <v>SC4643VB-Q-DE-40CK-FFH-L43</v>
      </c>
      <c r="J112" s="71"/>
      <c r="K112" s="71"/>
      <c r="L112" s="71" t="s">
        <v>66</v>
      </c>
      <c r="M112" s="80">
        <v>15000000</v>
      </c>
      <c r="N112" s="72" t="s">
        <v>60</v>
      </c>
      <c r="O112" s="72"/>
      <c r="P112" s="72">
        <v>0</v>
      </c>
      <c r="Q112" s="72"/>
      <c r="R112" s="100">
        <v>1.95</v>
      </c>
      <c r="S112" s="75">
        <f t="shared" si="40"/>
        <v>0</v>
      </c>
      <c r="T112" s="76">
        <v>13845000</v>
      </c>
      <c r="U112" s="76">
        <f t="shared" si="29"/>
        <v>0</v>
      </c>
      <c r="V112" s="72">
        <v>800000</v>
      </c>
      <c r="W112" s="72">
        <v>700000</v>
      </c>
      <c r="X112" s="72">
        <v>800000</v>
      </c>
      <c r="Y112" s="72">
        <v>250000</v>
      </c>
      <c r="Z112" s="72">
        <v>250000</v>
      </c>
      <c r="AA112" s="72"/>
      <c r="AB112" s="72"/>
      <c r="AC112" s="72"/>
      <c r="AD112" s="77">
        <v>300000</v>
      </c>
      <c r="AE112" s="75"/>
      <c r="AF112" s="75"/>
      <c r="AG112" s="75"/>
      <c r="AH112" s="75"/>
      <c r="AI112" s="75"/>
      <c r="AJ112" s="75">
        <v>0</v>
      </c>
      <c r="AK112" s="11"/>
      <c r="AL112" s="11"/>
      <c r="AM112" s="11"/>
      <c r="AN112" s="11"/>
      <c r="AO112" s="10"/>
      <c r="AP112" s="10"/>
      <c r="AQ112" s="10"/>
      <c r="AR112" s="9"/>
      <c r="AS112" s="10"/>
      <c r="AT112" s="10"/>
      <c r="AU112" s="10"/>
      <c r="AV112" s="10"/>
      <c r="AW112" s="10" t="s">
        <v>122</v>
      </c>
      <c r="AX112" s="10" t="s">
        <v>61</v>
      </c>
      <c r="AY112" s="19" t="s">
        <v>247</v>
      </c>
      <c r="AZ112" s="14" t="s">
        <v>62</v>
      </c>
      <c r="BA112" s="14" t="s">
        <v>63</v>
      </c>
      <c r="BB112" s="14" t="s">
        <v>133</v>
      </c>
      <c r="BC112" s="14" t="s">
        <v>134</v>
      </c>
      <c r="BD112" s="14"/>
      <c r="BE112" s="14"/>
      <c r="BF112" s="15"/>
      <c r="BG112" s="11">
        <v>3</v>
      </c>
      <c r="BH112" s="32"/>
      <c r="BI112" s="32"/>
      <c r="BJ112" s="32"/>
      <c r="BK112" s="32"/>
      <c r="BL112" s="32"/>
      <c r="BM112" s="32"/>
      <c r="BN112" s="32"/>
      <c r="BO112" s="32"/>
      <c r="BP112" s="16">
        <f t="shared" si="44"/>
        <v>487500</v>
      </c>
      <c r="BQ112" s="16">
        <f t="shared" si="45"/>
        <v>0</v>
      </c>
      <c r="BR112" s="16">
        <f t="shared" si="46"/>
        <v>0</v>
      </c>
      <c r="BS112" s="16">
        <f t="shared" si="42"/>
        <v>0</v>
      </c>
      <c r="BT112" s="17">
        <f t="shared" si="43"/>
        <v>585000</v>
      </c>
      <c r="BU112" s="28">
        <f t="shared" si="30"/>
        <v>0</v>
      </c>
      <c r="BV112" s="28">
        <f t="shared" si="31"/>
        <v>0</v>
      </c>
      <c r="BW112" s="28">
        <f t="shared" si="32"/>
        <v>0</v>
      </c>
    </row>
    <row r="113" spans="1:75" ht="17.399999999999999" x14ac:dyDescent="0.25">
      <c r="A113" s="69">
        <f t="shared" si="39"/>
        <v>112</v>
      </c>
      <c r="B113" s="70" t="s">
        <v>132</v>
      </c>
      <c r="C113" s="71" t="s">
        <v>149</v>
      </c>
      <c r="D113" s="71" t="s">
        <v>132</v>
      </c>
      <c r="E113" s="71" t="s">
        <v>244</v>
      </c>
      <c r="F113" s="71" t="s">
        <v>95</v>
      </c>
      <c r="G113" s="71" t="s">
        <v>280</v>
      </c>
      <c r="H113" s="71" t="s">
        <v>281</v>
      </c>
      <c r="I113" s="71" t="str">
        <f>VLOOKUP(H113,[1]Sheet1!$C:$C,1,0)</f>
        <v>SC4643VB-Q-DE-40CR-FFH-L43</v>
      </c>
      <c r="J113" s="71"/>
      <c r="K113" s="71"/>
      <c r="L113" s="71" t="s">
        <v>66</v>
      </c>
      <c r="M113" s="80">
        <v>15000000</v>
      </c>
      <c r="N113" s="72" t="s">
        <v>60</v>
      </c>
      <c r="O113" s="72"/>
      <c r="P113" s="72">
        <v>0</v>
      </c>
      <c r="Q113" s="72"/>
      <c r="R113" s="100">
        <v>1.95</v>
      </c>
      <c r="S113" s="75">
        <f t="shared" si="40"/>
        <v>3861000</v>
      </c>
      <c r="T113" s="76">
        <v>13845000</v>
      </c>
      <c r="U113" s="76">
        <f t="shared" si="29"/>
        <v>1980000</v>
      </c>
      <c r="V113" s="72">
        <v>800000</v>
      </c>
      <c r="W113" s="72">
        <v>700000</v>
      </c>
      <c r="X113" s="72">
        <v>800000</v>
      </c>
      <c r="Y113" s="72">
        <v>750000</v>
      </c>
      <c r="Z113" s="72">
        <v>750000</v>
      </c>
      <c r="AA113" s="72">
        <v>500000</v>
      </c>
      <c r="AB113" s="72">
        <v>500000</v>
      </c>
      <c r="AC113" s="72">
        <v>400000</v>
      </c>
      <c r="AD113" s="77">
        <v>700000</v>
      </c>
      <c r="AE113" s="75">
        <v>660000</v>
      </c>
      <c r="AF113" s="75">
        <v>660000</v>
      </c>
      <c r="AG113" s="75">
        <v>660000</v>
      </c>
      <c r="AH113" s="75">
        <v>660000</v>
      </c>
      <c r="AI113" s="75">
        <v>500000</v>
      </c>
      <c r="AJ113" s="75">
        <v>600000</v>
      </c>
      <c r="AK113" s="21"/>
      <c r="AL113" s="21"/>
      <c r="AM113" s="21"/>
      <c r="AN113" s="21"/>
      <c r="AO113" s="19"/>
      <c r="AP113" s="19"/>
      <c r="AQ113" s="19"/>
      <c r="AR113" s="18"/>
      <c r="AS113" s="19"/>
      <c r="AT113" s="19"/>
      <c r="AU113" s="19"/>
      <c r="AV113" s="19"/>
      <c r="AW113" s="19" t="s">
        <v>122</v>
      </c>
      <c r="AX113" s="19" t="s">
        <v>61</v>
      </c>
      <c r="AY113" s="19" t="s">
        <v>247</v>
      </c>
      <c r="AZ113" s="25" t="s">
        <v>62</v>
      </c>
      <c r="BA113" s="25" t="s">
        <v>63</v>
      </c>
      <c r="BB113" s="25" t="s">
        <v>133</v>
      </c>
      <c r="BC113" s="25" t="s">
        <v>134</v>
      </c>
      <c r="BD113" s="25"/>
      <c r="BE113" s="25"/>
      <c r="BF113" s="26"/>
      <c r="BG113" s="21">
        <v>3</v>
      </c>
      <c r="BH113" s="30"/>
      <c r="BI113" s="30"/>
      <c r="BJ113" s="30"/>
      <c r="BK113" s="30"/>
      <c r="BL113" s="30"/>
      <c r="BM113" s="30"/>
      <c r="BN113" s="30"/>
      <c r="BO113" s="30"/>
      <c r="BP113" s="27">
        <f t="shared" si="44"/>
        <v>1462500</v>
      </c>
      <c r="BQ113" s="27">
        <f t="shared" si="45"/>
        <v>975000</v>
      </c>
      <c r="BR113" s="27">
        <f t="shared" si="46"/>
        <v>975000</v>
      </c>
      <c r="BS113" s="27">
        <f t="shared" si="42"/>
        <v>780000</v>
      </c>
      <c r="BT113" s="28">
        <f t="shared" si="43"/>
        <v>1365000</v>
      </c>
      <c r="BU113" s="28">
        <f t="shared" si="30"/>
        <v>1287000</v>
      </c>
      <c r="BV113" s="28">
        <f t="shared" si="31"/>
        <v>1287000</v>
      </c>
      <c r="BW113" s="28">
        <f t="shared" si="32"/>
        <v>1287000</v>
      </c>
    </row>
    <row r="114" spans="1:75" ht="17.399999999999999" x14ac:dyDescent="0.25">
      <c r="A114" s="69">
        <f t="shared" si="39"/>
        <v>113</v>
      </c>
      <c r="B114" s="78" t="s">
        <v>187</v>
      </c>
      <c r="C114" s="71" t="s">
        <v>106</v>
      </c>
      <c r="D114" s="78" t="s">
        <v>187</v>
      </c>
      <c r="E114" s="78" t="s">
        <v>244</v>
      </c>
      <c r="F114" s="78"/>
      <c r="G114" s="78" t="s">
        <v>59</v>
      </c>
      <c r="H114" s="71" t="s">
        <v>246</v>
      </c>
      <c r="I114" s="71" t="str">
        <f>VLOOKUP(H114,[1]Sheet1!$C:$C,1,0)</f>
        <v>SC4643VB-Q-DE-40CK-4643</v>
      </c>
      <c r="J114" s="78"/>
      <c r="K114" s="78"/>
      <c r="L114" s="78" t="s">
        <v>372</v>
      </c>
      <c r="M114" s="78">
        <v>2200000</v>
      </c>
      <c r="N114" s="78" t="s">
        <v>373</v>
      </c>
      <c r="O114" s="78"/>
      <c r="P114" s="78"/>
      <c r="Q114" s="78"/>
      <c r="R114" s="101">
        <v>1.76</v>
      </c>
      <c r="S114" s="75">
        <f t="shared" si="40"/>
        <v>0</v>
      </c>
      <c r="T114" s="76">
        <v>1848000</v>
      </c>
      <c r="U114" s="76">
        <f t="shared" si="29"/>
        <v>0</v>
      </c>
      <c r="V114" s="72">
        <v>200000</v>
      </c>
      <c r="W114" s="72"/>
      <c r="X114" s="72">
        <v>180000</v>
      </c>
      <c r="Y114" s="72">
        <v>120000</v>
      </c>
      <c r="Z114" s="72">
        <v>120000</v>
      </c>
      <c r="AA114" s="72">
        <v>120000</v>
      </c>
      <c r="AB114" s="72"/>
      <c r="AC114" s="72">
        <v>120000</v>
      </c>
      <c r="AD114" s="77"/>
      <c r="AE114" s="75">
        <v>0</v>
      </c>
      <c r="AF114" s="75"/>
      <c r="AG114" s="75"/>
      <c r="AH114" s="75"/>
      <c r="AI114" s="75"/>
      <c r="AJ114" s="75">
        <v>0</v>
      </c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10" t="s">
        <v>61</v>
      </c>
      <c r="AY114" s="19" t="s">
        <v>247</v>
      </c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16">
        <f t="shared" si="44"/>
        <v>211200</v>
      </c>
      <c r="BQ114" s="16">
        <f t="shared" si="45"/>
        <v>211200</v>
      </c>
      <c r="BR114" s="16">
        <f t="shared" si="46"/>
        <v>0</v>
      </c>
      <c r="BS114" s="16">
        <f t="shared" si="42"/>
        <v>211200</v>
      </c>
      <c r="BT114" s="17">
        <f t="shared" si="43"/>
        <v>0</v>
      </c>
      <c r="BU114" s="28">
        <f t="shared" si="30"/>
        <v>0</v>
      </c>
      <c r="BV114" s="28">
        <f t="shared" si="31"/>
        <v>0</v>
      </c>
      <c r="BW114" s="28">
        <f t="shared" si="32"/>
        <v>0</v>
      </c>
    </row>
    <row r="115" spans="1:75" ht="17.399999999999999" x14ac:dyDescent="0.25">
      <c r="A115" s="69">
        <f t="shared" si="39"/>
        <v>114</v>
      </c>
      <c r="B115" s="78" t="s">
        <v>187</v>
      </c>
      <c r="C115" s="71" t="s">
        <v>106</v>
      </c>
      <c r="D115" s="78" t="s">
        <v>187</v>
      </c>
      <c r="E115" s="78" t="s">
        <v>244</v>
      </c>
      <c r="F115" s="78"/>
      <c r="G115" s="71" t="s">
        <v>374</v>
      </c>
      <c r="H115" s="71" t="s">
        <v>375</v>
      </c>
      <c r="I115" s="71" t="str">
        <f>VLOOKUP(H115,[1]Sheet1!$C:$C,1,0)</f>
        <v>SC4645VB-DF-00CK-4645</v>
      </c>
      <c r="J115" s="71"/>
      <c r="K115" s="71"/>
      <c r="L115" s="78" t="s">
        <v>372</v>
      </c>
      <c r="M115" s="78">
        <v>2200000</v>
      </c>
      <c r="N115" s="78"/>
      <c r="O115" s="78"/>
      <c r="P115" s="78"/>
      <c r="Q115" s="78"/>
      <c r="R115" s="101">
        <v>1.62</v>
      </c>
      <c r="S115" s="75">
        <f t="shared" si="40"/>
        <v>162000</v>
      </c>
      <c r="T115" s="76">
        <v>405000</v>
      </c>
      <c r="U115" s="76">
        <f t="shared" si="29"/>
        <v>100000</v>
      </c>
      <c r="V115" s="72"/>
      <c r="W115" s="72">
        <v>50000</v>
      </c>
      <c r="X115" s="72"/>
      <c r="Y115" s="72">
        <v>50000</v>
      </c>
      <c r="Z115" s="72">
        <v>50000</v>
      </c>
      <c r="AA115" s="72"/>
      <c r="AB115" s="72">
        <v>50000</v>
      </c>
      <c r="AC115" s="72">
        <v>50000</v>
      </c>
      <c r="AD115" s="77"/>
      <c r="AE115" s="75">
        <v>50000</v>
      </c>
      <c r="AF115" s="75">
        <v>50000</v>
      </c>
      <c r="AG115" s="75"/>
      <c r="AH115" s="75">
        <v>50000</v>
      </c>
      <c r="AI115" s="75"/>
      <c r="AJ115" s="75">
        <v>0</v>
      </c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19" t="s">
        <v>61</v>
      </c>
      <c r="AY115" s="19" t="s">
        <v>247</v>
      </c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7">
        <f t="shared" si="44"/>
        <v>81000</v>
      </c>
      <c r="BQ115" s="27">
        <f t="shared" si="45"/>
        <v>0</v>
      </c>
      <c r="BR115" s="27">
        <f t="shared" si="46"/>
        <v>81000</v>
      </c>
      <c r="BS115" s="27">
        <f t="shared" si="42"/>
        <v>81000</v>
      </c>
      <c r="BT115" s="28">
        <f t="shared" si="43"/>
        <v>0</v>
      </c>
      <c r="BU115" s="28">
        <f t="shared" si="30"/>
        <v>81000</v>
      </c>
      <c r="BV115" s="28">
        <f t="shared" si="31"/>
        <v>81000</v>
      </c>
      <c r="BW115" s="28">
        <f t="shared" si="32"/>
        <v>0</v>
      </c>
    </row>
    <row r="116" spans="1:75" ht="17.399999999999999" x14ac:dyDescent="0.25">
      <c r="A116" s="69">
        <f t="shared" si="39"/>
        <v>115</v>
      </c>
      <c r="B116" s="78" t="s">
        <v>376</v>
      </c>
      <c r="C116" s="78" t="s">
        <v>243</v>
      </c>
      <c r="D116" s="78" t="s">
        <v>376</v>
      </c>
      <c r="E116" s="78" t="s">
        <v>244</v>
      </c>
      <c r="F116" s="78"/>
      <c r="G116" s="78" t="s">
        <v>377</v>
      </c>
      <c r="H116" s="71" t="s">
        <v>378</v>
      </c>
      <c r="I116" s="71" t="str">
        <f>VLOOKUP(H116,[1]Sheet1!$C:$C,1,0)</f>
        <v>SC9621VB-CF-00CK-9621</v>
      </c>
      <c r="J116" s="78"/>
      <c r="K116" s="78"/>
      <c r="L116" s="78" t="s">
        <v>190</v>
      </c>
      <c r="M116" s="78">
        <v>500000</v>
      </c>
      <c r="N116" s="78" t="s">
        <v>367</v>
      </c>
      <c r="O116" s="78"/>
      <c r="P116" s="78"/>
      <c r="Q116" s="78"/>
      <c r="R116" s="101">
        <v>3.36</v>
      </c>
      <c r="S116" s="75">
        <f t="shared" si="40"/>
        <v>0</v>
      </c>
      <c r="T116" s="76">
        <v>50400</v>
      </c>
      <c r="U116" s="76">
        <f t="shared" si="29"/>
        <v>0</v>
      </c>
      <c r="V116" s="72"/>
      <c r="W116" s="72"/>
      <c r="X116" s="72">
        <v>3000</v>
      </c>
      <c r="Y116" s="72"/>
      <c r="Z116" s="72"/>
      <c r="AA116" s="72">
        <v>3000</v>
      </c>
      <c r="AB116" s="72"/>
      <c r="AC116" s="72"/>
      <c r="AD116" s="77"/>
      <c r="AE116" s="75"/>
      <c r="AF116" s="75"/>
      <c r="AG116" s="75"/>
      <c r="AH116" s="75">
        <v>0</v>
      </c>
      <c r="AI116" s="75"/>
      <c r="AJ116" s="75">
        <v>0</v>
      </c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10" t="s">
        <v>61</v>
      </c>
      <c r="AY116" s="19" t="s">
        <v>386</v>
      </c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16">
        <f t="shared" si="44"/>
        <v>0</v>
      </c>
      <c r="BQ116" s="16">
        <f t="shared" si="45"/>
        <v>10080</v>
      </c>
      <c r="BR116" s="16">
        <f t="shared" si="46"/>
        <v>0</v>
      </c>
      <c r="BS116" s="16">
        <f t="shared" si="42"/>
        <v>0</v>
      </c>
      <c r="BT116" s="17">
        <f t="shared" si="43"/>
        <v>0</v>
      </c>
      <c r="BU116" s="28">
        <f t="shared" si="30"/>
        <v>0</v>
      </c>
      <c r="BV116" s="28">
        <f t="shared" si="31"/>
        <v>0</v>
      </c>
      <c r="BW116" s="28">
        <f t="shared" si="32"/>
        <v>0</v>
      </c>
    </row>
    <row r="117" spans="1:75" ht="17.399999999999999" x14ac:dyDescent="0.25">
      <c r="A117" s="69">
        <f t="shared" si="39"/>
        <v>116</v>
      </c>
      <c r="B117" s="78" t="s">
        <v>376</v>
      </c>
      <c r="C117" s="78" t="s">
        <v>243</v>
      </c>
      <c r="D117" s="78" t="s">
        <v>376</v>
      </c>
      <c r="E117" s="78" t="s">
        <v>244</v>
      </c>
      <c r="F117" s="78"/>
      <c r="G117" s="78" t="s">
        <v>220</v>
      </c>
      <c r="H117" s="71" t="s">
        <v>380</v>
      </c>
      <c r="I117" s="71" t="str">
        <f>VLOOKUP(H117,[1]Sheet1!$C:$C,1,0)</f>
        <v>SC9675IM-Q-AB-4XAR-9675</v>
      </c>
      <c r="J117" s="78"/>
      <c r="K117" s="78"/>
      <c r="L117" s="78" t="s">
        <v>381</v>
      </c>
      <c r="M117" s="78">
        <v>500000</v>
      </c>
      <c r="N117" s="78" t="s">
        <v>382</v>
      </c>
      <c r="O117" s="78"/>
      <c r="P117" s="78"/>
      <c r="Q117" s="78"/>
      <c r="R117" s="101">
        <v>4.42</v>
      </c>
      <c r="S117" s="75">
        <f t="shared" si="40"/>
        <v>0</v>
      </c>
      <c r="T117" s="76">
        <v>44200</v>
      </c>
      <c r="U117" s="76">
        <f t="shared" si="29"/>
        <v>0</v>
      </c>
      <c r="V117" s="72">
        <v>0</v>
      </c>
      <c r="W117" s="72">
        <v>0</v>
      </c>
      <c r="X117" s="72">
        <v>0</v>
      </c>
      <c r="Y117" s="72">
        <v>0</v>
      </c>
      <c r="Z117" s="72">
        <v>0</v>
      </c>
      <c r="AA117" s="72">
        <v>0</v>
      </c>
      <c r="AB117" s="72">
        <v>0</v>
      </c>
      <c r="AC117" s="72">
        <v>0</v>
      </c>
      <c r="AD117" s="77"/>
      <c r="AE117" s="75"/>
      <c r="AF117" s="75"/>
      <c r="AG117" s="75"/>
      <c r="AH117" s="75">
        <v>0</v>
      </c>
      <c r="AI117" s="75"/>
      <c r="AJ117" s="75">
        <v>0</v>
      </c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19" t="s">
        <v>61</v>
      </c>
      <c r="AY117" s="19" t="s">
        <v>386</v>
      </c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7">
        <f t="shared" si="44"/>
        <v>0</v>
      </c>
      <c r="BQ117" s="27">
        <f t="shared" si="45"/>
        <v>0</v>
      </c>
      <c r="BR117" s="27">
        <f t="shared" si="46"/>
        <v>0</v>
      </c>
      <c r="BS117" s="27">
        <f t="shared" si="42"/>
        <v>0</v>
      </c>
      <c r="BT117" s="28">
        <f t="shared" si="43"/>
        <v>0</v>
      </c>
      <c r="BU117" s="28">
        <f t="shared" si="30"/>
        <v>0</v>
      </c>
      <c r="BV117" s="28">
        <f t="shared" si="31"/>
        <v>0</v>
      </c>
      <c r="BW117" s="28">
        <f t="shared" si="32"/>
        <v>0</v>
      </c>
    </row>
    <row r="118" spans="1:75" ht="17.399999999999999" x14ac:dyDescent="0.25">
      <c r="A118" s="69">
        <f t="shared" si="39"/>
        <v>117</v>
      </c>
      <c r="B118" s="78" t="s">
        <v>188</v>
      </c>
      <c r="C118" s="78" t="s">
        <v>290</v>
      </c>
      <c r="D118" s="78" t="s">
        <v>189</v>
      </c>
      <c r="E118" s="78" t="s">
        <v>244</v>
      </c>
      <c r="F118" s="78" t="s">
        <v>383</v>
      </c>
      <c r="G118" s="78" t="s">
        <v>384</v>
      </c>
      <c r="H118" s="71" t="s">
        <v>385</v>
      </c>
      <c r="I118" s="71" t="str">
        <f>VLOOKUP(H118,[1]Sheet1!$C:$C,1,0)</f>
        <v>SC9314UA-CF-0XAK-9209</v>
      </c>
      <c r="J118" s="78"/>
      <c r="K118" s="78"/>
      <c r="L118" s="78" t="s">
        <v>381</v>
      </c>
      <c r="M118" s="78">
        <v>1000000</v>
      </c>
      <c r="N118" s="78" t="s">
        <v>373</v>
      </c>
      <c r="O118" s="78"/>
      <c r="P118" s="78"/>
      <c r="Q118" s="78"/>
      <c r="R118" s="101">
        <v>0.98</v>
      </c>
      <c r="S118" s="75">
        <f t="shared" si="40"/>
        <v>0</v>
      </c>
      <c r="T118" s="76">
        <v>56000</v>
      </c>
      <c r="U118" s="76">
        <f t="shared" si="29"/>
        <v>0</v>
      </c>
      <c r="V118" s="72">
        <v>40000</v>
      </c>
      <c r="W118" s="72">
        <v>40000</v>
      </c>
      <c r="X118" s="72">
        <v>40000</v>
      </c>
      <c r="Y118" s="72">
        <v>40000</v>
      </c>
      <c r="Z118" s="72">
        <v>40000</v>
      </c>
      <c r="AA118" s="72">
        <v>40000</v>
      </c>
      <c r="AB118" s="72">
        <v>40000</v>
      </c>
      <c r="AC118" s="72">
        <v>40000</v>
      </c>
      <c r="AD118" s="77"/>
      <c r="AE118" s="75"/>
      <c r="AF118" s="75"/>
      <c r="AG118" s="75"/>
      <c r="AH118" s="75"/>
      <c r="AI118" s="75"/>
      <c r="AJ118" s="75">
        <v>0</v>
      </c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10" t="s">
        <v>61</v>
      </c>
      <c r="AY118" s="19" t="s">
        <v>386</v>
      </c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16">
        <f t="shared" si="44"/>
        <v>39200</v>
      </c>
      <c r="BQ118" s="16">
        <f t="shared" si="45"/>
        <v>39200</v>
      </c>
      <c r="BR118" s="16">
        <f t="shared" si="46"/>
        <v>39200</v>
      </c>
      <c r="BS118" s="16">
        <f t="shared" si="42"/>
        <v>39200</v>
      </c>
      <c r="BT118" s="17">
        <f t="shared" si="43"/>
        <v>0</v>
      </c>
      <c r="BU118" s="28">
        <f t="shared" si="30"/>
        <v>0</v>
      </c>
      <c r="BV118" s="28">
        <f t="shared" si="31"/>
        <v>0</v>
      </c>
      <c r="BW118" s="28">
        <f t="shared" si="32"/>
        <v>0</v>
      </c>
    </row>
    <row r="119" spans="1:75" ht="17.399999999999999" x14ac:dyDescent="0.25">
      <c r="A119" s="69">
        <f t="shared" si="39"/>
        <v>118</v>
      </c>
      <c r="B119" s="78" t="s">
        <v>188</v>
      </c>
      <c r="C119" s="78" t="s">
        <v>290</v>
      </c>
      <c r="D119" s="78" t="s">
        <v>189</v>
      </c>
      <c r="E119" s="78" t="s">
        <v>244</v>
      </c>
      <c r="F119" s="78" t="s">
        <v>383</v>
      </c>
      <c r="G119" s="78" t="s">
        <v>384</v>
      </c>
      <c r="H119" s="71" t="s">
        <v>387</v>
      </c>
      <c r="I119" s="71" t="str">
        <f>VLOOKUP(H119,[1]Sheet1!$C:$C,1,0)</f>
        <v>SC9314UA-CF-0XAK-9201L</v>
      </c>
      <c r="J119" s="78"/>
      <c r="K119" s="78"/>
      <c r="L119" s="78" t="s">
        <v>381</v>
      </c>
      <c r="M119" s="78">
        <v>1000000</v>
      </c>
      <c r="N119" s="78" t="s">
        <v>373</v>
      </c>
      <c r="O119" s="78"/>
      <c r="P119" s="78"/>
      <c r="Q119" s="78"/>
      <c r="R119" s="101">
        <v>0.98</v>
      </c>
      <c r="S119" s="75">
        <f t="shared" si="40"/>
        <v>0</v>
      </c>
      <c r="T119" s="76">
        <v>56000</v>
      </c>
      <c r="U119" s="76">
        <f t="shared" si="29"/>
        <v>0</v>
      </c>
      <c r="V119" s="72">
        <v>160000</v>
      </c>
      <c r="W119" s="72">
        <v>160000</v>
      </c>
      <c r="X119" s="72">
        <v>160000</v>
      </c>
      <c r="Y119" s="72">
        <v>160000</v>
      </c>
      <c r="Z119" s="72">
        <v>160000</v>
      </c>
      <c r="AA119" s="72">
        <v>160000</v>
      </c>
      <c r="AB119" s="72">
        <v>160000</v>
      </c>
      <c r="AC119" s="72">
        <v>160000</v>
      </c>
      <c r="AD119" s="77"/>
      <c r="AE119" s="75"/>
      <c r="AF119" s="75"/>
      <c r="AG119" s="75"/>
      <c r="AH119" s="75"/>
      <c r="AI119" s="75"/>
      <c r="AJ119" s="75">
        <v>0</v>
      </c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19" t="s">
        <v>61</v>
      </c>
      <c r="AY119" s="19" t="s">
        <v>386</v>
      </c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7">
        <f t="shared" si="44"/>
        <v>156800</v>
      </c>
      <c r="BQ119" s="27">
        <f t="shared" si="45"/>
        <v>156800</v>
      </c>
      <c r="BR119" s="27">
        <f t="shared" si="46"/>
        <v>156800</v>
      </c>
      <c r="BS119" s="27">
        <f t="shared" si="42"/>
        <v>156800</v>
      </c>
      <c r="BT119" s="28">
        <f t="shared" si="43"/>
        <v>0</v>
      </c>
      <c r="BU119" s="28">
        <f t="shared" si="30"/>
        <v>0</v>
      </c>
      <c r="BV119" s="28">
        <f t="shared" si="31"/>
        <v>0</v>
      </c>
      <c r="BW119" s="28">
        <f t="shared" si="32"/>
        <v>0</v>
      </c>
    </row>
    <row r="120" spans="1:75" ht="17.399999999999999" x14ac:dyDescent="0.25">
      <c r="A120" s="69">
        <f t="shared" si="39"/>
        <v>119</v>
      </c>
      <c r="B120" s="78" t="s">
        <v>188</v>
      </c>
      <c r="C120" s="78" t="s">
        <v>290</v>
      </c>
      <c r="D120" s="78" t="s">
        <v>189</v>
      </c>
      <c r="E120" s="78" t="s">
        <v>244</v>
      </c>
      <c r="F120" s="78" t="s">
        <v>383</v>
      </c>
      <c r="G120" s="78" t="s">
        <v>222</v>
      </c>
      <c r="H120" s="71" t="s">
        <v>388</v>
      </c>
      <c r="I120" s="71" t="str">
        <f>VLOOKUP(H120,[1]Sheet1!$C:$C,1,0)</f>
        <v>SC9625VB-CE-00CK-9625L</v>
      </c>
      <c r="J120" s="78"/>
      <c r="K120" s="78"/>
      <c r="L120" s="78" t="s">
        <v>190</v>
      </c>
      <c r="M120" s="78">
        <v>1000000</v>
      </c>
      <c r="N120" s="78" t="s">
        <v>373</v>
      </c>
      <c r="O120" s="78"/>
      <c r="P120" s="78"/>
      <c r="Q120" s="78"/>
      <c r="R120" s="101">
        <v>1.27</v>
      </c>
      <c r="S120" s="75">
        <f t="shared" si="40"/>
        <v>38100</v>
      </c>
      <c r="T120" s="76">
        <v>101600</v>
      </c>
      <c r="U120" s="76">
        <f t="shared" si="29"/>
        <v>30000</v>
      </c>
      <c r="V120" s="72">
        <v>10000</v>
      </c>
      <c r="W120" s="72">
        <v>10000</v>
      </c>
      <c r="X120" s="72">
        <v>10000</v>
      </c>
      <c r="Y120" s="72">
        <v>10000</v>
      </c>
      <c r="Z120" s="72">
        <v>10000</v>
      </c>
      <c r="AA120" s="72">
        <v>10000</v>
      </c>
      <c r="AB120" s="72">
        <v>10000</v>
      </c>
      <c r="AC120" s="72">
        <v>10000</v>
      </c>
      <c r="AD120" s="77">
        <v>10000</v>
      </c>
      <c r="AE120" s="75">
        <v>10000</v>
      </c>
      <c r="AF120" s="75">
        <v>10000</v>
      </c>
      <c r="AG120" s="75">
        <v>10000</v>
      </c>
      <c r="AH120" s="75"/>
      <c r="AI120" s="75"/>
      <c r="AJ120" s="75">
        <v>0</v>
      </c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10" t="s">
        <v>61</v>
      </c>
      <c r="AY120" s="19" t="s">
        <v>386</v>
      </c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16">
        <f t="shared" si="44"/>
        <v>12700</v>
      </c>
      <c r="BQ120" s="16">
        <f t="shared" si="45"/>
        <v>12700</v>
      </c>
      <c r="BR120" s="16">
        <f t="shared" si="46"/>
        <v>12700</v>
      </c>
      <c r="BS120" s="16">
        <f t="shared" si="42"/>
        <v>12700</v>
      </c>
      <c r="BT120" s="17">
        <f t="shared" si="43"/>
        <v>12700</v>
      </c>
      <c r="BU120" s="28">
        <f t="shared" si="30"/>
        <v>12700</v>
      </c>
      <c r="BV120" s="28">
        <f t="shared" si="31"/>
        <v>12700</v>
      </c>
      <c r="BW120" s="28">
        <f t="shared" si="32"/>
        <v>12700</v>
      </c>
    </row>
    <row r="121" spans="1:75" ht="17.399999999999999" x14ac:dyDescent="0.25">
      <c r="A121" s="69">
        <f t="shared" si="39"/>
        <v>120</v>
      </c>
      <c r="B121" s="78" t="s">
        <v>192</v>
      </c>
      <c r="C121" s="78" t="s">
        <v>235</v>
      </c>
      <c r="D121" s="78" t="s">
        <v>189</v>
      </c>
      <c r="E121" s="78" t="s">
        <v>244</v>
      </c>
      <c r="F121" s="78" t="s">
        <v>383</v>
      </c>
      <c r="G121" s="78" t="s">
        <v>389</v>
      </c>
      <c r="H121" s="71" t="s">
        <v>390</v>
      </c>
      <c r="I121" s="71" t="str">
        <f>VLOOKUP(H121,[1]Sheet1!$C:$C,1,0)</f>
        <v>SC9675IM-HRF00-Q-AB-4XAR-9675</v>
      </c>
      <c r="J121" s="78"/>
      <c r="K121" s="78"/>
      <c r="L121" s="78" t="s">
        <v>381</v>
      </c>
      <c r="M121" s="78">
        <v>1000000</v>
      </c>
      <c r="N121" s="78"/>
      <c r="O121" s="78"/>
      <c r="P121" s="78"/>
      <c r="Q121" s="78"/>
      <c r="R121" s="101">
        <v>6.05</v>
      </c>
      <c r="S121" s="75">
        <f t="shared" si="40"/>
        <v>72600</v>
      </c>
      <c r="T121" s="76">
        <v>133100</v>
      </c>
      <c r="U121" s="76">
        <f t="shared" si="29"/>
        <v>12000</v>
      </c>
      <c r="V121" s="72">
        <v>2000</v>
      </c>
      <c r="W121" s="72">
        <v>2000</v>
      </c>
      <c r="X121" s="72">
        <v>2000</v>
      </c>
      <c r="Y121" s="72">
        <v>2000</v>
      </c>
      <c r="Z121" s="72">
        <v>2000</v>
      </c>
      <c r="AA121" s="72">
        <v>2000</v>
      </c>
      <c r="AB121" s="72">
        <v>2000</v>
      </c>
      <c r="AC121" s="72">
        <v>2000</v>
      </c>
      <c r="AD121" s="77">
        <v>2000</v>
      </c>
      <c r="AE121" s="75">
        <v>2000</v>
      </c>
      <c r="AF121" s="75">
        <v>5000</v>
      </c>
      <c r="AG121" s="75">
        <v>5000</v>
      </c>
      <c r="AH121" s="75">
        <v>5000</v>
      </c>
      <c r="AI121" s="75">
        <v>5000</v>
      </c>
      <c r="AJ121" s="75">
        <v>5000</v>
      </c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10" t="s">
        <v>61</v>
      </c>
      <c r="AY121" s="19" t="s">
        <v>386</v>
      </c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16">
        <f t="shared" si="44"/>
        <v>12100</v>
      </c>
      <c r="BQ121" s="16">
        <f t="shared" si="45"/>
        <v>12100</v>
      </c>
      <c r="BR121" s="16">
        <f t="shared" si="46"/>
        <v>12100</v>
      </c>
      <c r="BS121" s="16">
        <f t="shared" si="42"/>
        <v>12100</v>
      </c>
      <c r="BT121" s="17">
        <f t="shared" si="43"/>
        <v>12100</v>
      </c>
      <c r="BU121" s="28">
        <f t="shared" si="30"/>
        <v>12100</v>
      </c>
      <c r="BV121" s="28">
        <f t="shared" si="31"/>
        <v>30250</v>
      </c>
      <c r="BW121" s="28">
        <f t="shared" si="32"/>
        <v>30250</v>
      </c>
    </row>
    <row r="122" spans="1:75" ht="17.399999999999999" x14ac:dyDescent="0.25">
      <c r="A122" s="69">
        <f t="shared" si="39"/>
        <v>121</v>
      </c>
      <c r="B122" s="78" t="s">
        <v>192</v>
      </c>
      <c r="C122" s="78" t="s">
        <v>235</v>
      </c>
      <c r="D122" s="78" t="s">
        <v>189</v>
      </c>
      <c r="E122" s="78" t="s">
        <v>244</v>
      </c>
      <c r="F122" s="78" t="s">
        <v>383</v>
      </c>
      <c r="G122" s="78" t="s">
        <v>391</v>
      </c>
      <c r="H122" s="71" t="s">
        <v>392</v>
      </c>
      <c r="I122" s="71" t="str">
        <f>VLOOKUP(H122,[1]Sheet1!$C:$C,1,0)</f>
        <v>SC9675IM-LRF01-Q-AB-4XAR-9675</v>
      </c>
      <c r="J122" s="78"/>
      <c r="K122" s="78"/>
      <c r="L122" s="78" t="s">
        <v>190</v>
      </c>
      <c r="M122" s="78">
        <v>1000000</v>
      </c>
      <c r="N122" s="78" t="s">
        <v>373</v>
      </c>
      <c r="O122" s="78"/>
      <c r="P122" s="78"/>
      <c r="Q122" s="78"/>
      <c r="R122" s="101">
        <v>6.05</v>
      </c>
      <c r="S122" s="75">
        <f t="shared" si="40"/>
        <v>254100</v>
      </c>
      <c r="T122" s="76">
        <v>496100</v>
      </c>
      <c r="U122" s="76">
        <f t="shared" si="29"/>
        <v>42000</v>
      </c>
      <c r="V122" s="72">
        <v>8000</v>
      </c>
      <c r="W122" s="72">
        <v>8000</v>
      </c>
      <c r="X122" s="72">
        <v>8000</v>
      </c>
      <c r="Y122" s="72">
        <v>10000</v>
      </c>
      <c r="Z122" s="72">
        <v>10000</v>
      </c>
      <c r="AA122" s="72">
        <v>10000</v>
      </c>
      <c r="AB122" s="72">
        <v>10000</v>
      </c>
      <c r="AC122" s="72">
        <v>10000</v>
      </c>
      <c r="AD122" s="77">
        <v>10000</v>
      </c>
      <c r="AE122" s="75">
        <v>12000</v>
      </c>
      <c r="AF122" s="75">
        <v>15000</v>
      </c>
      <c r="AG122" s="75">
        <v>15000</v>
      </c>
      <c r="AH122" s="75">
        <v>12000</v>
      </c>
      <c r="AI122" s="75">
        <v>12000</v>
      </c>
      <c r="AJ122" s="75">
        <v>12000</v>
      </c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19" t="s">
        <v>61</v>
      </c>
      <c r="AY122" s="19" t="s">
        <v>386</v>
      </c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7">
        <f t="shared" si="44"/>
        <v>60500</v>
      </c>
      <c r="BQ122" s="27">
        <f t="shared" si="45"/>
        <v>60500</v>
      </c>
      <c r="BR122" s="27">
        <f t="shared" si="46"/>
        <v>60500</v>
      </c>
      <c r="BS122" s="27">
        <f t="shared" si="42"/>
        <v>60500</v>
      </c>
      <c r="BT122" s="28">
        <f t="shared" si="43"/>
        <v>60500</v>
      </c>
      <c r="BU122" s="28">
        <f t="shared" si="30"/>
        <v>72600</v>
      </c>
      <c r="BV122" s="28">
        <f t="shared" si="31"/>
        <v>90750</v>
      </c>
      <c r="BW122" s="28">
        <f t="shared" si="32"/>
        <v>90750</v>
      </c>
    </row>
    <row r="123" spans="1:75" ht="17.399999999999999" x14ac:dyDescent="0.25">
      <c r="A123" s="69">
        <f t="shared" si="39"/>
        <v>122</v>
      </c>
      <c r="B123" s="78" t="s">
        <v>193</v>
      </c>
      <c r="C123" s="78" t="s">
        <v>243</v>
      </c>
      <c r="D123" s="78" t="s">
        <v>107</v>
      </c>
      <c r="E123" s="78" t="s">
        <v>244</v>
      </c>
      <c r="F123" s="78" t="s">
        <v>393</v>
      </c>
      <c r="G123" s="78" t="s">
        <v>194</v>
      </c>
      <c r="H123" s="71" t="s">
        <v>394</v>
      </c>
      <c r="I123" s="71" t="str">
        <f>VLOOKUP(H123,[1]Sheet1!$C:$C,1,0)</f>
        <v>SC2462SO-Q-CJ-10CR-2462</v>
      </c>
      <c r="J123" s="78"/>
      <c r="K123" s="78"/>
      <c r="L123" s="78" t="s">
        <v>395</v>
      </c>
      <c r="M123" s="78">
        <v>500000</v>
      </c>
      <c r="N123" s="78" t="s">
        <v>396</v>
      </c>
      <c r="O123" s="78"/>
      <c r="P123" s="78"/>
      <c r="Q123" s="78"/>
      <c r="R123" s="100">
        <v>0.4</v>
      </c>
      <c r="S123" s="75">
        <f t="shared" si="40"/>
        <v>12000</v>
      </c>
      <c r="T123" s="76">
        <v>15600</v>
      </c>
      <c r="U123" s="76">
        <f t="shared" si="29"/>
        <v>30000</v>
      </c>
      <c r="V123" s="72">
        <v>0</v>
      </c>
      <c r="W123" s="72">
        <v>0</v>
      </c>
      <c r="X123" s="72">
        <v>0</v>
      </c>
      <c r="Y123" s="72">
        <v>0</v>
      </c>
      <c r="Z123" s="72">
        <v>10000</v>
      </c>
      <c r="AA123" s="72">
        <v>0</v>
      </c>
      <c r="AB123" s="72">
        <v>3000</v>
      </c>
      <c r="AC123" s="72">
        <v>3000</v>
      </c>
      <c r="AD123" s="77">
        <v>5000</v>
      </c>
      <c r="AE123" s="75">
        <v>30000</v>
      </c>
      <c r="AF123" s="75"/>
      <c r="AG123" s="75"/>
      <c r="AH123" s="75">
        <v>15000</v>
      </c>
      <c r="AI123" s="75"/>
      <c r="AJ123" s="75">
        <v>0</v>
      </c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10" t="s">
        <v>61</v>
      </c>
      <c r="AY123" s="19" t="s">
        <v>261</v>
      </c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16">
        <f t="shared" si="44"/>
        <v>4000</v>
      </c>
      <c r="BQ123" s="16">
        <f t="shared" si="45"/>
        <v>0</v>
      </c>
      <c r="BR123" s="16">
        <f t="shared" si="46"/>
        <v>1200</v>
      </c>
      <c r="BS123" s="16">
        <f t="shared" si="42"/>
        <v>1200</v>
      </c>
      <c r="BT123" s="17">
        <f t="shared" si="43"/>
        <v>2000</v>
      </c>
      <c r="BU123" s="28">
        <f t="shared" si="30"/>
        <v>12000</v>
      </c>
      <c r="BV123" s="28">
        <f t="shared" si="31"/>
        <v>0</v>
      </c>
      <c r="BW123" s="28">
        <f t="shared" si="32"/>
        <v>0</v>
      </c>
    </row>
    <row r="124" spans="1:75" ht="17.399999999999999" x14ac:dyDescent="0.25">
      <c r="A124" s="69">
        <f t="shared" si="39"/>
        <v>123</v>
      </c>
      <c r="B124" s="78" t="s">
        <v>193</v>
      </c>
      <c r="C124" s="78" t="s">
        <v>243</v>
      </c>
      <c r="D124" s="78" t="s">
        <v>107</v>
      </c>
      <c r="E124" s="78" t="s">
        <v>244</v>
      </c>
      <c r="F124" s="78" t="s">
        <v>393</v>
      </c>
      <c r="G124" s="78" t="s">
        <v>195</v>
      </c>
      <c r="H124" s="71" t="s">
        <v>397</v>
      </c>
      <c r="I124" s="71" t="str">
        <f>VLOOKUP(H124,[1]Sheet1!$C:$C,1,0)</f>
        <v>SC2432SO-Q-CM-10CR-2432</v>
      </c>
      <c r="J124" s="78"/>
      <c r="K124" s="78"/>
      <c r="L124" s="78" t="s">
        <v>398</v>
      </c>
      <c r="M124" s="78">
        <v>500000</v>
      </c>
      <c r="N124" s="78" t="s">
        <v>373</v>
      </c>
      <c r="O124" s="78"/>
      <c r="P124" s="78"/>
      <c r="Q124" s="78"/>
      <c r="R124" s="100">
        <v>0.45</v>
      </c>
      <c r="S124" s="75">
        <f t="shared" si="40"/>
        <v>81000</v>
      </c>
      <c r="T124" s="76">
        <v>96000</v>
      </c>
      <c r="U124" s="76">
        <f t="shared" si="29"/>
        <v>180000</v>
      </c>
      <c r="V124" s="72">
        <v>15000</v>
      </c>
      <c r="W124" s="72">
        <v>15000</v>
      </c>
      <c r="X124" s="72">
        <v>15000</v>
      </c>
      <c r="Y124" s="72">
        <v>30000</v>
      </c>
      <c r="Z124" s="72">
        <v>30000</v>
      </c>
      <c r="AA124" s="72">
        <v>6000</v>
      </c>
      <c r="AB124" s="72">
        <v>12000</v>
      </c>
      <c r="AC124" s="72">
        <v>30000</v>
      </c>
      <c r="AD124" s="77">
        <v>0</v>
      </c>
      <c r="AE124" s="75">
        <v>60000</v>
      </c>
      <c r="AF124" s="75">
        <v>60000</v>
      </c>
      <c r="AG124" s="75">
        <v>60000</v>
      </c>
      <c r="AH124" s="75">
        <v>30000</v>
      </c>
      <c r="AI124" s="75">
        <v>30000</v>
      </c>
      <c r="AJ124" s="75">
        <v>30000</v>
      </c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19" t="s">
        <v>61</v>
      </c>
      <c r="AY124" s="19" t="s">
        <v>261</v>
      </c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7">
        <f t="shared" si="44"/>
        <v>13500</v>
      </c>
      <c r="BQ124" s="27">
        <f t="shared" si="45"/>
        <v>2700</v>
      </c>
      <c r="BR124" s="27">
        <f t="shared" si="46"/>
        <v>5400</v>
      </c>
      <c r="BS124" s="27">
        <f t="shared" si="42"/>
        <v>13500</v>
      </c>
      <c r="BT124" s="28">
        <f t="shared" si="43"/>
        <v>0</v>
      </c>
      <c r="BU124" s="28">
        <f t="shared" si="30"/>
        <v>27000</v>
      </c>
      <c r="BV124" s="28">
        <f t="shared" si="31"/>
        <v>27000</v>
      </c>
      <c r="BW124" s="28">
        <f t="shared" si="32"/>
        <v>27000</v>
      </c>
    </row>
    <row r="125" spans="1:75" ht="17.399999999999999" x14ac:dyDescent="0.25">
      <c r="A125" s="69">
        <f t="shared" si="39"/>
        <v>124</v>
      </c>
      <c r="B125" s="78" t="s">
        <v>196</v>
      </c>
      <c r="C125" s="78" t="s">
        <v>235</v>
      </c>
      <c r="D125" s="78" t="s">
        <v>107</v>
      </c>
      <c r="E125" s="78" t="s">
        <v>244</v>
      </c>
      <c r="F125" s="78" t="s">
        <v>399</v>
      </c>
      <c r="G125" s="78" t="s">
        <v>400</v>
      </c>
      <c r="H125" s="71" t="s">
        <v>401</v>
      </c>
      <c r="I125" s="71" t="str">
        <f>VLOOKUP(H125,[1]Sheet1!$C:$C,1,0)</f>
        <v>SC1134SO-N-Q-CI-00LR-1134</v>
      </c>
      <c r="J125" s="78"/>
      <c r="K125" s="78"/>
      <c r="L125" s="78" t="s">
        <v>402</v>
      </c>
      <c r="M125" s="78">
        <v>2000000</v>
      </c>
      <c r="N125" s="78" t="s">
        <v>367</v>
      </c>
      <c r="O125" s="78"/>
      <c r="P125" s="78"/>
      <c r="Q125" s="78"/>
      <c r="R125" s="100">
        <v>0.4</v>
      </c>
      <c r="S125" s="75">
        <f t="shared" si="40"/>
        <v>14400</v>
      </c>
      <c r="T125" s="76">
        <v>48000</v>
      </c>
      <c r="U125" s="76">
        <f t="shared" si="29"/>
        <v>36000</v>
      </c>
      <c r="V125" s="72">
        <v>0</v>
      </c>
      <c r="W125" s="72">
        <v>3000</v>
      </c>
      <c r="X125" s="72">
        <v>15000</v>
      </c>
      <c r="Y125" s="72"/>
      <c r="Z125" s="72">
        <v>15000</v>
      </c>
      <c r="AA125" s="72">
        <v>15000</v>
      </c>
      <c r="AB125" s="72">
        <v>15000</v>
      </c>
      <c r="AC125" s="72">
        <v>15000</v>
      </c>
      <c r="AD125" s="77">
        <v>15000</v>
      </c>
      <c r="AE125" s="75">
        <v>12000</v>
      </c>
      <c r="AF125" s="75">
        <v>12000</v>
      </c>
      <c r="AG125" s="75">
        <v>12000</v>
      </c>
      <c r="AH125" s="75">
        <v>12000</v>
      </c>
      <c r="AI125" s="75">
        <v>12000</v>
      </c>
      <c r="AJ125" s="75">
        <v>12000</v>
      </c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10" t="s">
        <v>61</v>
      </c>
      <c r="AY125" s="19" t="s">
        <v>261</v>
      </c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16">
        <f t="shared" si="44"/>
        <v>6000</v>
      </c>
      <c r="BQ125" s="16">
        <f t="shared" si="45"/>
        <v>6000</v>
      </c>
      <c r="BR125" s="16">
        <f t="shared" si="46"/>
        <v>6000</v>
      </c>
      <c r="BS125" s="16">
        <f t="shared" si="42"/>
        <v>6000</v>
      </c>
      <c r="BT125" s="17">
        <f t="shared" si="43"/>
        <v>6000</v>
      </c>
      <c r="BU125" s="28">
        <f t="shared" si="30"/>
        <v>4800</v>
      </c>
      <c r="BV125" s="28">
        <f t="shared" si="31"/>
        <v>4800</v>
      </c>
      <c r="BW125" s="28">
        <f t="shared" si="32"/>
        <v>4800</v>
      </c>
    </row>
    <row r="126" spans="1:75" ht="17.399999999999999" x14ac:dyDescent="0.25">
      <c r="A126" s="69">
        <f t="shared" si="39"/>
        <v>125</v>
      </c>
      <c r="B126" s="78" t="s">
        <v>196</v>
      </c>
      <c r="C126" s="78" t="s">
        <v>235</v>
      </c>
      <c r="D126" s="78" t="s">
        <v>107</v>
      </c>
      <c r="E126" s="78" t="s">
        <v>244</v>
      </c>
      <c r="F126" s="78" t="s">
        <v>399</v>
      </c>
      <c r="G126" s="78" t="s">
        <v>403</v>
      </c>
      <c r="H126" s="71" t="s">
        <v>404</v>
      </c>
      <c r="I126" s="71" t="str">
        <f>VLOOKUP(H126,[1]Sheet1!$C:$C,1,0)</f>
        <v>SC2436SO-CM-10CR-2436</v>
      </c>
      <c r="J126" s="78"/>
      <c r="K126" s="78"/>
      <c r="L126" s="78" t="s">
        <v>402</v>
      </c>
      <c r="M126" s="78">
        <v>2000000</v>
      </c>
      <c r="N126" s="78" t="s">
        <v>367</v>
      </c>
      <c r="O126" s="78"/>
      <c r="P126" s="78"/>
      <c r="Q126" s="78"/>
      <c r="R126" s="101">
        <v>0.4</v>
      </c>
      <c r="S126" s="75">
        <f t="shared" si="40"/>
        <v>3600</v>
      </c>
      <c r="T126" s="76">
        <v>22800</v>
      </c>
      <c r="U126" s="76">
        <f t="shared" si="29"/>
        <v>9000</v>
      </c>
      <c r="V126" s="72">
        <v>3000</v>
      </c>
      <c r="W126" s="72">
        <v>0</v>
      </c>
      <c r="X126" s="72">
        <v>15000</v>
      </c>
      <c r="Y126" s="72"/>
      <c r="Z126" s="72">
        <v>12000</v>
      </c>
      <c r="AA126" s="72"/>
      <c r="AB126" s="72">
        <v>12000</v>
      </c>
      <c r="AC126" s="72"/>
      <c r="AD126" s="77">
        <v>12000</v>
      </c>
      <c r="AE126" s="75">
        <v>3000</v>
      </c>
      <c r="AF126" s="75">
        <v>3000</v>
      </c>
      <c r="AG126" s="75">
        <v>3000</v>
      </c>
      <c r="AH126" s="75">
        <v>3000</v>
      </c>
      <c r="AI126" s="75">
        <v>3000</v>
      </c>
      <c r="AJ126" s="75">
        <v>3000</v>
      </c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19" t="s">
        <v>61</v>
      </c>
      <c r="AY126" s="19" t="s">
        <v>261</v>
      </c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7">
        <f t="shared" si="44"/>
        <v>4800</v>
      </c>
      <c r="BQ126" s="27">
        <f t="shared" si="45"/>
        <v>0</v>
      </c>
      <c r="BR126" s="27">
        <f t="shared" si="46"/>
        <v>4800</v>
      </c>
      <c r="BS126" s="27">
        <f t="shared" si="42"/>
        <v>0</v>
      </c>
      <c r="BT126" s="28">
        <f t="shared" si="43"/>
        <v>4800</v>
      </c>
      <c r="BU126" s="28">
        <f t="shared" si="30"/>
        <v>1200</v>
      </c>
      <c r="BV126" s="28">
        <f t="shared" si="31"/>
        <v>1200</v>
      </c>
      <c r="BW126" s="28">
        <f t="shared" si="32"/>
        <v>1200</v>
      </c>
    </row>
    <row r="127" spans="1:75" ht="17.399999999999999" x14ac:dyDescent="0.25">
      <c r="A127" s="69">
        <f t="shared" si="39"/>
        <v>126</v>
      </c>
      <c r="B127" s="78" t="s">
        <v>197</v>
      </c>
      <c r="C127" s="78" t="s">
        <v>243</v>
      </c>
      <c r="D127" s="78" t="s">
        <v>198</v>
      </c>
      <c r="E127" s="78" t="s">
        <v>199</v>
      </c>
      <c r="F127" s="78" t="s">
        <v>108</v>
      </c>
      <c r="G127" s="71" t="s">
        <v>200</v>
      </c>
      <c r="H127" s="71" t="s">
        <v>1542</v>
      </c>
      <c r="I127" s="71" t="str">
        <f>VLOOKUP(H127,[1]Sheet1!$C:$C,1,0)</f>
        <v>SC69401DC-SPI-Q-HD-4XCR-69401</v>
      </c>
      <c r="J127" s="71"/>
      <c r="K127" s="71"/>
      <c r="L127" s="78" t="s">
        <v>201</v>
      </c>
      <c r="M127" s="78"/>
      <c r="N127" s="78" t="s">
        <v>202</v>
      </c>
      <c r="O127" s="78"/>
      <c r="P127" s="78"/>
      <c r="Q127" s="78"/>
      <c r="R127" s="101">
        <v>3.6</v>
      </c>
      <c r="S127" s="75">
        <f t="shared" si="40"/>
        <v>18000</v>
      </c>
      <c r="T127" s="76">
        <v>324000</v>
      </c>
      <c r="U127" s="76">
        <f t="shared" si="29"/>
        <v>5000</v>
      </c>
      <c r="V127" s="78"/>
      <c r="W127" s="78"/>
      <c r="X127" s="78"/>
      <c r="Y127" s="72">
        <v>3000</v>
      </c>
      <c r="Z127" s="72">
        <v>6000</v>
      </c>
      <c r="AA127" s="72">
        <v>6000</v>
      </c>
      <c r="AB127" s="72">
        <v>6000</v>
      </c>
      <c r="AC127" s="72">
        <v>12000</v>
      </c>
      <c r="AD127" s="77">
        <v>12000</v>
      </c>
      <c r="AE127" s="75">
        <v>1000</v>
      </c>
      <c r="AF127" s="75">
        <v>2000</v>
      </c>
      <c r="AG127" s="75">
        <v>2000</v>
      </c>
      <c r="AH127" s="75">
        <v>4000</v>
      </c>
      <c r="AI127" s="75">
        <v>4000</v>
      </c>
      <c r="AJ127" s="75">
        <v>4000</v>
      </c>
      <c r="AK127" s="29"/>
      <c r="AL127" s="29"/>
      <c r="AM127" s="29"/>
      <c r="AN127" s="29"/>
      <c r="AO127" s="29"/>
      <c r="AP127" s="29"/>
      <c r="AQ127" s="29"/>
      <c r="AR127" s="29"/>
      <c r="AS127" s="29"/>
      <c r="AT127" s="29">
        <v>1</v>
      </c>
      <c r="AU127" s="29"/>
      <c r="AV127" s="29"/>
      <c r="AW127" s="29" t="s">
        <v>203</v>
      </c>
      <c r="AX127" s="10" t="s">
        <v>61</v>
      </c>
      <c r="AY127" s="19" t="s">
        <v>371</v>
      </c>
      <c r="AZ127" s="29" t="s">
        <v>62</v>
      </c>
      <c r="BA127" s="29" t="s">
        <v>204</v>
      </c>
      <c r="BB127" s="29" t="s">
        <v>205</v>
      </c>
      <c r="BC127" s="29" t="s">
        <v>206</v>
      </c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16">
        <f t="shared" si="44"/>
        <v>21600</v>
      </c>
      <c r="BQ127" s="16">
        <f t="shared" si="45"/>
        <v>21600</v>
      </c>
      <c r="BR127" s="16">
        <f t="shared" si="46"/>
        <v>21600</v>
      </c>
      <c r="BS127" s="16">
        <f t="shared" si="42"/>
        <v>43200</v>
      </c>
      <c r="BT127" s="17">
        <f t="shared" si="43"/>
        <v>43200</v>
      </c>
      <c r="BU127" s="28">
        <f t="shared" si="30"/>
        <v>3600</v>
      </c>
      <c r="BV127" s="28">
        <f t="shared" si="31"/>
        <v>7200</v>
      </c>
      <c r="BW127" s="28">
        <f t="shared" si="32"/>
        <v>7200</v>
      </c>
    </row>
    <row r="128" spans="1:75" ht="17.399999999999999" x14ac:dyDescent="0.25">
      <c r="A128" s="69">
        <f t="shared" si="39"/>
        <v>127</v>
      </c>
      <c r="B128" s="73" t="s">
        <v>1940</v>
      </c>
      <c r="C128" s="71" t="s">
        <v>243</v>
      </c>
      <c r="D128" s="71" t="s">
        <v>1811</v>
      </c>
      <c r="E128" s="71" t="s">
        <v>978</v>
      </c>
      <c r="F128" s="71" t="s">
        <v>978</v>
      </c>
      <c r="G128" s="71" t="s">
        <v>1997</v>
      </c>
      <c r="H128" s="124"/>
      <c r="I128" s="71" t="e">
        <f>VLOOKUP(H128,[1]Sheet1!$C:$C,1,0)</f>
        <v>#N/A</v>
      </c>
      <c r="J128" s="71"/>
      <c r="K128" s="71"/>
      <c r="L128" s="73"/>
      <c r="M128" s="80"/>
      <c r="N128" s="72"/>
      <c r="O128" s="73"/>
      <c r="P128" s="71"/>
      <c r="Q128" s="71"/>
      <c r="R128" s="100">
        <v>0.255</v>
      </c>
      <c r="S128" s="75"/>
      <c r="T128" s="91"/>
      <c r="U128" s="76">
        <f t="shared" si="29"/>
        <v>2000000</v>
      </c>
      <c r="V128" s="80"/>
      <c r="W128" s="80"/>
      <c r="X128" s="80"/>
      <c r="Y128" s="72"/>
      <c r="Z128" s="72"/>
      <c r="AA128" s="72"/>
      <c r="AB128" s="72"/>
      <c r="AC128" s="72"/>
      <c r="AD128" s="77"/>
      <c r="AE128" s="75"/>
      <c r="AF128" s="75"/>
      <c r="AG128" s="123">
        <v>2000000</v>
      </c>
      <c r="AH128" s="75"/>
      <c r="AI128" s="75"/>
      <c r="AJ128" s="75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19"/>
      <c r="AX128" s="19"/>
      <c r="AY128" s="19" t="s">
        <v>261</v>
      </c>
      <c r="AZ128" s="19"/>
      <c r="BA128" s="19"/>
      <c r="BB128" s="19"/>
      <c r="BC128" s="19"/>
      <c r="BD128" s="19"/>
      <c r="BE128" s="19"/>
      <c r="BF128" s="19"/>
      <c r="BG128" s="24"/>
      <c r="BH128" s="19"/>
      <c r="BI128" s="25"/>
      <c r="BJ128" s="25"/>
      <c r="BK128" s="25"/>
      <c r="BL128" s="25"/>
      <c r="BM128" s="25"/>
      <c r="BN128" s="37"/>
      <c r="BO128" s="21"/>
      <c r="BP128" s="27"/>
      <c r="BQ128" s="27"/>
      <c r="BR128" s="27"/>
      <c r="BS128" s="27"/>
      <c r="BT128" s="28"/>
      <c r="BU128" s="28">
        <f t="shared" si="30"/>
        <v>0</v>
      </c>
      <c r="BV128" s="28">
        <f t="shared" si="31"/>
        <v>0</v>
      </c>
      <c r="BW128" s="28">
        <f t="shared" si="32"/>
        <v>510000</v>
      </c>
    </row>
    <row r="129" spans="1:75" ht="17.399999999999999" x14ac:dyDescent="0.25">
      <c r="A129" s="69">
        <f t="shared" si="39"/>
        <v>128</v>
      </c>
      <c r="B129" s="78" t="s">
        <v>208</v>
      </c>
      <c r="C129" s="78" t="s">
        <v>243</v>
      </c>
      <c r="D129" s="78" t="s">
        <v>107</v>
      </c>
      <c r="E129" s="78" t="s">
        <v>244</v>
      </c>
      <c r="F129" s="78" t="s">
        <v>399</v>
      </c>
      <c r="G129" s="78" t="s">
        <v>200</v>
      </c>
      <c r="H129" s="71" t="s">
        <v>405</v>
      </c>
      <c r="I129" s="71" t="str">
        <f>VLOOKUP(H129,[1]Sheet1!$C:$C,1,0)</f>
        <v>SC69401DC-SPI-Q-HD-4XCR-69401</v>
      </c>
      <c r="J129" s="78"/>
      <c r="K129" s="78"/>
      <c r="L129" s="78" t="s">
        <v>406</v>
      </c>
      <c r="M129" s="78">
        <v>100000</v>
      </c>
      <c r="N129" s="78" t="s">
        <v>373</v>
      </c>
      <c r="O129" s="78"/>
      <c r="P129" s="78"/>
      <c r="Q129" s="78"/>
      <c r="R129" s="100">
        <v>3.6</v>
      </c>
      <c r="S129" s="75">
        <f t="shared" ref="S129:S154" si="47">R129*U129</f>
        <v>14400</v>
      </c>
      <c r="T129" s="76">
        <v>84000</v>
      </c>
      <c r="U129" s="76">
        <f t="shared" si="29"/>
        <v>4000</v>
      </c>
      <c r="V129" s="72">
        <v>0</v>
      </c>
      <c r="W129" s="72">
        <v>0</v>
      </c>
      <c r="X129" s="72">
        <v>0</v>
      </c>
      <c r="Y129" s="72">
        <v>3000</v>
      </c>
      <c r="Z129" s="72">
        <v>0</v>
      </c>
      <c r="AA129" s="72">
        <v>0</v>
      </c>
      <c r="AB129" s="72">
        <v>3000</v>
      </c>
      <c r="AC129" s="72">
        <v>3000</v>
      </c>
      <c r="AD129" s="77">
        <v>0</v>
      </c>
      <c r="AE129" s="75"/>
      <c r="AF129" s="75">
        <v>0</v>
      </c>
      <c r="AG129" s="75">
        <v>4000</v>
      </c>
      <c r="AH129" s="75"/>
      <c r="AI129" s="75"/>
      <c r="AJ129" s="75">
        <v>0</v>
      </c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19" t="s">
        <v>61</v>
      </c>
      <c r="AY129" s="19" t="s">
        <v>371</v>
      </c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7">
        <f t="shared" ref="BP129:BP154" si="48">$R129*Z129</f>
        <v>0</v>
      </c>
      <c r="BQ129" s="27">
        <f t="shared" ref="BQ129:BQ154" si="49">$R129*AA129</f>
        <v>0</v>
      </c>
      <c r="BR129" s="27">
        <f t="shared" ref="BR129:BR154" si="50">$R129*AB129</f>
        <v>10800</v>
      </c>
      <c r="BS129" s="27">
        <f t="shared" ref="BS129:BS154" si="51">$R129*AC129</f>
        <v>10800</v>
      </c>
      <c r="BT129" s="28">
        <f t="shared" ref="BT129:BT154" si="52">$R129*AD129</f>
        <v>0</v>
      </c>
      <c r="BU129" s="28">
        <f t="shared" si="30"/>
        <v>0</v>
      </c>
      <c r="BV129" s="28">
        <f t="shared" si="31"/>
        <v>0</v>
      </c>
      <c r="BW129" s="28">
        <f t="shared" si="32"/>
        <v>14400</v>
      </c>
    </row>
    <row r="130" spans="1:75" ht="17.399999999999999" x14ac:dyDescent="0.25">
      <c r="A130" s="69">
        <f t="shared" si="39"/>
        <v>129</v>
      </c>
      <c r="B130" s="78" t="s">
        <v>209</v>
      </c>
      <c r="C130" s="78" t="s">
        <v>243</v>
      </c>
      <c r="D130" s="78" t="s">
        <v>107</v>
      </c>
      <c r="E130" s="78" t="s">
        <v>244</v>
      </c>
      <c r="F130" s="78" t="s">
        <v>399</v>
      </c>
      <c r="G130" s="78" t="s">
        <v>400</v>
      </c>
      <c r="H130" s="71" t="s">
        <v>401</v>
      </c>
      <c r="I130" s="71" t="str">
        <f>VLOOKUP(H130,[1]Sheet1!$C:$C,1,0)</f>
        <v>SC1134SO-N-Q-CI-00LR-1134</v>
      </c>
      <c r="J130" s="78"/>
      <c r="K130" s="78"/>
      <c r="L130" s="78" t="s">
        <v>402</v>
      </c>
      <c r="M130" s="78">
        <v>288000</v>
      </c>
      <c r="N130" s="78" t="s">
        <v>373</v>
      </c>
      <c r="O130" s="78"/>
      <c r="P130" s="78"/>
      <c r="Q130" s="78"/>
      <c r="R130" s="100">
        <v>0.4</v>
      </c>
      <c r="S130" s="75">
        <f t="shared" si="47"/>
        <v>36000</v>
      </c>
      <c r="T130" s="76">
        <v>84000</v>
      </c>
      <c r="U130" s="76">
        <f t="shared" ref="U130:U192" si="53">SUM(AE130:AG130)</f>
        <v>90000</v>
      </c>
      <c r="V130" s="72">
        <v>15000</v>
      </c>
      <c r="W130" s="72">
        <v>15000</v>
      </c>
      <c r="X130" s="72">
        <v>15000</v>
      </c>
      <c r="Y130" s="72"/>
      <c r="Z130" s="72">
        <v>30000</v>
      </c>
      <c r="AA130" s="72"/>
      <c r="AB130" s="72">
        <v>90000</v>
      </c>
      <c r="AC130" s="72"/>
      <c r="AD130" s="77"/>
      <c r="AE130" s="75">
        <v>60000</v>
      </c>
      <c r="AF130" s="75"/>
      <c r="AG130" s="75">
        <v>30000</v>
      </c>
      <c r="AH130" s="75"/>
      <c r="AI130" s="75"/>
      <c r="AJ130" s="75">
        <v>0</v>
      </c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10" t="s">
        <v>61</v>
      </c>
      <c r="AY130" s="19" t="s">
        <v>261</v>
      </c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16">
        <f t="shared" si="48"/>
        <v>12000</v>
      </c>
      <c r="BQ130" s="16">
        <f t="shared" si="49"/>
        <v>0</v>
      </c>
      <c r="BR130" s="16">
        <f t="shared" si="50"/>
        <v>36000</v>
      </c>
      <c r="BS130" s="16">
        <f t="shared" si="51"/>
        <v>0</v>
      </c>
      <c r="BT130" s="17">
        <f t="shared" si="52"/>
        <v>0</v>
      </c>
      <c r="BU130" s="28">
        <f t="shared" si="30"/>
        <v>24000</v>
      </c>
      <c r="BV130" s="28">
        <f t="shared" si="31"/>
        <v>0</v>
      </c>
      <c r="BW130" s="28">
        <f t="shared" si="32"/>
        <v>12000</v>
      </c>
    </row>
    <row r="131" spans="1:75" ht="17.399999999999999" x14ac:dyDescent="0.25">
      <c r="A131" s="69">
        <f t="shared" si="39"/>
        <v>130</v>
      </c>
      <c r="B131" s="78" t="s">
        <v>209</v>
      </c>
      <c r="C131" s="78" t="s">
        <v>243</v>
      </c>
      <c r="D131" s="78" t="s">
        <v>107</v>
      </c>
      <c r="E131" s="78" t="s">
        <v>244</v>
      </c>
      <c r="F131" s="78" t="s">
        <v>399</v>
      </c>
      <c r="G131" s="78" t="s">
        <v>195</v>
      </c>
      <c r="H131" s="71" t="s">
        <v>397</v>
      </c>
      <c r="I131" s="71" t="str">
        <f>VLOOKUP(H131,[1]Sheet1!$C:$C,1,0)</f>
        <v>SC2432SO-Q-CM-10CR-2432</v>
      </c>
      <c r="J131" s="78"/>
      <c r="K131" s="78"/>
      <c r="L131" s="78" t="s">
        <v>402</v>
      </c>
      <c r="M131" s="78">
        <v>288000</v>
      </c>
      <c r="N131" s="78" t="s">
        <v>373</v>
      </c>
      <c r="O131" s="78"/>
      <c r="P131" s="78"/>
      <c r="Q131" s="78"/>
      <c r="R131" s="100">
        <v>0.45</v>
      </c>
      <c r="S131" s="75">
        <f t="shared" si="47"/>
        <v>12150</v>
      </c>
      <c r="T131" s="76">
        <v>28800</v>
      </c>
      <c r="U131" s="76">
        <f t="shared" si="53"/>
        <v>27000</v>
      </c>
      <c r="V131" s="72">
        <v>9000</v>
      </c>
      <c r="W131" s="72">
        <v>9000</v>
      </c>
      <c r="X131" s="72">
        <v>9000</v>
      </c>
      <c r="Y131" s="72">
        <v>9000</v>
      </c>
      <c r="Z131" s="72">
        <v>9000</v>
      </c>
      <c r="AA131" s="72">
        <v>9000</v>
      </c>
      <c r="AB131" s="72">
        <v>9000</v>
      </c>
      <c r="AC131" s="72">
        <v>9000</v>
      </c>
      <c r="AD131" s="77">
        <v>9000</v>
      </c>
      <c r="AE131" s="75">
        <v>9000</v>
      </c>
      <c r="AF131" s="75">
        <v>9000</v>
      </c>
      <c r="AG131" s="75">
        <v>9000</v>
      </c>
      <c r="AH131" s="75">
        <v>9000</v>
      </c>
      <c r="AI131" s="75">
        <v>9000</v>
      </c>
      <c r="AJ131" s="75">
        <v>9000</v>
      </c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19" t="s">
        <v>61</v>
      </c>
      <c r="AY131" s="19" t="s">
        <v>261</v>
      </c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7">
        <f t="shared" si="48"/>
        <v>4050</v>
      </c>
      <c r="BQ131" s="27">
        <f t="shared" si="49"/>
        <v>4050</v>
      </c>
      <c r="BR131" s="27">
        <f t="shared" si="50"/>
        <v>4050</v>
      </c>
      <c r="BS131" s="27">
        <f t="shared" si="51"/>
        <v>4050</v>
      </c>
      <c r="BT131" s="28">
        <f t="shared" si="52"/>
        <v>4050</v>
      </c>
      <c r="BU131" s="28">
        <f t="shared" si="30"/>
        <v>4050</v>
      </c>
      <c r="BV131" s="28">
        <f t="shared" si="31"/>
        <v>4050</v>
      </c>
      <c r="BW131" s="28">
        <f t="shared" si="32"/>
        <v>4050</v>
      </c>
    </row>
    <row r="132" spans="1:75" ht="17.399999999999999" x14ac:dyDescent="0.25">
      <c r="A132" s="69">
        <f t="shared" si="39"/>
        <v>131</v>
      </c>
      <c r="B132" s="78" t="s">
        <v>209</v>
      </c>
      <c r="C132" s="78" t="s">
        <v>243</v>
      </c>
      <c r="D132" s="78" t="s">
        <v>107</v>
      </c>
      <c r="E132" s="78" t="s">
        <v>244</v>
      </c>
      <c r="F132" s="78" t="s">
        <v>399</v>
      </c>
      <c r="G132" s="78" t="s">
        <v>407</v>
      </c>
      <c r="H132" s="71" t="s">
        <v>408</v>
      </c>
      <c r="I132" s="71" t="str">
        <f>VLOOKUP(H132,[1]Sheet1!$C:$C,1,0)</f>
        <v>SC2438SO-Q-CM-10CR-2438</v>
      </c>
      <c r="J132" s="78"/>
      <c r="K132" s="78"/>
      <c r="L132" s="78" t="s">
        <v>402</v>
      </c>
      <c r="M132" s="78">
        <v>288000</v>
      </c>
      <c r="N132" s="78" t="s">
        <v>373</v>
      </c>
      <c r="O132" s="78"/>
      <c r="P132" s="78"/>
      <c r="Q132" s="78"/>
      <c r="R132" s="100">
        <v>0.46329999999999999</v>
      </c>
      <c r="S132" s="75">
        <f t="shared" si="47"/>
        <v>15288.9</v>
      </c>
      <c r="T132" s="76">
        <v>22800</v>
      </c>
      <c r="U132" s="76">
        <f t="shared" si="53"/>
        <v>33000</v>
      </c>
      <c r="V132" s="72"/>
      <c r="W132" s="72"/>
      <c r="X132" s="72">
        <v>30000</v>
      </c>
      <c r="Y132" s="72"/>
      <c r="Z132" s="72">
        <v>15000</v>
      </c>
      <c r="AA132" s="72"/>
      <c r="AB132" s="72"/>
      <c r="AC132" s="72">
        <v>9000</v>
      </c>
      <c r="AD132" s="77"/>
      <c r="AE132" s="75">
        <v>9000</v>
      </c>
      <c r="AF132" s="75">
        <v>15000</v>
      </c>
      <c r="AG132" s="75">
        <v>9000</v>
      </c>
      <c r="AH132" s="75">
        <v>0</v>
      </c>
      <c r="AI132" s="75">
        <v>9000</v>
      </c>
      <c r="AJ132" s="75">
        <v>9000</v>
      </c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10" t="s">
        <v>61</v>
      </c>
      <c r="AY132" s="19" t="s">
        <v>261</v>
      </c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16">
        <f t="shared" si="48"/>
        <v>6949.5</v>
      </c>
      <c r="BQ132" s="16">
        <f t="shared" si="49"/>
        <v>0</v>
      </c>
      <c r="BR132" s="16">
        <f t="shared" si="50"/>
        <v>0</v>
      </c>
      <c r="BS132" s="16">
        <f t="shared" si="51"/>
        <v>4169.7</v>
      </c>
      <c r="BT132" s="17">
        <f t="shared" si="52"/>
        <v>0</v>
      </c>
      <c r="BU132" s="28">
        <f t="shared" ref="BU132:BU163" si="54">$R132*AE132</f>
        <v>4169.7</v>
      </c>
      <c r="BV132" s="28">
        <f t="shared" ref="BV132:BV163" si="55">$R132*AF132</f>
        <v>6949.5</v>
      </c>
      <c r="BW132" s="28">
        <f t="shared" ref="BW132:BW163" si="56">$R132*AG132</f>
        <v>4169.7</v>
      </c>
    </row>
    <row r="133" spans="1:75" ht="17.399999999999999" x14ac:dyDescent="0.25">
      <c r="A133" s="69">
        <f t="shared" si="39"/>
        <v>132</v>
      </c>
      <c r="B133" s="78" t="s">
        <v>210</v>
      </c>
      <c r="C133" s="78" t="s">
        <v>235</v>
      </c>
      <c r="D133" s="78" t="s">
        <v>211</v>
      </c>
      <c r="E133" s="78" t="s">
        <v>244</v>
      </c>
      <c r="F133" s="78" t="s">
        <v>409</v>
      </c>
      <c r="G133" s="78" t="s">
        <v>194</v>
      </c>
      <c r="H133" s="71" t="s">
        <v>394</v>
      </c>
      <c r="I133" s="71" t="str">
        <f>VLOOKUP(H133,[1]Sheet1!$C:$C,1,0)</f>
        <v>SC2462SO-Q-CJ-10CR-2462</v>
      </c>
      <c r="J133" s="78"/>
      <c r="K133" s="78"/>
      <c r="L133" s="78" t="s">
        <v>410</v>
      </c>
      <c r="M133" s="78">
        <v>100000</v>
      </c>
      <c r="N133" s="78" t="s">
        <v>373</v>
      </c>
      <c r="O133" s="78"/>
      <c r="P133" s="78"/>
      <c r="Q133" s="78"/>
      <c r="R133" s="100">
        <v>0.38872000000000001</v>
      </c>
      <c r="S133" s="75">
        <f t="shared" si="47"/>
        <v>69969.600000000006</v>
      </c>
      <c r="T133" s="76">
        <v>187200</v>
      </c>
      <c r="U133" s="76">
        <f t="shared" si="53"/>
        <v>180000</v>
      </c>
      <c r="V133" s="72">
        <v>60000</v>
      </c>
      <c r="W133" s="72">
        <v>60000</v>
      </c>
      <c r="X133" s="72"/>
      <c r="Y133" s="72"/>
      <c r="Z133" s="72">
        <v>60000</v>
      </c>
      <c r="AA133" s="72">
        <v>60000</v>
      </c>
      <c r="AB133" s="72">
        <v>60000</v>
      </c>
      <c r="AC133" s="72">
        <v>60000</v>
      </c>
      <c r="AD133" s="77">
        <v>60000</v>
      </c>
      <c r="AE133" s="75">
        <v>60000</v>
      </c>
      <c r="AF133" s="75">
        <v>60000</v>
      </c>
      <c r="AG133" s="75">
        <v>60000</v>
      </c>
      <c r="AH133" s="75"/>
      <c r="AI133" s="75"/>
      <c r="AJ133" s="75">
        <v>0</v>
      </c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19" t="s">
        <v>61</v>
      </c>
      <c r="AY133" s="19" t="s">
        <v>261</v>
      </c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7">
        <f t="shared" si="48"/>
        <v>23323.200000000001</v>
      </c>
      <c r="BQ133" s="27">
        <f t="shared" si="49"/>
        <v>23323.200000000001</v>
      </c>
      <c r="BR133" s="27">
        <f t="shared" si="50"/>
        <v>23323.200000000001</v>
      </c>
      <c r="BS133" s="27">
        <f t="shared" si="51"/>
        <v>23323.200000000001</v>
      </c>
      <c r="BT133" s="28">
        <f t="shared" si="52"/>
        <v>23323.200000000001</v>
      </c>
      <c r="BU133" s="28">
        <f t="shared" si="54"/>
        <v>23323.200000000001</v>
      </c>
      <c r="BV133" s="28">
        <f t="shared" si="55"/>
        <v>23323.200000000001</v>
      </c>
      <c r="BW133" s="28">
        <f t="shared" si="56"/>
        <v>23323.200000000001</v>
      </c>
    </row>
    <row r="134" spans="1:75" ht="17.399999999999999" x14ac:dyDescent="0.25">
      <c r="A134" s="69">
        <f t="shared" si="39"/>
        <v>133</v>
      </c>
      <c r="B134" s="78" t="s">
        <v>212</v>
      </c>
      <c r="C134" s="78" t="s">
        <v>243</v>
      </c>
      <c r="D134" s="78" t="s">
        <v>411</v>
      </c>
      <c r="E134" s="78" t="s">
        <v>244</v>
      </c>
      <c r="F134" s="78" t="s">
        <v>412</v>
      </c>
      <c r="G134" s="78" t="s">
        <v>413</v>
      </c>
      <c r="H134" s="71" t="s">
        <v>414</v>
      </c>
      <c r="I134" s="71" t="str">
        <f>VLOOKUP(H134,[1]Sheet1!$C:$C,1,0)</f>
        <v>SC4019S7-CC-90AK-49E</v>
      </c>
      <c r="J134" s="78"/>
      <c r="K134" s="78"/>
      <c r="L134" s="78" t="s">
        <v>415</v>
      </c>
      <c r="M134" s="78">
        <v>5000000</v>
      </c>
      <c r="N134" s="78" t="s">
        <v>251</v>
      </c>
      <c r="O134" s="78"/>
      <c r="P134" s="78"/>
      <c r="Q134" s="78"/>
      <c r="R134" s="100">
        <v>0.14000000000000001</v>
      </c>
      <c r="S134" s="75">
        <f t="shared" si="47"/>
        <v>28000.000000000004</v>
      </c>
      <c r="T134" s="76">
        <v>210000.00000000003</v>
      </c>
      <c r="U134" s="76">
        <f t="shared" si="53"/>
        <v>200000</v>
      </c>
      <c r="V134" s="72"/>
      <c r="W134" s="72">
        <v>0</v>
      </c>
      <c r="X134" s="72">
        <v>0</v>
      </c>
      <c r="Y134" s="72">
        <v>5000</v>
      </c>
      <c r="Z134" s="72">
        <v>100000</v>
      </c>
      <c r="AA134" s="72">
        <v>200000</v>
      </c>
      <c r="AB134" s="72">
        <v>0</v>
      </c>
      <c r="AC134" s="72">
        <v>0</v>
      </c>
      <c r="AD134" s="77">
        <v>0</v>
      </c>
      <c r="AE134" s="75"/>
      <c r="AF134" s="75"/>
      <c r="AG134" s="75">
        <v>200000</v>
      </c>
      <c r="AH134" s="75"/>
      <c r="AI134" s="75"/>
      <c r="AJ134" s="75">
        <v>0</v>
      </c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10" t="s">
        <v>61</v>
      </c>
      <c r="AY134" s="19" t="s">
        <v>261</v>
      </c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16">
        <f t="shared" si="48"/>
        <v>14000.000000000002</v>
      </c>
      <c r="BQ134" s="16">
        <f t="shared" si="49"/>
        <v>28000.000000000004</v>
      </c>
      <c r="BR134" s="16">
        <f t="shared" si="50"/>
        <v>0</v>
      </c>
      <c r="BS134" s="16">
        <f t="shared" si="51"/>
        <v>0</v>
      </c>
      <c r="BT134" s="17">
        <f t="shared" si="52"/>
        <v>0</v>
      </c>
      <c r="BU134" s="28">
        <f t="shared" si="54"/>
        <v>0</v>
      </c>
      <c r="BV134" s="28">
        <f t="shared" si="55"/>
        <v>0</v>
      </c>
      <c r="BW134" s="28">
        <f t="shared" si="56"/>
        <v>28000.000000000004</v>
      </c>
    </row>
    <row r="135" spans="1:75" ht="17.399999999999999" x14ac:dyDescent="0.25">
      <c r="A135" s="69">
        <f t="shared" si="39"/>
        <v>134</v>
      </c>
      <c r="B135" s="78" t="s">
        <v>416</v>
      </c>
      <c r="C135" s="78" t="s">
        <v>290</v>
      </c>
      <c r="D135" s="78" t="s">
        <v>417</v>
      </c>
      <c r="E135" s="78" t="s">
        <v>244</v>
      </c>
      <c r="F135" s="78" t="s">
        <v>418</v>
      </c>
      <c r="G135" s="78" t="s">
        <v>216</v>
      </c>
      <c r="H135" s="71" t="s">
        <v>419</v>
      </c>
      <c r="I135" s="71" t="str">
        <f>VLOOKUP(H135,[1]Sheet1!$C:$C,1,0)</f>
        <v>SC4643VB-S-Q-DE-40CK-4643</v>
      </c>
      <c r="J135" s="78"/>
      <c r="K135" s="78"/>
      <c r="L135" s="78" t="s">
        <v>372</v>
      </c>
      <c r="M135" s="78">
        <v>500000</v>
      </c>
      <c r="N135" s="78" t="s">
        <v>367</v>
      </c>
      <c r="O135" s="78"/>
      <c r="P135" s="78"/>
      <c r="Q135" s="78"/>
      <c r="R135" s="100">
        <v>2.0966999999999998</v>
      </c>
      <c r="S135" s="75">
        <f t="shared" si="47"/>
        <v>138382.19999999998</v>
      </c>
      <c r="T135" s="76">
        <v>857656</v>
      </c>
      <c r="U135" s="76">
        <f t="shared" si="53"/>
        <v>66000</v>
      </c>
      <c r="V135" s="72"/>
      <c r="W135" s="72"/>
      <c r="X135" s="72">
        <v>1850</v>
      </c>
      <c r="Y135" s="72">
        <v>3200</v>
      </c>
      <c r="Z135" s="72">
        <v>4000</v>
      </c>
      <c r="AA135" s="72">
        <v>6000</v>
      </c>
      <c r="AB135" s="72">
        <v>11000</v>
      </c>
      <c r="AC135" s="72">
        <v>7000</v>
      </c>
      <c r="AD135" s="77">
        <v>27000</v>
      </c>
      <c r="AE135" s="75">
        <v>18000</v>
      </c>
      <c r="AF135" s="75">
        <v>24000</v>
      </c>
      <c r="AG135" s="75">
        <v>24000</v>
      </c>
      <c r="AH135" s="75">
        <v>24000</v>
      </c>
      <c r="AI135" s="75">
        <v>24000</v>
      </c>
      <c r="AJ135" s="75">
        <v>24000</v>
      </c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19" t="s">
        <v>61</v>
      </c>
      <c r="AY135" s="19" t="s">
        <v>247</v>
      </c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7">
        <f t="shared" si="48"/>
        <v>8386.7999999999993</v>
      </c>
      <c r="BQ135" s="27">
        <f t="shared" si="49"/>
        <v>12580.199999999999</v>
      </c>
      <c r="BR135" s="27">
        <f t="shared" si="50"/>
        <v>23063.699999999997</v>
      </c>
      <c r="BS135" s="27">
        <f t="shared" si="51"/>
        <v>14676.899999999998</v>
      </c>
      <c r="BT135" s="28">
        <f t="shared" si="52"/>
        <v>56610.899999999994</v>
      </c>
      <c r="BU135" s="28">
        <f t="shared" si="54"/>
        <v>37740.6</v>
      </c>
      <c r="BV135" s="28">
        <f t="shared" si="55"/>
        <v>50320.799999999996</v>
      </c>
      <c r="BW135" s="28">
        <f t="shared" si="56"/>
        <v>50320.799999999996</v>
      </c>
    </row>
    <row r="136" spans="1:75" ht="17.399999999999999" x14ac:dyDescent="0.25">
      <c r="A136" s="69">
        <f t="shared" si="39"/>
        <v>135</v>
      </c>
      <c r="B136" s="78" t="s">
        <v>416</v>
      </c>
      <c r="C136" s="78" t="s">
        <v>290</v>
      </c>
      <c r="D136" s="78" t="s">
        <v>417</v>
      </c>
      <c r="E136" s="78" t="s">
        <v>244</v>
      </c>
      <c r="F136" s="78" t="s">
        <v>418</v>
      </c>
      <c r="G136" s="78" t="s">
        <v>214</v>
      </c>
      <c r="H136" s="71" t="s">
        <v>420</v>
      </c>
      <c r="I136" s="71" t="str">
        <f>VLOOKUP(H136,[1]Sheet1!$C:$C,1,0)</f>
        <v>SC4643VB-P-Q-DE-40CK-4643</v>
      </c>
      <c r="J136" s="78"/>
      <c r="K136" s="78"/>
      <c r="L136" s="78" t="s">
        <v>372</v>
      </c>
      <c r="M136" s="78">
        <v>5000000</v>
      </c>
      <c r="N136" s="78" t="s">
        <v>373</v>
      </c>
      <c r="O136" s="78"/>
      <c r="P136" s="78"/>
      <c r="Q136" s="78"/>
      <c r="R136" s="100">
        <v>1.8878999999999999</v>
      </c>
      <c r="S136" s="75">
        <f t="shared" si="47"/>
        <v>200874.4479</v>
      </c>
      <c r="T136" s="76">
        <v>4162335.0399999996</v>
      </c>
      <c r="U136" s="76">
        <f t="shared" si="53"/>
        <v>106401</v>
      </c>
      <c r="V136" s="72"/>
      <c r="W136" s="72">
        <v>3000</v>
      </c>
      <c r="X136" s="72">
        <v>3000</v>
      </c>
      <c r="Y136" s="72">
        <v>2000</v>
      </c>
      <c r="Z136" s="72">
        <v>2000</v>
      </c>
      <c r="AA136" s="72">
        <v>20000</v>
      </c>
      <c r="AB136" s="72">
        <v>50000</v>
      </c>
      <c r="AC136" s="72">
        <v>20000</v>
      </c>
      <c r="AD136" s="77">
        <v>58400</v>
      </c>
      <c r="AE136" s="75">
        <v>32200</v>
      </c>
      <c r="AF136" s="75">
        <v>32201</v>
      </c>
      <c r="AG136" s="75">
        <v>42000</v>
      </c>
      <c r="AH136" s="75">
        <v>64400</v>
      </c>
      <c r="AI136" s="75">
        <v>64400</v>
      </c>
      <c r="AJ136" s="75">
        <v>64400</v>
      </c>
      <c r="AK136" s="11"/>
      <c r="AL136" s="11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10" t="s">
        <v>61</v>
      </c>
      <c r="AY136" s="19" t="s">
        <v>247</v>
      </c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16">
        <f t="shared" si="48"/>
        <v>3775.7999999999997</v>
      </c>
      <c r="BQ136" s="16">
        <f t="shared" si="49"/>
        <v>37758</v>
      </c>
      <c r="BR136" s="16">
        <f t="shared" si="50"/>
        <v>94395</v>
      </c>
      <c r="BS136" s="16">
        <f t="shared" si="51"/>
        <v>37758</v>
      </c>
      <c r="BT136" s="17">
        <f t="shared" si="52"/>
        <v>110253.36</v>
      </c>
      <c r="BU136" s="28">
        <f t="shared" si="54"/>
        <v>60790.38</v>
      </c>
      <c r="BV136" s="28">
        <f t="shared" si="55"/>
        <v>60792.267899999999</v>
      </c>
      <c r="BW136" s="28">
        <f t="shared" si="56"/>
        <v>79291.8</v>
      </c>
    </row>
    <row r="137" spans="1:75" ht="17.399999999999999" x14ac:dyDescent="0.25">
      <c r="A137" s="69">
        <f t="shared" si="39"/>
        <v>136</v>
      </c>
      <c r="B137" s="70" t="s">
        <v>421</v>
      </c>
      <c r="C137" s="78" t="s">
        <v>243</v>
      </c>
      <c r="D137" s="71" t="s">
        <v>422</v>
      </c>
      <c r="E137" s="71" t="s">
        <v>58</v>
      </c>
      <c r="F137" s="78" t="s">
        <v>418</v>
      </c>
      <c r="G137" s="78" t="s">
        <v>423</v>
      </c>
      <c r="H137" s="71" t="s">
        <v>420</v>
      </c>
      <c r="I137" s="71" t="str">
        <f>VLOOKUP(H137,[1]Sheet1!$C:$C,1,0)</f>
        <v>SC4643VB-P-Q-DE-40CK-4643</v>
      </c>
      <c r="J137" s="78"/>
      <c r="K137" s="78"/>
      <c r="L137" s="71" t="s">
        <v>424</v>
      </c>
      <c r="M137" s="72"/>
      <c r="N137" s="71" t="s">
        <v>425</v>
      </c>
      <c r="O137" s="73" t="s">
        <v>215</v>
      </c>
      <c r="P137" s="70"/>
      <c r="Q137" s="83"/>
      <c r="R137" s="100">
        <v>1.8878999999999999</v>
      </c>
      <c r="S137" s="75">
        <f t="shared" si="47"/>
        <v>5663.7</v>
      </c>
      <c r="T137" s="76">
        <v>0</v>
      </c>
      <c r="U137" s="76">
        <f t="shared" si="53"/>
        <v>3000</v>
      </c>
      <c r="V137" s="72"/>
      <c r="W137" s="72"/>
      <c r="X137" s="72"/>
      <c r="Y137" s="72"/>
      <c r="Z137" s="72"/>
      <c r="AA137" s="72"/>
      <c r="AB137" s="72"/>
      <c r="AC137" s="72"/>
      <c r="AD137" s="77"/>
      <c r="AE137" s="75"/>
      <c r="AF137" s="75"/>
      <c r="AG137" s="75">
        <v>3000</v>
      </c>
      <c r="AH137" s="75"/>
      <c r="AI137" s="75">
        <v>5000</v>
      </c>
      <c r="AJ137" s="75">
        <v>5000</v>
      </c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19"/>
      <c r="AX137" s="19" t="s">
        <v>61</v>
      </c>
      <c r="AY137" s="19" t="s">
        <v>247</v>
      </c>
      <c r="AZ137" s="19"/>
      <c r="BA137" s="19"/>
      <c r="BB137" s="19"/>
      <c r="BC137" s="19"/>
      <c r="BD137" s="19"/>
      <c r="BE137" s="19"/>
      <c r="BF137" s="19"/>
      <c r="BG137" s="24"/>
      <c r="BH137" s="25"/>
      <c r="BI137" s="25"/>
      <c r="BJ137" s="25"/>
      <c r="BK137" s="25"/>
      <c r="BL137" s="25"/>
      <c r="BM137" s="25"/>
      <c r="BN137" s="40"/>
      <c r="BO137" s="18"/>
      <c r="BP137" s="27">
        <f t="shared" si="48"/>
        <v>0</v>
      </c>
      <c r="BQ137" s="27">
        <f t="shared" si="49"/>
        <v>0</v>
      </c>
      <c r="BR137" s="27">
        <f t="shared" si="50"/>
        <v>0</v>
      </c>
      <c r="BS137" s="27">
        <f t="shared" si="51"/>
        <v>0</v>
      </c>
      <c r="BT137" s="28">
        <f t="shared" si="52"/>
        <v>0</v>
      </c>
      <c r="BU137" s="28">
        <f t="shared" si="54"/>
        <v>0</v>
      </c>
      <c r="BV137" s="28">
        <f t="shared" si="55"/>
        <v>0</v>
      </c>
      <c r="BW137" s="28">
        <f t="shared" si="56"/>
        <v>5663.7</v>
      </c>
    </row>
    <row r="138" spans="1:75" ht="17.399999999999999" x14ac:dyDescent="0.25">
      <c r="A138" s="69">
        <f t="shared" si="39"/>
        <v>137</v>
      </c>
      <c r="B138" s="70" t="s">
        <v>421</v>
      </c>
      <c r="C138" s="78" t="s">
        <v>243</v>
      </c>
      <c r="D138" s="71" t="s">
        <v>422</v>
      </c>
      <c r="E138" s="71" t="s">
        <v>58</v>
      </c>
      <c r="F138" s="78" t="s">
        <v>418</v>
      </c>
      <c r="G138" s="78" t="s">
        <v>426</v>
      </c>
      <c r="H138" s="71" t="s">
        <v>419</v>
      </c>
      <c r="I138" s="71" t="str">
        <f>VLOOKUP(H138,[1]Sheet1!$C:$C,1,0)</f>
        <v>SC4643VB-S-Q-DE-40CK-4643</v>
      </c>
      <c r="J138" s="78"/>
      <c r="K138" s="78"/>
      <c r="L138" s="71" t="s">
        <v>424</v>
      </c>
      <c r="M138" s="72"/>
      <c r="N138" s="71" t="s">
        <v>425</v>
      </c>
      <c r="O138" s="73" t="s">
        <v>215</v>
      </c>
      <c r="P138" s="70"/>
      <c r="Q138" s="83"/>
      <c r="R138" s="100">
        <v>2.0966999999999998</v>
      </c>
      <c r="S138" s="75">
        <f t="shared" si="47"/>
        <v>0</v>
      </c>
      <c r="T138" s="76">
        <v>0</v>
      </c>
      <c r="U138" s="76">
        <f t="shared" si="53"/>
        <v>0</v>
      </c>
      <c r="V138" s="72"/>
      <c r="W138" s="72"/>
      <c r="X138" s="72"/>
      <c r="Y138" s="72"/>
      <c r="Z138" s="72"/>
      <c r="AA138" s="72"/>
      <c r="AB138" s="72"/>
      <c r="AC138" s="72"/>
      <c r="AD138" s="77"/>
      <c r="AE138" s="75"/>
      <c r="AF138" s="75"/>
      <c r="AG138" s="75"/>
      <c r="AH138" s="75"/>
      <c r="AI138" s="75"/>
      <c r="AJ138" s="75">
        <v>0</v>
      </c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0"/>
      <c r="AX138" s="10" t="s">
        <v>61</v>
      </c>
      <c r="AY138" s="19" t="s">
        <v>247</v>
      </c>
      <c r="AZ138" s="10"/>
      <c r="BA138" s="10"/>
      <c r="BB138" s="10"/>
      <c r="BC138" s="10"/>
      <c r="BD138" s="10"/>
      <c r="BE138" s="10"/>
      <c r="BF138" s="10"/>
      <c r="BG138" s="13"/>
      <c r="BH138" s="14"/>
      <c r="BI138" s="14"/>
      <c r="BJ138" s="14"/>
      <c r="BK138" s="14"/>
      <c r="BL138" s="14"/>
      <c r="BM138" s="14"/>
      <c r="BN138" s="41"/>
      <c r="BO138" s="9"/>
      <c r="BP138" s="16">
        <f t="shared" si="48"/>
        <v>0</v>
      </c>
      <c r="BQ138" s="16">
        <f t="shared" si="49"/>
        <v>0</v>
      </c>
      <c r="BR138" s="16">
        <f t="shared" si="50"/>
        <v>0</v>
      </c>
      <c r="BS138" s="16">
        <f t="shared" si="51"/>
        <v>0</v>
      </c>
      <c r="BT138" s="17">
        <f t="shared" si="52"/>
        <v>0</v>
      </c>
      <c r="BU138" s="28">
        <f t="shared" si="54"/>
        <v>0</v>
      </c>
      <c r="BV138" s="28">
        <f t="shared" si="55"/>
        <v>0</v>
      </c>
      <c r="BW138" s="28">
        <f t="shared" si="56"/>
        <v>0</v>
      </c>
    </row>
    <row r="139" spans="1:75" ht="17.399999999999999" x14ac:dyDescent="0.25">
      <c r="A139" s="69">
        <f t="shared" si="39"/>
        <v>138</v>
      </c>
      <c r="B139" s="70" t="s">
        <v>427</v>
      </c>
      <c r="C139" s="78" t="s">
        <v>243</v>
      </c>
      <c r="D139" s="71" t="s">
        <v>422</v>
      </c>
      <c r="E139" s="71" t="s">
        <v>58</v>
      </c>
      <c r="F139" s="78" t="s">
        <v>418</v>
      </c>
      <c r="G139" s="71" t="s">
        <v>255</v>
      </c>
      <c r="H139" s="71" t="s">
        <v>256</v>
      </c>
      <c r="I139" s="71" t="str">
        <f>VLOOKUP(H139,[1]Sheet1!$C:$C,1,0)</f>
        <v>SC69401DC-Q-HD-4XCR-69401</v>
      </c>
      <c r="J139" s="71"/>
      <c r="K139" s="71"/>
      <c r="L139" s="71" t="s">
        <v>428</v>
      </c>
      <c r="M139" s="72"/>
      <c r="N139" s="71" t="s">
        <v>429</v>
      </c>
      <c r="O139" s="73" t="s">
        <v>215</v>
      </c>
      <c r="P139" s="71"/>
      <c r="Q139" s="74"/>
      <c r="R139" s="100"/>
      <c r="S139" s="75">
        <f t="shared" si="47"/>
        <v>0</v>
      </c>
      <c r="T139" s="76">
        <v>0</v>
      </c>
      <c r="U139" s="76">
        <f t="shared" si="53"/>
        <v>0</v>
      </c>
      <c r="V139" s="72"/>
      <c r="W139" s="72"/>
      <c r="X139" s="72"/>
      <c r="Y139" s="72"/>
      <c r="Z139" s="72"/>
      <c r="AA139" s="72"/>
      <c r="AB139" s="72"/>
      <c r="AC139" s="72"/>
      <c r="AD139" s="77"/>
      <c r="AE139" s="75"/>
      <c r="AF139" s="75"/>
      <c r="AG139" s="75"/>
      <c r="AH139" s="75">
        <v>0</v>
      </c>
      <c r="AI139" s="75"/>
      <c r="AJ139" s="75">
        <v>0</v>
      </c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19"/>
      <c r="AX139" s="19" t="s">
        <v>61</v>
      </c>
      <c r="AY139" s="19" t="s">
        <v>371</v>
      </c>
      <c r="AZ139" s="18"/>
      <c r="BA139" s="19"/>
      <c r="BB139" s="19"/>
      <c r="BC139" s="19"/>
      <c r="BD139" s="19"/>
      <c r="BE139" s="19"/>
      <c r="BF139" s="19"/>
      <c r="BG139" s="24"/>
      <c r="BH139" s="25"/>
      <c r="BI139" s="25"/>
      <c r="BJ139" s="25"/>
      <c r="BK139" s="25"/>
      <c r="BL139" s="25"/>
      <c r="BM139" s="25"/>
      <c r="BN139" s="26"/>
      <c r="BO139" s="18"/>
      <c r="BP139" s="27">
        <f t="shared" si="48"/>
        <v>0</v>
      </c>
      <c r="BQ139" s="27">
        <f t="shared" si="49"/>
        <v>0</v>
      </c>
      <c r="BR139" s="27">
        <f t="shared" si="50"/>
        <v>0</v>
      </c>
      <c r="BS139" s="27">
        <f t="shared" si="51"/>
        <v>0</v>
      </c>
      <c r="BT139" s="28">
        <f t="shared" si="52"/>
        <v>0</v>
      </c>
      <c r="BU139" s="28">
        <f t="shared" si="54"/>
        <v>0</v>
      </c>
      <c r="BV139" s="28">
        <f t="shared" si="55"/>
        <v>0</v>
      </c>
      <c r="BW139" s="28">
        <f t="shared" si="56"/>
        <v>0</v>
      </c>
    </row>
    <row r="140" spans="1:75" ht="17.399999999999999" x14ac:dyDescent="0.25">
      <c r="A140" s="69">
        <f t="shared" si="39"/>
        <v>139</v>
      </c>
      <c r="B140" s="71" t="s">
        <v>430</v>
      </c>
      <c r="C140" s="78" t="s">
        <v>243</v>
      </c>
      <c r="D140" s="71" t="s">
        <v>431</v>
      </c>
      <c r="E140" s="71" t="s">
        <v>58</v>
      </c>
      <c r="F140" s="71" t="s">
        <v>432</v>
      </c>
      <c r="G140" s="71" t="s">
        <v>75</v>
      </c>
      <c r="H140" s="71" t="s">
        <v>256</v>
      </c>
      <c r="I140" s="71" t="str">
        <f>VLOOKUP(H140,[1]Sheet1!$C:$C,1,0)</f>
        <v>SC69401DC-Q-HD-4XCR-69401</v>
      </c>
      <c r="J140" s="71"/>
      <c r="K140" s="71"/>
      <c r="L140" s="71" t="s">
        <v>433</v>
      </c>
      <c r="M140" s="72">
        <v>500000</v>
      </c>
      <c r="N140" s="71" t="s">
        <v>49</v>
      </c>
      <c r="O140" s="71"/>
      <c r="P140" s="71"/>
      <c r="Q140" s="70">
        <v>90371</v>
      </c>
      <c r="R140" s="100">
        <v>7</v>
      </c>
      <c r="S140" s="75">
        <f t="shared" si="47"/>
        <v>0</v>
      </c>
      <c r="T140" s="76">
        <v>245000</v>
      </c>
      <c r="U140" s="76">
        <f t="shared" si="53"/>
        <v>0</v>
      </c>
      <c r="V140" s="72"/>
      <c r="W140" s="72"/>
      <c r="X140" s="72"/>
      <c r="Y140" s="72"/>
      <c r="Z140" s="72"/>
      <c r="AA140" s="72">
        <v>0</v>
      </c>
      <c r="AB140" s="72">
        <v>0</v>
      </c>
      <c r="AC140" s="72"/>
      <c r="AD140" s="77"/>
      <c r="AE140" s="75"/>
      <c r="AF140" s="75"/>
      <c r="AG140" s="75"/>
      <c r="AH140" s="75">
        <v>0</v>
      </c>
      <c r="AI140" s="75"/>
      <c r="AJ140" s="75">
        <v>0</v>
      </c>
      <c r="AK140" s="12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0" t="s">
        <v>61</v>
      </c>
      <c r="AY140" s="19" t="s">
        <v>371</v>
      </c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>
        <f t="shared" si="48"/>
        <v>0</v>
      </c>
      <c r="BQ140" s="16">
        <f t="shared" si="49"/>
        <v>0</v>
      </c>
      <c r="BR140" s="16">
        <f t="shared" si="50"/>
        <v>0</v>
      </c>
      <c r="BS140" s="16">
        <f t="shared" si="51"/>
        <v>0</v>
      </c>
      <c r="BT140" s="17">
        <f t="shared" si="52"/>
        <v>0</v>
      </c>
      <c r="BU140" s="28">
        <f t="shared" si="54"/>
        <v>0</v>
      </c>
      <c r="BV140" s="28">
        <f t="shared" si="55"/>
        <v>0</v>
      </c>
      <c r="BW140" s="28">
        <f t="shared" si="56"/>
        <v>0</v>
      </c>
    </row>
    <row r="141" spans="1:75" ht="17.399999999999999" x14ac:dyDescent="0.25">
      <c r="A141" s="69">
        <f t="shared" si="39"/>
        <v>140</v>
      </c>
      <c r="B141" s="71" t="s">
        <v>430</v>
      </c>
      <c r="C141" s="78" t="s">
        <v>243</v>
      </c>
      <c r="D141" s="71" t="s">
        <v>219</v>
      </c>
      <c r="E141" s="71" t="s">
        <v>58</v>
      </c>
      <c r="F141" s="71" t="s">
        <v>432</v>
      </c>
      <c r="G141" s="71" t="s">
        <v>434</v>
      </c>
      <c r="H141" s="71" t="s">
        <v>435</v>
      </c>
      <c r="I141" s="71" t="str">
        <f>VLOOKUP(H141,[1]Sheet1!$C:$C,1,0)</f>
        <v>SC4688SA-Q-DC-40CK-4688</v>
      </c>
      <c r="J141" s="71"/>
      <c r="K141" s="71"/>
      <c r="L141" s="71" t="s">
        <v>436</v>
      </c>
      <c r="M141" s="72">
        <v>300000</v>
      </c>
      <c r="N141" s="71" t="s">
        <v>49</v>
      </c>
      <c r="O141" s="71"/>
      <c r="P141" s="71"/>
      <c r="Q141" s="70">
        <v>90371</v>
      </c>
      <c r="R141" s="100">
        <v>2.8</v>
      </c>
      <c r="S141" s="75">
        <f t="shared" si="47"/>
        <v>0</v>
      </c>
      <c r="T141" s="76">
        <v>44800</v>
      </c>
      <c r="U141" s="76">
        <f t="shared" si="53"/>
        <v>0</v>
      </c>
      <c r="V141" s="72"/>
      <c r="W141" s="72"/>
      <c r="X141" s="72"/>
      <c r="Y141" s="72"/>
      <c r="Z141" s="72"/>
      <c r="AA141" s="72"/>
      <c r="AB141" s="72"/>
      <c r="AC141" s="72"/>
      <c r="AD141" s="77"/>
      <c r="AE141" s="75"/>
      <c r="AF141" s="75"/>
      <c r="AG141" s="75"/>
      <c r="AH141" s="75">
        <v>0</v>
      </c>
      <c r="AI141" s="75"/>
      <c r="AJ141" s="75">
        <v>0</v>
      </c>
      <c r="AK141" s="22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19" t="s">
        <v>61</v>
      </c>
      <c r="AY141" s="19" t="s">
        <v>371</v>
      </c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>
        <f t="shared" si="48"/>
        <v>0</v>
      </c>
      <c r="BQ141" s="27">
        <f t="shared" si="49"/>
        <v>0</v>
      </c>
      <c r="BR141" s="27">
        <f t="shared" si="50"/>
        <v>0</v>
      </c>
      <c r="BS141" s="27">
        <f t="shared" si="51"/>
        <v>0</v>
      </c>
      <c r="BT141" s="28">
        <f t="shared" si="52"/>
        <v>0</v>
      </c>
      <c r="BU141" s="28">
        <f t="shared" si="54"/>
        <v>0</v>
      </c>
      <c r="BV141" s="28">
        <f t="shared" si="55"/>
        <v>0</v>
      </c>
      <c r="BW141" s="28">
        <f t="shared" si="56"/>
        <v>0</v>
      </c>
    </row>
    <row r="142" spans="1:75" ht="17.399999999999999" x14ac:dyDescent="0.25">
      <c r="A142" s="69">
        <f t="shared" si="39"/>
        <v>141</v>
      </c>
      <c r="B142" s="71" t="s">
        <v>218</v>
      </c>
      <c r="C142" s="78" t="s">
        <v>243</v>
      </c>
      <c r="D142" s="71" t="s">
        <v>219</v>
      </c>
      <c r="E142" s="71" t="s">
        <v>58</v>
      </c>
      <c r="F142" s="71" t="s">
        <v>432</v>
      </c>
      <c r="G142" s="71" t="s">
        <v>437</v>
      </c>
      <c r="H142" s="71" t="s">
        <v>380</v>
      </c>
      <c r="I142" s="71" t="str">
        <f>VLOOKUP(H142,[1]Sheet1!$C:$C,1,0)</f>
        <v>SC9675IM-Q-AB-4XAR-9675</v>
      </c>
      <c r="J142" s="71"/>
      <c r="K142" s="71"/>
      <c r="L142" s="71" t="s">
        <v>438</v>
      </c>
      <c r="M142" s="72">
        <v>300000</v>
      </c>
      <c r="N142" s="71" t="s">
        <v>110</v>
      </c>
      <c r="O142" s="71"/>
      <c r="P142" s="71"/>
      <c r="Q142" s="70" t="s">
        <v>221</v>
      </c>
      <c r="R142" s="100">
        <v>6</v>
      </c>
      <c r="S142" s="75">
        <f t="shared" si="47"/>
        <v>180000</v>
      </c>
      <c r="T142" s="76">
        <v>480000</v>
      </c>
      <c r="U142" s="76">
        <f t="shared" si="53"/>
        <v>30000</v>
      </c>
      <c r="V142" s="72">
        <v>5000</v>
      </c>
      <c r="W142" s="72">
        <v>5000</v>
      </c>
      <c r="X142" s="72">
        <v>5000</v>
      </c>
      <c r="Y142" s="72">
        <v>10000</v>
      </c>
      <c r="Z142" s="72">
        <v>10000</v>
      </c>
      <c r="AA142" s="72">
        <v>10000</v>
      </c>
      <c r="AB142" s="72">
        <v>10000</v>
      </c>
      <c r="AC142" s="72">
        <v>10000</v>
      </c>
      <c r="AD142" s="77">
        <v>10000</v>
      </c>
      <c r="AE142" s="75">
        <v>10000</v>
      </c>
      <c r="AF142" s="75">
        <v>10000</v>
      </c>
      <c r="AG142" s="75">
        <v>10000</v>
      </c>
      <c r="AH142" s="75">
        <v>10000</v>
      </c>
      <c r="AI142" s="75">
        <v>10000</v>
      </c>
      <c r="AJ142" s="75">
        <v>10000</v>
      </c>
      <c r="AK142" s="12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0" t="s">
        <v>61</v>
      </c>
      <c r="AY142" s="19" t="s">
        <v>386</v>
      </c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>
        <f t="shared" si="48"/>
        <v>60000</v>
      </c>
      <c r="BQ142" s="16">
        <f t="shared" si="49"/>
        <v>60000</v>
      </c>
      <c r="BR142" s="16">
        <f t="shared" si="50"/>
        <v>60000</v>
      </c>
      <c r="BS142" s="16">
        <f t="shared" si="51"/>
        <v>60000</v>
      </c>
      <c r="BT142" s="17">
        <f t="shared" si="52"/>
        <v>60000</v>
      </c>
      <c r="BU142" s="28">
        <f t="shared" si="54"/>
        <v>60000</v>
      </c>
      <c r="BV142" s="28">
        <f t="shared" si="55"/>
        <v>60000</v>
      </c>
      <c r="BW142" s="28">
        <f t="shared" si="56"/>
        <v>60000</v>
      </c>
    </row>
    <row r="143" spans="1:75" ht="17.399999999999999" x14ac:dyDescent="0.25">
      <c r="A143" s="69">
        <f t="shared" si="39"/>
        <v>142</v>
      </c>
      <c r="B143" s="71" t="s">
        <v>218</v>
      </c>
      <c r="C143" s="78" t="s">
        <v>243</v>
      </c>
      <c r="D143" s="71" t="s">
        <v>219</v>
      </c>
      <c r="E143" s="71" t="s">
        <v>58</v>
      </c>
      <c r="F143" s="71" t="s">
        <v>432</v>
      </c>
      <c r="G143" s="71" t="s">
        <v>222</v>
      </c>
      <c r="H143" s="71" t="s">
        <v>388</v>
      </c>
      <c r="I143" s="71" t="str">
        <f>VLOOKUP(H143,[1]Sheet1!$C:$C,1,0)</f>
        <v>SC9625VB-CE-00CK-9625L</v>
      </c>
      <c r="J143" s="71"/>
      <c r="K143" s="71"/>
      <c r="L143" s="71" t="s">
        <v>439</v>
      </c>
      <c r="M143" s="72">
        <v>200000</v>
      </c>
      <c r="N143" s="71" t="s">
        <v>110</v>
      </c>
      <c r="O143" s="71"/>
      <c r="P143" s="71"/>
      <c r="Q143" s="70" t="s">
        <v>223</v>
      </c>
      <c r="R143" s="100">
        <v>2.4</v>
      </c>
      <c r="S143" s="75">
        <f t="shared" si="47"/>
        <v>7200</v>
      </c>
      <c r="T143" s="76">
        <v>19200</v>
      </c>
      <c r="U143" s="76">
        <f t="shared" si="53"/>
        <v>3000</v>
      </c>
      <c r="V143" s="72">
        <v>1000</v>
      </c>
      <c r="W143" s="72">
        <v>1000</v>
      </c>
      <c r="X143" s="72">
        <v>1000</v>
      </c>
      <c r="Y143" s="72">
        <v>1000</v>
      </c>
      <c r="Z143" s="72">
        <v>1000</v>
      </c>
      <c r="AA143" s="72">
        <v>1000</v>
      </c>
      <c r="AB143" s="72">
        <v>1000</v>
      </c>
      <c r="AC143" s="72">
        <v>1000</v>
      </c>
      <c r="AD143" s="77">
        <v>1000</v>
      </c>
      <c r="AE143" s="75">
        <v>1000</v>
      </c>
      <c r="AF143" s="75">
        <v>1000</v>
      </c>
      <c r="AG143" s="75">
        <v>1000</v>
      </c>
      <c r="AH143" s="75">
        <v>1000</v>
      </c>
      <c r="AI143" s="75">
        <v>1000</v>
      </c>
      <c r="AJ143" s="75">
        <v>1000</v>
      </c>
      <c r="AK143" s="22"/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19" t="s">
        <v>61</v>
      </c>
      <c r="AY143" s="19" t="s">
        <v>386</v>
      </c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>
        <f t="shared" si="48"/>
        <v>2400</v>
      </c>
      <c r="BQ143" s="27">
        <f t="shared" si="49"/>
        <v>2400</v>
      </c>
      <c r="BR143" s="27">
        <f t="shared" si="50"/>
        <v>2400</v>
      </c>
      <c r="BS143" s="27">
        <f t="shared" si="51"/>
        <v>2400</v>
      </c>
      <c r="BT143" s="28">
        <f t="shared" si="52"/>
        <v>2400</v>
      </c>
      <c r="BU143" s="28">
        <f t="shared" si="54"/>
        <v>2400</v>
      </c>
      <c r="BV143" s="28">
        <f t="shared" si="55"/>
        <v>2400</v>
      </c>
      <c r="BW143" s="28">
        <f t="shared" si="56"/>
        <v>2400</v>
      </c>
    </row>
    <row r="144" spans="1:75" ht="17.399999999999999" customHeight="1" x14ac:dyDescent="0.25">
      <c r="A144" s="69">
        <f t="shared" si="39"/>
        <v>143</v>
      </c>
      <c r="B144" s="71" t="s">
        <v>218</v>
      </c>
      <c r="C144" s="78" t="s">
        <v>243</v>
      </c>
      <c r="D144" s="71" t="s">
        <v>219</v>
      </c>
      <c r="E144" s="71" t="s">
        <v>58</v>
      </c>
      <c r="F144" s="71" t="s">
        <v>432</v>
      </c>
      <c r="G144" s="71" t="s">
        <v>440</v>
      </c>
      <c r="H144" s="71" t="s">
        <v>441</v>
      </c>
      <c r="I144" s="71" t="str">
        <f>VLOOKUP(H144,[1]Sheet1!$C:$C,1,0)</f>
        <v>SC9314UA-Q-CF-0XAK-94M</v>
      </c>
      <c r="J144" s="71"/>
      <c r="K144" s="71"/>
      <c r="L144" s="71" t="s">
        <v>438</v>
      </c>
      <c r="M144" s="72">
        <v>100000</v>
      </c>
      <c r="N144" s="71" t="s">
        <v>52</v>
      </c>
      <c r="O144" s="71"/>
      <c r="P144" s="71"/>
      <c r="Q144" s="70" t="s">
        <v>224</v>
      </c>
      <c r="R144" s="100">
        <v>1.6</v>
      </c>
      <c r="S144" s="75">
        <f t="shared" si="47"/>
        <v>4800</v>
      </c>
      <c r="T144" s="76">
        <v>33600</v>
      </c>
      <c r="U144" s="76">
        <f t="shared" si="53"/>
        <v>3000</v>
      </c>
      <c r="V144" s="72">
        <v>1000</v>
      </c>
      <c r="W144" s="72">
        <v>1000</v>
      </c>
      <c r="X144" s="72">
        <v>1000</v>
      </c>
      <c r="Y144" s="72">
        <v>1000</v>
      </c>
      <c r="Z144" s="72">
        <v>2000</v>
      </c>
      <c r="AA144" s="72">
        <v>2000</v>
      </c>
      <c r="AB144" s="72">
        <v>2000</v>
      </c>
      <c r="AC144" s="72">
        <v>1000</v>
      </c>
      <c r="AD144" s="77">
        <v>1000</v>
      </c>
      <c r="AE144" s="75">
        <v>1000</v>
      </c>
      <c r="AF144" s="75">
        <v>1000</v>
      </c>
      <c r="AG144" s="75">
        <v>1000</v>
      </c>
      <c r="AH144" s="75">
        <v>1000</v>
      </c>
      <c r="AI144" s="75">
        <v>1000</v>
      </c>
      <c r="AJ144" s="75">
        <v>1000</v>
      </c>
      <c r="AK144" s="12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0" t="s">
        <v>61</v>
      </c>
      <c r="AY144" s="19" t="s">
        <v>386</v>
      </c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>
        <f t="shared" si="48"/>
        <v>3200</v>
      </c>
      <c r="BQ144" s="16">
        <f t="shared" si="49"/>
        <v>3200</v>
      </c>
      <c r="BR144" s="16">
        <f t="shared" si="50"/>
        <v>3200</v>
      </c>
      <c r="BS144" s="16">
        <f t="shared" si="51"/>
        <v>1600</v>
      </c>
      <c r="BT144" s="17">
        <f t="shared" si="52"/>
        <v>1600</v>
      </c>
      <c r="BU144" s="28">
        <f t="shared" si="54"/>
        <v>1600</v>
      </c>
      <c r="BV144" s="28">
        <f t="shared" si="55"/>
        <v>1600</v>
      </c>
      <c r="BW144" s="28">
        <f t="shared" si="56"/>
        <v>1600</v>
      </c>
    </row>
    <row r="145" spans="1:75" ht="17.399999999999999" customHeight="1" x14ac:dyDescent="0.25">
      <c r="A145" s="69">
        <f t="shared" si="39"/>
        <v>144</v>
      </c>
      <c r="B145" s="71" t="s">
        <v>225</v>
      </c>
      <c r="C145" s="78" t="s">
        <v>235</v>
      </c>
      <c r="D145" s="71" t="s">
        <v>219</v>
      </c>
      <c r="E145" s="71" t="s">
        <v>58</v>
      </c>
      <c r="F145" s="71" t="s">
        <v>432</v>
      </c>
      <c r="G145" s="78" t="s">
        <v>377</v>
      </c>
      <c r="H145" s="71" t="s">
        <v>378</v>
      </c>
      <c r="I145" s="71" t="str">
        <f>VLOOKUP(H145,[1]Sheet1!$C:$C,1,0)</f>
        <v>SC9621VB-CF-00CK-9621</v>
      </c>
      <c r="J145" s="78"/>
      <c r="K145" s="78"/>
      <c r="L145" s="71" t="s">
        <v>439</v>
      </c>
      <c r="M145" s="72">
        <v>20000</v>
      </c>
      <c r="N145" s="71" t="s">
        <v>52</v>
      </c>
      <c r="O145" s="71"/>
      <c r="P145" s="71"/>
      <c r="Q145" s="70" t="s">
        <v>95</v>
      </c>
      <c r="R145" s="100">
        <v>2.4</v>
      </c>
      <c r="S145" s="75">
        <f t="shared" si="47"/>
        <v>7200</v>
      </c>
      <c r="T145" s="76">
        <v>19200</v>
      </c>
      <c r="U145" s="76">
        <f t="shared" si="53"/>
        <v>3000</v>
      </c>
      <c r="V145" s="72"/>
      <c r="W145" s="72"/>
      <c r="X145" s="72"/>
      <c r="Y145" s="72"/>
      <c r="Z145" s="72">
        <v>1000</v>
      </c>
      <c r="AA145" s="72">
        <v>1000</v>
      </c>
      <c r="AB145" s="72">
        <v>1000</v>
      </c>
      <c r="AC145" s="72">
        <v>1000</v>
      </c>
      <c r="AD145" s="77">
        <v>1000</v>
      </c>
      <c r="AE145" s="75">
        <v>1000</v>
      </c>
      <c r="AF145" s="75">
        <v>1000</v>
      </c>
      <c r="AG145" s="75">
        <v>1000</v>
      </c>
      <c r="AH145" s="75">
        <v>1000</v>
      </c>
      <c r="AI145" s="75">
        <v>1000</v>
      </c>
      <c r="AJ145" s="75">
        <v>1000</v>
      </c>
      <c r="AK145" s="22"/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19" t="s">
        <v>61</v>
      </c>
      <c r="AY145" s="19" t="s">
        <v>386</v>
      </c>
      <c r="AZ145" s="27"/>
      <c r="BA145" s="27"/>
      <c r="BB145" s="27"/>
      <c r="BC145" s="27"/>
      <c r="BD145" s="27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>
        <f t="shared" si="48"/>
        <v>2400</v>
      </c>
      <c r="BQ145" s="27">
        <f t="shared" si="49"/>
        <v>2400</v>
      </c>
      <c r="BR145" s="27">
        <f t="shared" si="50"/>
        <v>2400</v>
      </c>
      <c r="BS145" s="27">
        <f t="shared" si="51"/>
        <v>2400</v>
      </c>
      <c r="BT145" s="28">
        <f t="shared" si="52"/>
        <v>2400</v>
      </c>
      <c r="BU145" s="28">
        <f t="shared" si="54"/>
        <v>2400</v>
      </c>
      <c r="BV145" s="28">
        <f t="shared" si="55"/>
        <v>2400</v>
      </c>
      <c r="BW145" s="28">
        <f t="shared" si="56"/>
        <v>2400</v>
      </c>
    </row>
    <row r="146" spans="1:75" ht="17.399999999999999" customHeight="1" x14ac:dyDescent="0.25">
      <c r="A146" s="69">
        <f t="shared" si="39"/>
        <v>145</v>
      </c>
      <c r="B146" s="71" t="s">
        <v>225</v>
      </c>
      <c r="C146" s="78" t="s">
        <v>235</v>
      </c>
      <c r="D146" s="71" t="s">
        <v>219</v>
      </c>
      <c r="E146" s="71" t="s">
        <v>58</v>
      </c>
      <c r="F146" s="71" t="s">
        <v>432</v>
      </c>
      <c r="G146" s="71" t="s">
        <v>1991</v>
      </c>
      <c r="H146" s="71" t="s">
        <v>1992</v>
      </c>
      <c r="I146" s="71" t="str">
        <f>VLOOKUP(H146,[1]Sheet1!$C:$C,1,0)</f>
        <v>SC9625VB-Q-CE-4XCR-9625L</v>
      </c>
      <c r="J146" s="71"/>
      <c r="K146" s="71"/>
      <c r="L146" s="71" t="s">
        <v>439</v>
      </c>
      <c r="M146" s="72">
        <v>500000</v>
      </c>
      <c r="N146" s="71" t="s">
        <v>49</v>
      </c>
      <c r="O146" s="71"/>
      <c r="P146" s="71"/>
      <c r="Q146" s="70" t="s">
        <v>226</v>
      </c>
      <c r="R146" s="100">
        <v>2.2000000000000002</v>
      </c>
      <c r="S146" s="75">
        <f t="shared" si="47"/>
        <v>0</v>
      </c>
      <c r="T146" s="76">
        <v>0</v>
      </c>
      <c r="U146" s="76">
        <f t="shared" si="53"/>
        <v>0</v>
      </c>
      <c r="V146" s="72"/>
      <c r="W146" s="72"/>
      <c r="X146" s="72"/>
      <c r="Y146" s="72"/>
      <c r="Z146" s="72"/>
      <c r="AA146" s="72"/>
      <c r="AB146" s="72"/>
      <c r="AC146" s="72"/>
      <c r="AD146" s="77"/>
      <c r="AE146" s="75"/>
      <c r="AF146" s="75"/>
      <c r="AG146" s="75"/>
      <c r="AH146" s="75"/>
      <c r="AI146" s="75"/>
      <c r="AJ146" s="75">
        <v>0</v>
      </c>
      <c r="AK146" s="12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0" t="s">
        <v>61</v>
      </c>
      <c r="AY146" s="19" t="s">
        <v>386</v>
      </c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>
        <f t="shared" si="48"/>
        <v>0</v>
      </c>
      <c r="BQ146" s="16">
        <f t="shared" si="49"/>
        <v>0</v>
      </c>
      <c r="BR146" s="16">
        <f t="shared" si="50"/>
        <v>0</v>
      </c>
      <c r="BS146" s="16">
        <f t="shared" si="51"/>
        <v>0</v>
      </c>
      <c r="BT146" s="17">
        <f t="shared" si="52"/>
        <v>0</v>
      </c>
      <c r="BU146" s="28">
        <f t="shared" si="54"/>
        <v>0</v>
      </c>
      <c r="BV146" s="28">
        <f t="shared" si="55"/>
        <v>0</v>
      </c>
      <c r="BW146" s="28">
        <f t="shared" si="56"/>
        <v>0</v>
      </c>
    </row>
    <row r="147" spans="1:75" ht="17.399999999999999" customHeight="1" x14ac:dyDescent="0.25">
      <c r="A147" s="69">
        <f t="shared" si="39"/>
        <v>146</v>
      </c>
      <c r="B147" s="71" t="s">
        <v>225</v>
      </c>
      <c r="C147" s="78" t="s">
        <v>235</v>
      </c>
      <c r="D147" s="71" t="s">
        <v>219</v>
      </c>
      <c r="E147" s="71" t="s">
        <v>58</v>
      </c>
      <c r="F147" s="71" t="s">
        <v>432</v>
      </c>
      <c r="G147" s="71" t="s">
        <v>437</v>
      </c>
      <c r="H147" s="71" t="s">
        <v>380</v>
      </c>
      <c r="I147" s="71" t="str">
        <f>VLOOKUP(H147,[1]Sheet1!$C:$C,1,0)</f>
        <v>SC9675IM-Q-AB-4XAR-9675</v>
      </c>
      <c r="J147" s="71"/>
      <c r="K147" s="71"/>
      <c r="L147" s="71" t="s">
        <v>438</v>
      </c>
      <c r="M147" s="72">
        <v>400000</v>
      </c>
      <c r="N147" s="71" t="s">
        <v>49</v>
      </c>
      <c r="O147" s="71"/>
      <c r="P147" s="71" t="s">
        <v>442</v>
      </c>
      <c r="Q147" s="70" t="s">
        <v>221</v>
      </c>
      <c r="R147" s="100">
        <v>6</v>
      </c>
      <c r="S147" s="75">
        <f t="shared" si="47"/>
        <v>90000</v>
      </c>
      <c r="T147" s="76">
        <v>222000</v>
      </c>
      <c r="U147" s="76">
        <f t="shared" si="53"/>
        <v>15000</v>
      </c>
      <c r="V147" s="72"/>
      <c r="W147" s="72"/>
      <c r="X147" s="72"/>
      <c r="Y147" s="72">
        <v>2000</v>
      </c>
      <c r="Z147" s="72">
        <v>3000</v>
      </c>
      <c r="AA147" s="72">
        <v>4000</v>
      </c>
      <c r="AB147" s="72">
        <v>5000</v>
      </c>
      <c r="AC147" s="72">
        <v>5000</v>
      </c>
      <c r="AD147" s="77">
        <v>5000</v>
      </c>
      <c r="AE147" s="75">
        <v>5000</v>
      </c>
      <c r="AF147" s="75">
        <v>5000</v>
      </c>
      <c r="AG147" s="75">
        <v>5000</v>
      </c>
      <c r="AH147" s="75">
        <v>5000</v>
      </c>
      <c r="AI147" s="75">
        <v>5000</v>
      </c>
      <c r="AJ147" s="75">
        <v>5000</v>
      </c>
      <c r="AK147" s="22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19" t="s">
        <v>61</v>
      </c>
      <c r="AY147" s="19" t="s">
        <v>386</v>
      </c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>
        <f t="shared" si="48"/>
        <v>18000</v>
      </c>
      <c r="BQ147" s="27">
        <f t="shared" si="49"/>
        <v>24000</v>
      </c>
      <c r="BR147" s="27">
        <f t="shared" si="50"/>
        <v>30000</v>
      </c>
      <c r="BS147" s="27">
        <f t="shared" si="51"/>
        <v>30000</v>
      </c>
      <c r="BT147" s="28">
        <f t="shared" si="52"/>
        <v>30000</v>
      </c>
      <c r="BU147" s="28">
        <f t="shared" si="54"/>
        <v>30000</v>
      </c>
      <c r="BV147" s="28">
        <f t="shared" si="55"/>
        <v>30000</v>
      </c>
      <c r="BW147" s="28">
        <f t="shared" si="56"/>
        <v>30000</v>
      </c>
    </row>
    <row r="148" spans="1:75" ht="17.399999999999999" x14ac:dyDescent="0.25">
      <c r="A148" s="69">
        <f t="shared" si="39"/>
        <v>147</v>
      </c>
      <c r="B148" s="73" t="s">
        <v>1037</v>
      </c>
      <c r="C148" s="73" t="s">
        <v>243</v>
      </c>
      <c r="D148" s="73" t="s">
        <v>1033</v>
      </c>
      <c r="E148" s="73" t="s">
        <v>978</v>
      </c>
      <c r="F148" s="73" t="s">
        <v>978</v>
      </c>
      <c r="G148" s="71" t="s">
        <v>1982</v>
      </c>
      <c r="H148" s="71" t="s">
        <v>1983</v>
      </c>
      <c r="I148" s="71" t="str">
        <f>VLOOKUP(H148,[1]Sheet1!$C:$C,1,0)</f>
        <v>SC1645S1-AI-00AK-4601</v>
      </c>
      <c r="J148" s="87"/>
      <c r="K148" s="85"/>
      <c r="L148" s="85"/>
      <c r="M148" s="85"/>
      <c r="N148" s="85"/>
      <c r="O148" s="85"/>
      <c r="P148" s="85"/>
      <c r="Q148" s="85"/>
      <c r="R148" s="100">
        <v>0.255</v>
      </c>
      <c r="S148" s="75">
        <f t="shared" si="47"/>
        <v>63750</v>
      </c>
      <c r="T148" s="76">
        <v>0</v>
      </c>
      <c r="U148" s="76">
        <f t="shared" si="53"/>
        <v>250000</v>
      </c>
      <c r="V148" s="85"/>
      <c r="W148" s="85"/>
      <c r="X148" s="85"/>
      <c r="Y148" s="85"/>
      <c r="Z148" s="76"/>
      <c r="AA148" s="76">
        <v>3000000</v>
      </c>
      <c r="AB148" s="76">
        <v>3000000</v>
      </c>
      <c r="AC148" s="76">
        <v>3000000</v>
      </c>
      <c r="AD148" s="77"/>
      <c r="AE148" s="75">
        <v>250000</v>
      </c>
      <c r="AF148" s="75"/>
      <c r="AG148" s="75"/>
      <c r="AH148" s="75"/>
      <c r="AI148" s="75"/>
      <c r="AJ148" s="75">
        <v>0</v>
      </c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 t="s">
        <v>689</v>
      </c>
      <c r="AY148" s="19" t="s">
        <v>261</v>
      </c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>
        <f t="shared" si="48"/>
        <v>0</v>
      </c>
      <c r="BQ148" s="16">
        <f t="shared" si="49"/>
        <v>765000</v>
      </c>
      <c r="BR148" s="16">
        <f t="shared" si="50"/>
        <v>765000</v>
      </c>
      <c r="BS148" s="16">
        <f t="shared" si="51"/>
        <v>765000</v>
      </c>
      <c r="BT148" s="17">
        <f t="shared" si="52"/>
        <v>0</v>
      </c>
      <c r="BU148" s="28">
        <f t="shared" si="54"/>
        <v>63750</v>
      </c>
      <c r="BV148" s="28">
        <f t="shared" si="55"/>
        <v>0</v>
      </c>
      <c r="BW148" s="28">
        <f t="shared" si="56"/>
        <v>0</v>
      </c>
    </row>
    <row r="149" spans="1:75" ht="17.399999999999999" customHeight="1" x14ac:dyDescent="0.25">
      <c r="A149" s="69">
        <f t="shared" si="39"/>
        <v>148</v>
      </c>
      <c r="B149" s="71" t="s">
        <v>445</v>
      </c>
      <c r="C149" s="78" t="s">
        <v>243</v>
      </c>
      <c r="D149" s="71" t="s">
        <v>219</v>
      </c>
      <c r="E149" s="71" t="s">
        <v>58</v>
      </c>
      <c r="F149" s="71" t="s">
        <v>432</v>
      </c>
      <c r="G149" s="71" t="s">
        <v>446</v>
      </c>
      <c r="H149" s="71" t="s">
        <v>447</v>
      </c>
      <c r="I149" s="71" t="str">
        <f>VLOOKUP(H149,[1]Sheet1!$C:$C,1,0)</f>
        <v>SC9642TS-EC-Q-AH-4XLR-9642</v>
      </c>
      <c r="J149" s="71"/>
      <c r="K149" s="71"/>
      <c r="L149" s="71" t="s">
        <v>448</v>
      </c>
      <c r="M149" s="72">
        <v>100000</v>
      </c>
      <c r="N149" s="71" t="s">
        <v>49</v>
      </c>
      <c r="O149" s="71"/>
      <c r="P149" s="71"/>
      <c r="Q149" s="70"/>
      <c r="R149" s="100">
        <v>2.5</v>
      </c>
      <c r="S149" s="75">
        <f t="shared" si="47"/>
        <v>0</v>
      </c>
      <c r="T149" s="76">
        <v>82500</v>
      </c>
      <c r="U149" s="76">
        <f t="shared" si="53"/>
        <v>0</v>
      </c>
      <c r="V149" s="72"/>
      <c r="W149" s="72"/>
      <c r="X149" s="72"/>
      <c r="Y149" s="72"/>
      <c r="Z149" s="72"/>
      <c r="AA149" s="72">
        <v>3000</v>
      </c>
      <c r="AB149" s="72">
        <v>5000</v>
      </c>
      <c r="AC149" s="72"/>
      <c r="AD149" s="77"/>
      <c r="AE149" s="75"/>
      <c r="AF149" s="75"/>
      <c r="AG149" s="75"/>
      <c r="AH149" s="75">
        <v>0</v>
      </c>
      <c r="AI149" s="75"/>
      <c r="AJ149" s="75">
        <v>0</v>
      </c>
      <c r="AK149" s="22"/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19" t="s">
        <v>61</v>
      </c>
      <c r="AY149" s="19" t="s">
        <v>386</v>
      </c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>
        <f t="shared" si="48"/>
        <v>0</v>
      </c>
      <c r="BQ149" s="27">
        <f t="shared" si="49"/>
        <v>7500</v>
      </c>
      <c r="BR149" s="27">
        <f t="shared" si="50"/>
        <v>12500</v>
      </c>
      <c r="BS149" s="27">
        <f t="shared" si="51"/>
        <v>0</v>
      </c>
      <c r="BT149" s="28">
        <f t="shared" si="52"/>
        <v>0</v>
      </c>
      <c r="BU149" s="28">
        <f t="shared" si="54"/>
        <v>0</v>
      </c>
      <c r="BV149" s="28">
        <f t="shared" si="55"/>
        <v>0</v>
      </c>
      <c r="BW149" s="28">
        <f t="shared" si="56"/>
        <v>0</v>
      </c>
    </row>
    <row r="150" spans="1:75" ht="17.399999999999999" x14ac:dyDescent="0.25">
      <c r="A150" s="69">
        <f t="shared" si="39"/>
        <v>149</v>
      </c>
      <c r="B150" s="71" t="s">
        <v>228</v>
      </c>
      <c r="C150" s="78" t="s">
        <v>243</v>
      </c>
      <c r="D150" s="71" t="s">
        <v>219</v>
      </c>
      <c r="E150" s="71" t="s">
        <v>58</v>
      </c>
      <c r="F150" s="71" t="s">
        <v>432</v>
      </c>
      <c r="G150" s="71" t="s">
        <v>437</v>
      </c>
      <c r="H150" s="71" t="s">
        <v>380</v>
      </c>
      <c r="I150" s="71" t="str">
        <f>VLOOKUP(H150,[1]Sheet1!$C:$C,1,0)</f>
        <v>SC9675IM-Q-AB-4XAR-9675</v>
      </c>
      <c r="J150" s="71"/>
      <c r="K150" s="71"/>
      <c r="L150" s="71" t="s">
        <v>438</v>
      </c>
      <c r="M150" s="72">
        <v>300000</v>
      </c>
      <c r="N150" s="71" t="s">
        <v>52</v>
      </c>
      <c r="O150" s="71"/>
      <c r="P150" s="71"/>
      <c r="Q150" s="70" t="s">
        <v>221</v>
      </c>
      <c r="R150" s="100">
        <v>6</v>
      </c>
      <c r="S150" s="75">
        <f t="shared" si="47"/>
        <v>36000</v>
      </c>
      <c r="T150" s="76">
        <v>96000</v>
      </c>
      <c r="U150" s="76">
        <f t="shared" si="53"/>
        <v>6000</v>
      </c>
      <c r="V150" s="72">
        <v>2000</v>
      </c>
      <c r="W150" s="72">
        <v>2000</v>
      </c>
      <c r="X150" s="72">
        <v>2000</v>
      </c>
      <c r="Y150" s="72">
        <v>2000</v>
      </c>
      <c r="Z150" s="72">
        <v>2000</v>
      </c>
      <c r="AA150" s="72">
        <v>2000</v>
      </c>
      <c r="AB150" s="72">
        <v>2000</v>
      </c>
      <c r="AC150" s="72">
        <v>2000</v>
      </c>
      <c r="AD150" s="77">
        <v>2000</v>
      </c>
      <c r="AE150" s="75">
        <v>2000</v>
      </c>
      <c r="AF150" s="75">
        <v>2000</v>
      </c>
      <c r="AG150" s="75">
        <v>2000</v>
      </c>
      <c r="AH150" s="75">
        <v>2000</v>
      </c>
      <c r="AI150" s="75">
        <v>2000</v>
      </c>
      <c r="AJ150" s="75">
        <v>2000</v>
      </c>
      <c r="AK150" s="12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0" t="s">
        <v>61</v>
      </c>
      <c r="AY150" s="19" t="s">
        <v>386</v>
      </c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>
        <f t="shared" si="48"/>
        <v>12000</v>
      </c>
      <c r="BQ150" s="16">
        <f t="shared" si="49"/>
        <v>12000</v>
      </c>
      <c r="BR150" s="16">
        <f t="shared" si="50"/>
        <v>12000</v>
      </c>
      <c r="BS150" s="16">
        <f t="shared" si="51"/>
        <v>12000</v>
      </c>
      <c r="BT150" s="17">
        <f t="shared" si="52"/>
        <v>12000</v>
      </c>
      <c r="BU150" s="28">
        <f t="shared" si="54"/>
        <v>12000</v>
      </c>
      <c r="BV150" s="28">
        <f t="shared" si="55"/>
        <v>12000</v>
      </c>
      <c r="BW150" s="28">
        <f t="shared" si="56"/>
        <v>12000</v>
      </c>
    </row>
    <row r="151" spans="1:75" ht="17.399999999999999" x14ac:dyDescent="0.25">
      <c r="A151" s="69">
        <f t="shared" si="39"/>
        <v>150</v>
      </c>
      <c r="B151" s="71" t="s">
        <v>229</v>
      </c>
      <c r="C151" s="78" t="s">
        <v>243</v>
      </c>
      <c r="D151" s="71" t="s">
        <v>213</v>
      </c>
      <c r="E151" s="71" t="s">
        <v>58</v>
      </c>
      <c r="F151" s="71" t="s">
        <v>412</v>
      </c>
      <c r="G151" s="78" t="s">
        <v>449</v>
      </c>
      <c r="H151" s="71" t="s">
        <v>450</v>
      </c>
      <c r="I151" s="71" t="str">
        <f>VLOOKUP(H151,[1]Sheet1!$C:$C,1,0)</f>
        <v>SC69401HS-SPI-Q-HD-4XTR-69401</v>
      </c>
      <c r="J151" s="78"/>
      <c r="K151" s="78"/>
      <c r="L151" s="73"/>
      <c r="M151" s="73"/>
      <c r="N151" s="78" t="s">
        <v>373</v>
      </c>
      <c r="O151" s="73"/>
      <c r="P151" s="73"/>
      <c r="Q151" s="73"/>
      <c r="R151" s="100">
        <v>7.5</v>
      </c>
      <c r="S151" s="75">
        <f t="shared" si="47"/>
        <v>22500</v>
      </c>
      <c r="T151" s="76">
        <v>180000</v>
      </c>
      <c r="U151" s="76">
        <f t="shared" si="53"/>
        <v>3000</v>
      </c>
      <c r="V151" s="72">
        <v>0</v>
      </c>
      <c r="W151" s="72">
        <v>0</v>
      </c>
      <c r="X151" s="72">
        <v>3000</v>
      </c>
      <c r="Y151" s="72"/>
      <c r="Z151" s="72">
        <v>3000</v>
      </c>
      <c r="AA151" s="72">
        <v>3000</v>
      </c>
      <c r="AB151" s="72">
        <v>3000</v>
      </c>
      <c r="AC151" s="72">
        <v>3000</v>
      </c>
      <c r="AD151" s="77">
        <v>3000</v>
      </c>
      <c r="AE151" s="75"/>
      <c r="AF151" s="75"/>
      <c r="AG151" s="75">
        <v>3000</v>
      </c>
      <c r="AH151" s="75"/>
      <c r="AI151" s="75">
        <v>3000</v>
      </c>
      <c r="AJ151" s="75">
        <v>3000</v>
      </c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19" t="s">
        <v>61</v>
      </c>
      <c r="AY151" s="19" t="s">
        <v>371</v>
      </c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7">
        <f t="shared" si="48"/>
        <v>22500</v>
      </c>
      <c r="BQ151" s="27">
        <f t="shared" si="49"/>
        <v>22500</v>
      </c>
      <c r="BR151" s="27">
        <f t="shared" si="50"/>
        <v>22500</v>
      </c>
      <c r="BS151" s="27">
        <f t="shared" si="51"/>
        <v>22500</v>
      </c>
      <c r="BT151" s="28">
        <f t="shared" si="52"/>
        <v>22500</v>
      </c>
      <c r="BU151" s="28">
        <f t="shared" si="54"/>
        <v>0</v>
      </c>
      <c r="BV151" s="28">
        <f t="shared" si="55"/>
        <v>0</v>
      </c>
      <c r="BW151" s="28">
        <f t="shared" si="56"/>
        <v>22500</v>
      </c>
    </row>
    <row r="152" spans="1:75" ht="17.399999999999999" x14ac:dyDescent="0.25">
      <c r="A152" s="69">
        <f t="shared" si="39"/>
        <v>151</v>
      </c>
      <c r="B152" s="73" t="s">
        <v>230</v>
      </c>
      <c r="C152" s="73" t="s">
        <v>235</v>
      </c>
      <c r="D152" s="73" t="s">
        <v>231</v>
      </c>
      <c r="E152" s="73" t="s">
        <v>58</v>
      </c>
      <c r="F152" s="73" t="s">
        <v>232</v>
      </c>
      <c r="G152" s="78" t="s">
        <v>451</v>
      </c>
      <c r="H152" s="71" t="s">
        <v>452</v>
      </c>
      <c r="I152" s="71" t="str">
        <f>VLOOKUP(H152,[1]Sheet1!$C:$C,1,0)</f>
        <v>SC4643VB-P-Q-DE-40CR-4643</v>
      </c>
      <c r="J152" s="78"/>
      <c r="K152" s="78"/>
      <c r="L152" s="72"/>
      <c r="M152" s="72">
        <v>500000</v>
      </c>
      <c r="N152" s="71" t="s">
        <v>110</v>
      </c>
      <c r="O152" s="72"/>
      <c r="P152" s="72"/>
      <c r="Q152" s="72"/>
      <c r="R152" s="100">
        <v>2.4</v>
      </c>
      <c r="S152" s="75">
        <f t="shared" si="47"/>
        <v>21600</v>
      </c>
      <c r="T152" s="76">
        <v>92000</v>
      </c>
      <c r="U152" s="76">
        <f t="shared" si="53"/>
        <v>9000</v>
      </c>
      <c r="V152" s="72">
        <v>5000</v>
      </c>
      <c r="W152" s="72">
        <v>5000</v>
      </c>
      <c r="X152" s="72">
        <v>5000</v>
      </c>
      <c r="Y152" s="72">
        <v>5000</v>
      </c>
      <c r="Z152" s="72">
        <v>5000</v>
      </c>
      <c r="AA152" s="72">
        <v>5000</v>
      </c>
      <c r="AB152" s="72">
        <v>5000</v>
      </c>
      <c r="AC152" s="72">
        <v>2000</v>
      </c>
      <c r="AD152" s="77">
        <v>2000</v>
      </c>
      <c r="AE152" s="75">
        <v>2000</v>
      </c>
      <c r="AF152" s="75">
        <v>5000</v>
      </c>
      <c r="AG152" s="75">
        <v>2000</v>
      </c>
      <c r="AH152" s="75">
        <v>5000</v>
      </c>
      <c r="AI152" s="75">
        <v>5000</v>
      </c>
      <c r="AJ152" s="75">
        <v>5000</v>
      </c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0" t="s">
        <v>61</v>
      </c>
      <c r="AY152" s="19" t="s">
        <v>247</v>
      </c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6">
        <f t="shared" si="48"/>
        <v>12000</v>
      </c>
      <c r="BQ152" s="16">
        <f t="shared" si="49"/>
        <v>12000</v>
      </c>
      <c r="BR152" s="16">
        <f t="shared" si="50"/>
        <v>12000</v>
      </c>
      <c r="BS152" s="16">
        <f t="shared" si="51"/>
        <v>4800</v>
      </c>
      <c r="BT152" s="17">
        <f t="shared" si="52"/>
        <v>4800</v>
      </c>
      <c r="BU152" s="28">
        <f t="shared" si="54"/>
        <v>4800</v>
      </c>
      <c r="BV152" s="28">
        <f t="shared" si="55"/>
        <v>12000</v>
      </c>
      <c r="BW152" s="28">
        <f t="shared" si="56"/>
        <v>4800</v>
      </c>
    </row>
    <row r="153" spans="1:75" ht="17.399999999999999" x14ac:dyDescent="0.25">
      <c r="A153" s="69">
        <f t="shared" si="39"/>
        <v>152</v>
      </c>
      <c r="B153" s="73" t="s">
        <v>453</v>
      </c>
      <c r="C153" s="73" t="s">
        <v>243</v>
      </c>
      <c r="D153" s="73" t="s">
        <v>454</v>
      </c>
      <c r="E153" s="73" t="s">
        <v>58</v>
      </c>
      <c r="F153" s="73" t="s">
        <v>455</v>
      </c>
      <c r="G153" s="78" t="s">
        <v>426</v>
      </c>
      <c r="H153" s="71" t="s">
        <v>456</v>
      </c>
      <c r="I153" s="71" t="str">
        <f>VLOOKUP(H153,[1]Sheet1!$C:$C,1,0)</f>
        <v>SC4643VB-S-Q-DE-40CK-4643</v>
      </c>
      <c r="J153" s="78"/>
      <c r="K153" s="78"/>
      <c r="L153" s="72"/>
      <c r="M153" s="72"/>
      <c r="N153" s="78" t="s">
        <v>367</v>
      </c>
      <c r="O153" s="72"/>
      <c r="P153" s="72"/>
      <c r="Q153" s="72"/>
      <c r="R153" s="100">
        <v>2.84</v>
      </c>
      <c r="S153" s="75">
        <f t="shared" si="47"/>
        <v>0</v>
      </c>
      <c r="T153" s="76">
        <v>0</v>
      </c>
      <c r="U153" s="76">
        <f t="shared" si="53"/>
        <v>0</v>
      </c>
      <c r="V153" s="72"/>
      <c r="W153" s="72"/>
      <c r="X153" s="72"/>
      <c r="Y153" s="72"/>
      <c r="Z153" s="72">
        <v>200</v>
      </c>
      <c r="AA153" s="72"/>
      <c r="AB153" s="72">
        <v>3000</v>
      </c>
      <c r="AC153" s="72"/>
      <c r="AD153" s="77"/>
      <c r="AE153" s="75"/>
      <c r="AF153" s="75"/>
      <c r="AG153" s="75"/>
      <c r="AH153" s="75">
        <v>0</v>
      </c>
      <c r="AI153" s="75"/>
      <c r="AJ153" s="75">
        <v>0</v>
      </c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19" t="s">
        <v>61</v>
      </c>
      <c r="AY153" s="19" t="s">
        <v>247</v>
      </c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7">
        <f t="shared" si="48"/>
        <v>568</v>
      </c>
      <c r="BQ153" s="27">
        <f t="shared" si="49"/>
        <v>0</v>
      </c>
      <c r="BR153" s="27">
        <f t="shared" si="50"/>
        <v>8520</v>
      </c>
      <c r="BS153" s="27">
        <f t="shared" si="51"/>
        <v>0</v>
      </c>
      <c r="BT153" s="28">
        <f t="shared" si="52"/>
        <v>0</v>
      </c>
      <c r="BU153" s="28">
        <f t="shared" si="54"/>
        <v>0</v>
      </c>
      <c r="BV153" s="28">
        <f t="shared" si="55"/>
        <v>0</v>
      </c>
      <c r="BW153" s="28">
        <f t="shared" si="56"/>
        <v>0</v>
      </c>
    </row>
    <row r="154" spans="1:75" ht="17.399999999999999" x14ac:dyDescent="0.25">
      <c r="A154" s="69">
        <f t="shared" si="39"/>
        <v>153</v>
      </c>
      <c r="B154" s="73" t="s">
        <v>457</v>
      </c>
      <c r="C154" s="73" t="s">
        <v>243</v>
      </c>
      <c r="D154" s="73" t="s">
        <v>454</v>
      </c>
      <c r="E154" s="73" t="s">
        <v>58</v>
      </c>
      <c r="F154" s="73" t="s">
        <v>455</v>
      </c>
      <c r="G154" s="78" t="s">
        <v>286</v>
      </c>
      <c r="H154" s="71" t="s">
        <v>458</v>
      </c>
      <c r="I154" s="71" t="str">
        <f>VLOOKUP(H154,[1]Sheet1!$C:$C,1,0)</f>
        <v>SC2063SO-GC-00NR-2063</v>
      </c>
      <c r="J154" s="78"/>
      <c r="K154" s="78"/>
      <c r="L154" s="72"/>
      <c r="M154" s="72"/>
      <c r="N154" s="78" t="s">
        <v>367</v>
      </c>
      <c r="O154" s="72"/>
      <c r="P154" s="72"/>
      <c r="Q154" s="72"/>
      <c r="R154" s="100">
        <v>0.20200000000000001</v>
      </c>
      <c r="S154" s="75">
        <f t="shared" si="47"/>
        <v>0</v>
      </c>
      <c r="T154" s="76">
        <v>0</v>
      </c>
      <c r="U154" s="76">
        <f t="shared" si="53"/>
        <v>0</v>
      </c>
      <c r="V154" s="72"/>
      <c r="W154" s="72"/>
      <c r="X154" s="72"/>
      <c r="Y154" s="72"/>
      <c r="Z154" s="72">
        <v>50000</v>
      </c>
      <c r="AA154" s="72"/>
      <c r="AB154" s="72"/>
      <c r="AC154" s="72"/>
      <c r="AD154" s="77"/>
      <c r="AE154" s="75"/>
      <c r="AF154" s="75"/>
      <c r="AG154" s="75"/>
      <c r="AH154" s="75">
        <v>0</v>
      </c>
      <c r="AI154" s="75"/>
      <c r="AJ154" s="75">
        <v>0</v>
      </c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0" t="s">
        <v>61</v>
      </c>
      <c r="AY154" s="19" t="s">
        <v>261</v>
      </c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6">
        <f t="shared" si="48"/>
        <v>10100</v>
      </c>
      <c r="BQ154" s="16">
        <f t="shared" si="49"/>
        <v>0</v>
      </c>
      <c r="BR154" s="16">
        <f t="shared" si="50"/>
        <v>0</v>
      </c>
      <c r="BS154" s="16">
        <f t="shared" si="51"/>
        <v>0</v>
      </c>
      <c r="BT154" s="17">
        <f t="shared" si="52"/>
        <v>0</v>
      </c>
      <c r="BU154" s="28">
        <f t="shared" si="54"/>
        <v>0</v>
      </c>
      <c r="BV154" s="28">
        <f t="shared" si="55"/>
        <v>0</v>
      </c>
      <c r="BW154" s="28">
        <f t="shared" si="56"/>
        <v>0</v>
      </c>
    </row>
    <row r="155" spans="1:75" ht="17.399999999999999" x14ac:dyDescent="0.25">
      <c r="A155" s="69">
        <f t="shared" si="39"/>
        <v>154</v>
      </c>
      <c r="B155" s="73" t="s">
        <v>1877</v>
      </c>
      <c r="C155" s="73" t="s">
        <v>243</v>
      </c>
      <c r="D155" s="73" t="s">
        <v>107</v>
      </c>
      <c r="E155" s="73" t="s">
        <v>199</v>
      </c>
      <c r="F155" s="73" t="s">
        <v>108</v>
      </c>
      <c r="G155" s="78" t="s">
        <v>440</v>
      </c>
      <c r="H155" s="71" t="s">
        <v>1878</v>
      </c>
      <c r="I155" s="71" t="str">
        <f>VLOOKUP(H155,[1]Sheet1!$C:$C,1,0)</f>
        <v>SC9314UA-Q-CF-0XAK-94M</v>
      </c>
      <c r="J155" s="78"/>
      <c r="K155" s="78"/>
      <c r="L155" s="72"/>
      <c r="M155" s="72"/>
      <c r="N155" s="71"/>
      <c r="O155" s="72"/>
      <c r="P155" s="72"/>
      <c r="Q155" s="72"/>
      <c r="R155" s="100">
        <v>3.2544</v>
      </c>
      <c r="S155" s="75"/>
      <c r="T155" s="76"/>
      <c r="U155" s="76">
        <f t="shared" si="53"/>
        <v>1000</v>
      </c>
      <c r="V155" s="72"/>
      <c r="W155" s="72"/>
      <c r="X155" s="72"/>
      <c r="Y155" s="72"/>
      <c r="Z155" s="72"/>
      <c r="AA155" s="72"/>
      <c r="AB155" s="72"/>
      <c r="AC155" s="72"/>
      <c r="AD155" s="77"/>
      <c r="AE155" s="75"/>
      <c r="AF155" s="75"/>
      <c r="AG155" s="75">
        <v>1000</v>
      </c>
      <c r="AH155" s="75">
        <v>1000</v>
      </c>
      <c r="AI155" s="75">
        <v>1000</v>
      </c>
      <c r="AJ155" s="75">
        <v>2000</v>
      </c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0"/>
      <c r="AY155" s="19" t="s">
        <v>386</v>
      </c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6"/>
      <c r="BQ155" s="16"/>
      <c r="BR155" s="16"/>
      <c r="BS155" s="16"/>
      <c r="BT155" s="17"/>
      <c r="BU155" s="28">
        <f t="shared" si="54"/>
        <v>0</v>
      </c>
      <c r="BV155" s="28">
        <f t="shared" si="55"/>
        <v>0</v>
      </c>
      <c r="BW155" s="28">
        <f t="shared" si="56"/>
        <v>3254.4</v>
      </c>
    </row>
    <row r="156" spans="1:75" ht="17.399999999999999" x14ac:dyDescent="0.25">
      <c r="A156" s="69">
        <f t="shared" si="39"/>
        <v>155</v>
      </c>
      <c r="B156" s="73" t="s">
        <v>976</v>
      </c>
      <c r="C156" s="73" t="s">
        <v>290</v>
      </c>
      <c r="D156" s="73" t="s">
        <v>977</v>
      </c>
      <c r="E156" s="73" t="s">
        <v>978</v>
      </c>
      <c r="F156" s="73" t="s">
        <v>978</v>
      </c>
      <c r="G156" s="71" t="s">
        <v>979</v>
      </c>
      <c r="H156" s="71" t="s">
        <v>980</v>
      </c>
      <c r="I156" s="71" t="str">
        <f>VLOOKUP(H156,[1]Sheet1!$C:$C,1,0)</f>
        <v>SC4923SO-N-CD-00NR-4923</v>
      </c>
      <c r="J156" s="87"/>
      <c r="K156" s="87" t="s">
        <v>571</v>
      </c>
      <c r="L156" s="71" t="s">
        <v>981</v>
      </c>
      <c r="M156" s="72"/>
      <c r="N156" s="71"/>
      <c r="O156" s="71"/>
      <c r="P156" s="70"/>
      <c r="Q156" s="70"/>
      <c r="R156" s="100">
        <v>0.35</v>
      </c>
      <c r="S156" s="75">
        <f>R156*U156</f>
        <v>3150000</v>
      </c>
      <c r="T156" s="76">
        <v>12680000</v>
      </c>
      <c r="U156" s="76">
        <f t="shared" si="53"/>
        <v>9000000</v>
      </c>
      <c r="V156" s="76"/>
      <c r="W156" s="76"/>
      <c r="X156" s="76"/>
      <c r="Y156" s="76">
        <v>1000000</v>
      </c>
      <c r="Z156" s="76">
        <v>3700000</v>
      </c>
      <c r="AA156" s="76">
        <v>4000000</v>
      </c>
      <c r="AB156" s="76">
        <v>4000000</v>
      </c>
      <c r="AC156" s="76">
        <v>1000000</v>
      </c>
      <c r="AD156" s="77">
        <v>3000000</v>
      </c>
      <c r="AE156" s="75">
        <v>3000000</v>
      </c>
      <c r="AF156" s="75">
        <v>3000000</v>
      </c>
      <c r="AG156" s="75">
        <v>3000000</v>
      </c>
      <c r="AH156" s="75">
        <v>3000000</v>
      </c>
      <c r="AI156" s="75"/>
      <c r="AJ156" s="75">
        <v>0</v>
      </c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4"/>
      <c r="AX156" s="14" t="s">
        <v>689</v>
      </c>
      <c r="AY156" s="19" t="s">
        <v>261</v>
      </c>
      <c r="AZ156" s="14"/>
      <c r="BA156" s="15"/>
      <c r="BB156" s="9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>
        <f>$R156*Z156</f>
        <v>1295000</v>
      </c>
      <c r="BQ156" s="16">
        <f>$R156*AA156</f>
        <v>1400000</v>
      </c>
      <c r="BR156" s="16">
        <f>$R156*AB156</f>
        <v>1400000</v>
      </c>
      <c r="BS156" s="16">
        <f>$R156*AC156</f>
        <v>350000</v>
      </c>
      <c r="BT156" s="17">
        <f>$R156*AD156</f>
        <v>1050000</v>
      </c>
      <c r="BU156" s="28">
        <f t="shared" si="54"/>
        <v>1050000</v>
      </c>
      <c r="BV156" s="28">
        <f t="shared" si="55"/>
        <v>1050000</v>
      </c>
      <c r="BW156" s="28">
        <f t="shared" si="56"/>
        <v>1050000</v>
      </c>
    </row>
    <row r="157" spans="1:75" ht="17.399999999999999" x14ac:dyDescent="0.25">
      <c r="A157" s="69">
        <f t="shared" si="39"/>
        <v>156</v>
      </c>
      <c r="B157" s="73" t="s">
        <v>1524</v>
      </c>
      <c r="C157" s="71" t="s">
        <v>243</v>
      </c>
      <c r="D157" s="71" t="s">
        <v>1176</v>
      </c>
      <c r="E157" s="71" t="s">
        <v>1160</v>
      </c>
      <c r="F157" s="71"/>
      <c r="G157" s="71" t="s">
        <v>1526</v>
      </c>
      <c r="H157" s="71" t="s">
        <v>1527</v>
      </c>
      <c r="I157" s="71" t="str">
        <f>VLOOKUP(H157,[1]Sheet1!$C:$C,1,0)</f>
        <v>SC1945B1(STC2899AJ)-N13</v>
      </c>
      <c r="J157" s="71"/>
      <c r="K157" s="71"/>
      <c r="L157" s="73"/>
      <c r="M157" s="80"/>
      <c r="N157" s="72"/>
      <c r="O157" s="73"/>
      <c r="P157" s="71"/>
      <c r="Q157" s="71"/>
      <c r="R157" s="100">
        <v>0.21</v>
      </c>
      <c r="S157" s="75">
        <f>R157*U157</f>
        <v>157500</v>
      </c>
      <c r="T157" s="91"/>
      <c r="U157" s="76">
        <f t="shared" si="53"/>
        <v>750000</v>
      </c>
      <c r="V157" s="80"/>
      <c r="W157" s="80"/>
      <c r="X157" s="80"/>
      <c r="Y157" s="80"/>
      <c r="Z157" s="80"/>
      <c r="AA157" s="80"/>
      <c r="AB157" s="80"/>
      <c r="AC157" s="80">
        <v>250000</v>
      </c>
      <c r="AD157" s="77">
        <v>250000</v>
      </c>
      <c r="AE157" s="75">
        <v>250000</v>
      </c>
      <c r="AF157" s="75">
        <v>250000</v>
      </c>
      <c r="AG157" s="75">
        <v>250000</v>
      </c>
      <c r="AH157" s="75">
        <v>250000</v>
      </c>
      <c r="AI157" s="75"/>
      <c r="AJ157" s="75">
        <v>250000</v>
      </c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59"/>
      <c r="AX157" s="59" t="s">
        <v>689</v>
      </c>
      <c r="AY157" s="19" t="s">
        <v>261</v>
      </c>
      <c r="AZ157" s="59"/>
      <c r="BA157" s="59"/>
      <c r="BB157" s="59"/>
      <c r="BC157" s="59"/>
      <c r="BD157" s="59"/>
      <c r="BE157" s="59"/>
      <c r="BF157" s="59"/>
      <c r="BG157" s="62"/>
      <c r="BH157" s="59"/>
      <c r="BI157" s="63"/>
      <c r="BJ157" s="63"/>
      <c r="BK157" s="63"/>
      <c r="BL157" s="63"/>
      <c r="BM157" s="63"/>
      <c r="BN157" s="64"/>
      <c r="BO157" s="61"/>
      <c r="BP157" s="65">
        <f t="shared" ref="BP157:BT158" si="57">$R157*Z157</f>
        <v>0</v>
      </c>
      <c r="BQ157" s="65">
        <f t="shared" si="57"/>
        <v>0</v>
      </c>
      <c r="BR157" s="65">
        <f t="shared" si="57"/>
        <v>0</v>
      </c>
      <c r="BS157" s="65">
        <f t="shared" si="57"/>
        <v>52500</v>
      </c>
      <c r="BT157" s="66">
        <f t="shared" si="57"/>
        <v>52500</v>
      </c>
      <c r="BU157" s="28">
        <f t="shared" si="54"/>
        <v>52500</v>
      </c>
      <c r="BV157" s="28">
        <f t="shared" si="55"/>
        <v>52500</v>
      </c>
      <c r="BW157" s="28">
        <f t="shared" si="56"/>
        <v>52500</v>
      </c>
    </row>
    <row r="158" spans="1:75" ht="17.399999999999999" x14ac:dyDescent="0.25">
      <c r="A158" s="69">
        <f t="shared" si="39"/>
        <v>157</v>
      </c>
      <c r="B158" s="73" t="s">
        <v>986</v>
      </c>
      <c r="C158" s="73" t="s">
        <v>235</v>
      </c>
      <c r="D158" s="73" t="s">
        <v>986</v>
      </c>
      <c r="E158" s="73" t="s">
        <v>978</v>
      </c>
      <c r="F158" s="73" t="s">
        <v>978</v>
      </c>
      <c r="G158" s="71" t="s">
        <v>979</v>
      </c>
      <c r="H158" s="71" t="s">
        <v>987</v>
      </c>
      <c r="I158" s="71" t="str">
        <f>VLOOKUP(H158,[1]Sheet1!$C:$C,1,0)</f>
        <v>SC4923SO-N-CD-00NR-4923</v>
      </c>
      <c r="J158" s="87"/>
      <c r="K158" s="85"/>
      <c r="L158" s="71" t="s">
        <v>981</v>
      </c>
      <c r="M158" s="85"/>
      <c r="N158" s="85"/>
      <c r="O158" s="85"/>
      <c r="P158" s="85"/>
      <c r="Q158" s="85"/>
      <c r="R158" s="100">
        <v>0.4</v>
      </c>
      <c r="S158" s="75">
        <f>R158*U158</f>
        <v>0</v>
      </c>
      <c r="T158" s="76">
        <v>6400000</v>
      </c>
      <c r="U158" s="76">
        <f t="shared" si="53"/>
        <v>0</v>
      </c>
      <c r="V158" s="85"/>
      <c r="W158" s="85"/>
      <c r="X158" s="85"/>
      <c r="Y158" s="85"/>
      <c r="Z158" s="76">
        <v>2000000</v>
      </c>
      <c r="AA158" s="76"/>
      <c r="AB158" s="76"/>
      <c r="AC158" s="76"/>
      <c r="AD158" s="77"/>
      <c r="AE158" s="75"/>
      <c r="AF158" s="75"/>
      <c r="AG158" s="75"/>
      <c r="AH158" s="75">
        <v>0</v>
      </c>
      <c r="AI158" s="75"/>
      <c r="AJ158" s="75">
        <v>0</v>
      </c>
      <c r="AK158" s="27"/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 t="s">
        <v>689</v>
      </c>
      <c r="AY158" s="19" t="s">
        <v>261</v>
      </c>
      <c r="AZ158" s="27"/>
      <c r="BA158" s="27"/>
      <c r="BB158" s="27"/>
      <c r="BC158" s="27"/>
      <c r="BD158" s="27"/>
      <c r="BE158" s="27"/>
      <c r="BF158" s="27"/>
      <c r="BG158" s="27"/>
      <c r="BH158" s="27"/>
      <c r="BI158" s="27"/>
      <c r="BJ158" s="27"/>
      <c r="BK158" s="27"/>
      <c r="BL158" s="27"/>
      <c r="BM158" s="27"/>
      <c r="BN158" s="27"/>
      <c r="BO158" s="27"/>
      <c r="BP158" s="27">
        <f t="shared" si="57"/>
        <v>800000</v>
      </c>
      <c r="BQ158" s="27">
        <f t="shared" si="57"/>
        <v>0</v>
      </c>
      <c r="BR158" s="27">
        <f t="shared" si="57"/>
        <v>0</v>
      </c>
      <c r="BS158" s="27">
        <f t="shared" si="57"/>
        <v>0</v>
      </c>
      <c r="BT158" s="28">
        <f t="shared" si="57"/>
        <v>0</v>
      </c>
      <c r="BU158" s="28">
        <f t="shared" si="54"/>
        <v>0</v>
      </c>
      <c r="BV158" s="28">
        <f t="shared" si="55"/>
        <v>0</v>
      </c>
      <c r="BW158" s="28">
        <f t="shared" si="56"/>
        <v>0</v>
      </c>
    </row>
    <row r="159" spans="1:75" ht="17.399999999999999" x14ac:dyDescent="0.25">
      <c r="A159" s="69">
        <f t="shared" si="39"/>
        <v>158</v>
      </c>
      <c r="B159" s="73" t="s">
        <v>1933</v>
      </c>
      <c r="C159" s="71" t="s">
        <v>243</v>
      </c>
      <c r="D159" s="71" t="s">
        <v>1811</v>
      </c>
      <c r="E159" s="71" t="s">
        <v>978</v>
      </c>
      <c r="F159" s="71" t="s">
        <v>978</v>
      </c>
      <c r="G159" s="71" t="s">
        <v>1922</v>
      </c>
      <c r="H159" s="71" t="s">
        <v>1923</v>
      </c>
      <c r="I159" s="71" t="str">
        <f>VLOOKUP(H159,[1]Sheet1!$C:$C,1,0)</f>
        <v>SC2242SO-CH-90NR-2242</v>
      </c>
      <c r="J159" s="71"/>
      <c r="K159" s="71"/>
      <c r="L159" s="73"/>
      <c r="M159" s="80"/>
      <c r="N159" s="72"/>
      <c r="O159" s="73"/>
      <c r="P159" s="71"/>
      <c r="Q159" s="71"/>
      <c r="R159" s="100">
        <v>0.5</v>
      </c>
      <c r="S159" s="75"/>
      <c r="T159" s="91"/>
      <c r="U159" s="76">
        <f t="shared" si="53"/>
        <v>0</v>
      </c>
      <c r="V159" s="80"/>
      <c r="W159" s="80"/>
      <c r="X159" s="80"/>
      <c r="Y159" s="72"/>
      <c r="Z159" s="72"/>
      <c r="AA159" s="72"/>
      <c r="AB159" s="72"/>
      <c r="AC159" s="72"/>
      <c r="AD159" s="77"/>
      <c r="AE159" s="75"/>
      <c r="AF159" s="75"/>
      <c r="AG159" s="75"/>
      <c r="AH159" s="75"/>
      <c r="AI159" s="75"/>
      <c r="AJ159" s="75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19"/>
      <c r="AX159" s="19"/>
      <c r="AY159" s="19" t="s">
        <v>261</v>
      </c>
      <c r="AZ159" s="19"/>
      <c r="BA159" s="19"/>
      <c r="BB159" s="19"/>
      <c r="BC159" s="19"/>
      <c r="BD159" s="19"/>
      <c r="BE159" s="19"/>
      <c r="BF159" s="19"/>
      <c r="BG159" s="24"/>
      <c r="BH159" s="19"/>
      <c r="BI159" s="25"/>
      <c r="BJ159" s="25"/>
      <c r="BK159" s="25"/>
      <c r="BL159" s="25"/>
      <c r="BM159" s="25"/>
      <c r="BN159" s="37"/>
      <c r="BO159" s="21"/>
      <c r="BP159" s="27"/>
      <c r="BQ159" s="27"/>
      <c r="BR159" s="27"/>
      <c r="BS159" s="27"/>
      <c r="BT159" s="28"/>
      <c r="BU159" s="28">
        <f t="shared" si="54"/>
        <v>0</v>
      </c>
      <c r="BV159" s="28">
        <f t="shared" si="55"/>
        <v>0</v>
      </c>
      <c r="BW159" s="28">
        <f t="shared" si="56"/>
        <v>0</v>
      </c>
    </row>
    <row r="160" spans="1:75" ht="17.399999999999999" x14ac:dyDescent="0.25">
      <c r="A160" s="69">
        <f t="shared" si="39"/>
        <v>159</v>
      </c>
      <c r="B160" s="73" t="s">
        <v>1034</v>
      </c>
      <c r="C160" s="73" t="s">
        <v>235</v>
      </c>
      <c r="D160" s="73" t="s">
        <v>1033</v>
      </c>
      <c r="E160" s="73" t="s">
        <v>978</v>
      </c>
      <c r="F160" s="73" t="s">
        <v>978</v>
      </c>
      <c r="G160" s="71" t="s">
        <v>1035</v>
      </c>
      <c r="H160" s="71" t="s">
        <v>1036</v>
      </c>
      <c r="I160" s="71" t="str">
        <f>VLOOKUP(H160,[1]Sheet1!$C:$C,1,0)</f>
        <v>SC1645A1-AI-00HK-4601H</v>
      </c>
      <c r="J160" s="87"/>
      <c r="K160" s="85"/>
      <c r="L160" s="85"/>
      <c r="M160" s="85"/>
      <c r="N160" s="85"/>
      <c r="O160" s="85"/>
      <c r="P160" s="85"/>
      <c r="Q160" s="85"/>
      <c r="R160" s="100">
        <v>0.255</v>
      </c>
      <c r="S160" s="75">
        <f>R160*U160</f>
        <v>2677500</v>
      </c>
      <c r="T160" s="76">
        <v>0</v>
      </c>
      <c r="U160" s="76">
        <f t="shared" si="53"/>
        <v>10500000</v>
      </c>
      <c r="V160" s="85"/>
      <c r="W160" s="85"/>
      <c r="X160" s="85"/>
      <c r="Y160" s="85"/>
      <c r="Z160" s="76"/>
      <c r="AA160" s="76">
        <v>3500000</v>
      </c>
      <c r="AB160" s="76">
        <v>3500000</v>
      </c>
      <c r="AC160" s="76">
        <v>3500000</v>
      </c>
      <c r="AD160" s="77">
        <v>3500000</v>
      </c>
      <c r="AE160" s="75">
        <v>3500000</v>
      </c>
      <c r="AF160" s="75">
        <v>3500000</v>
      </c>
      <c r="AG160" s="75">
        <v>3500000</v>
      </c>
      <c r="AH160" s="75">
        <v>3500000</v>
      </c>
      <c r="AI160" s="75"/>
      <c r="AJ160" s="75">
        <v>0</v>
      </c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 t="s">
        <v>689</v>
      </c>
      <c r="AY160" s="19" t="s">
        <v>261</v>
      </c>
      <c r="AZ160" s="27"/>
      <c r="BA160" s="27"/>
      <c r="BB160" s="27"/>
      <c r="BC160" s="27"/>
      <c r="BD160" s="27"/>
      <c r="BE160" s="27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>
        <f t="shared" ref="BP160:BT161" si="58">$R160*Z160</f>
        <v>0</v>
      </c>
      <c r="BQ160" s="27">
        <f t="shared" si="58"/>
        <v>892500</v>
      </c>
      <c r="BR160" s="27">
        <f t="shared" si="58"/>
        <v>892500</v>
      </c>
      <c r="BS160" s="27">
        <f t="shared" si="58"/>
        <v>892500</v>
      </c>
      <c r="BT160" s="28">
        <f t="shared" si="58"/>
        <v>892500</v>
      </c>
      <c r="BU160" s="28">
        <f t="shared" si="54"/>
        <v>892500</v>
      </c>
      <c r="BV160" s="28">
        <f t="shared" si="55"/>
        <v>892500</v>
      </c>
      <c r="BW160" s="28">
        <f t="shared" si="56"/>
        <v>892500</v>
      </c>
    </row>
    <row r="161" spans="1:75" ht="17.399999999999999" x14ac:dyDescent="0.25">
      <c r="A161" s="69">
        <f t="shared" si="39"/>
        <v>160</v>
      </c>
      <c r="B161" s="73" t="s">
        <v>1037</v>
      </c>
      <c r="C161" s="73" t="s">
        <v>243</v>
      </c>
      <c r="D161" s="73" t="s">
        <v>1033</v>
      </c>
      <c r="E161" s="73" t="s">
        <v>978</v>
      </c>
      <c r="F161" s="73" t="s">
        <v>978</v>
      </c>
      <c r="G161" s="71" t="s">
        <v>1038</v>
      </c>
      <c r="H161" s="71" t="s">
        <v>1039</v>
      </c>
      <c r="I161" s="71" t="str">
        <f>VLOOKUP(H161,[1]Sheet1!$C:$C,1,0)</f>
        <v>SC1645B1-AI-00HK-4601</v>
      </c>
      <c r="J161" s="87"/>
      <c r="K161" s="85"/>
      <c r="L161" s="85"/>
      <c r="M161" s="85"/>
      <c r="N161" s="85"/>
      <c r="O161" s="85"/>
      <c r="P161" s="85"/>
      <c r="Q161" s="85"/>
      <c r="R161" s="100">
        <v>0.255</v>
      </c>
      <c r="S161" s="75">
        <f>R161*U161</f>
        <v>0</v>
      </c>
      <c r="T161" s="76">
        <v>0</v>
      </c>
      <c r="U161" s="76">
        <f t="shared" si="53"/>
        <v>0</v>
      </c>
      <c r="V161" s="85"/>
      <c r="W161" s="85"/>
      <c r="X161" s="85"/>
      <c r="Y161" s="85"/>
      <c r="Z161" s="76"/>
      <c r="AA161" s="76">
        <v>3000000</v>
      </c>
      <c r="AB161" s="76">
        <v>3000000</v>
      </c>
      <c r="AC161" s="76">
        <v>3000000</v>
      </c>
      <c r="AD161" s="77"/>
      <c r="AE161" s="75"/>
      <c r="AF161" s="75"/>
      <c r="AG161" s="75"/>
      <c r="AH161" s="75"/>
      <c r="AI161" s="75"/>
      <c r="AJ161" s="75">
        <v>0</v>
      </c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 t="s">
        <v>689</v>
      </c>
      <c r="AY161" s="19" t="s">
        <v>261</v>
      </c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>
        <f t="shared" si="58"/>
        <v>0</v>
      </c>
      <c r="BQ161" s="16">
        <f t="shared" si="58"/>
        <v>765000</v>
      </c>
      <c r="BR161" s="16">
        <f t="shared" si="58"/>
        <v>765000</v>
      </c>
      <c r="BS161" s="16">
        <f t="shared" si="58"/>
        <v>765000</v>
      </c>
      <c r="BT161" s="17">
        <f t="shared" si="58"/>
        <v>0</v>
      </c>
      <c r="BU161" s="28">
        <f t="shared" si="54"/>
        <v>0</v>
      </c>
      <c r="BV161" s="28">
        <f t="shared" si="55"/>
        <v>0</v>
      </c>
      <c r="BW161" s="28">
        <f t="shared" si="56"/>
        <v>0</v>
      </c>
    </row>
    <row r="162" spans="1:75" ht="17.399999999999999" x14ac:dyDescent="0.25">
      <c r="A162" s="69">
        <f t="shared" si="39"/>
        <v>161</v>
      </c>
      <c r="B162" s="73" t="s">
        <v>1947</v>
      </c>
      <c r="C162" s="71" t="s">
        <v>149</v>
      </c>
      <c r="D162" s="71" t="s">
        <v>1947</v>
      </c>
      <c r="E162" s="71" t="s">
        <v>1948</v>
      </c>
      <c r="F162" s="71" t="s">
        <v>1948</v>
      </c>
      <c r="G162" s="71" t="s">
        <v>1969</v>
      </c>
      <c r="H162" s="71" t="s">
        <v>278</v>
      </c>
      <c r="I162" s="71" t="str">
        <f>VLOOKUP(H162,[1]Sheet1!$C:$C,1,0)</f>
        <v>SC2402UA-CJ-90AK-2402</v>
      </c>
      <c r="J162" s="71"/>
      <c r="K162" s="71"/>
      <c r="L162" s="73"/>
      <c r="M162" s="80"/>
      <c r="N162" s="72"/>
      <c r="O162" s="73"/>
      <c r="P162" s="71"/>
      <c r="Q162" s="71"/>
      <c r="R162" s="100">
        <v>0.14000000000000001</v>
      </c>
      <c r="S162" s="75"/>
      <c r="T162" s="91"/>
      <c r="U162" s="76">
        <f t="shared" si="53"/>
        <v>180000</v>
      </c>
      <c r="V162" s="80"/>
      <c r="W162" s="80"/>
      <c r="X162" s="80"/>
      <c r="Y162" s="72"/>
      <c r="Z162" s="72"/>
      <c r="AA162" s="72"/>
      <c r="AB162" s="72"/>
      <c r="AC162" s="72"/>
      <c r="AD162" s="77"/>
      <c r="AE162" s="75">
        <v>60000</v>
      </c>
      <c r="AF162" s="75">
        <v>60000</v>
      </c>
      <c r="AG162" s="75">
        <v>60000</v>
      </c>
      <c r="AH162" s="75">
        <v>60000</v>
      </c>
      <c r="AI162" s="75">
        <v>60000</v>
      </c>
      <c r="AJ162" s="75">
        <v>60000</v>
      </c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19"/>
      <c r="AX162" s="19"/>
      <c r="AY162" s="19" t="s">
        <v>261</v>
      </c>
      <c r="AZ162" s="19"/>
      <c r="BA162" s="19"/>
      <c r="BB162" s="19"/>
      <c r="BC162" s="19"/>
      <c r="BD162" s="19"/>
      <c r="BE162" s="19"/>
      <c r="BF162" s="19"/>
      <c r="BG162" s="24"/>
      <c r="BH162" s="19"/>
      <c r="BI162" s="25"/>
      <c r="BJ162" s="25"/>
      <c r="BK162" s="25"/>
      <c r="BL162" s="25"/>
      <c r="BM162" s="25"/>
      <c r="BN162" s="37"/>
      <c r="BO162" s="21"/>
      <c r="BP162" s="27"/>
      <c r="BQ162" s="27"/>
      <c r="BR162" s="27"/>
      <c r="BS162" s="27"/>
      <c r="BT162" s="28"/>
      <c r="BU162" s="28">
        <f t="shared" si="54"/>
        <v>8400</v>
      </c>
      <c r="BV162" s="28">
        <f t="shared" si="55"/>
        <v>8400</v>
      </c>
      <c r="BW162" s="28">
        <f t="shared" si="56"/>
        <v>8400</v>
      </c>
    </row>
    <row r="163" spans="1:75" ht="17.399999999999999" x14ac:dyDescent="0.25">
      <c r="A163" s="69">
        <f t="shared" si="39"/>
        <v>162</v>
      </c>
      <c r="B163" s="73" t="s">
        <v>1040</v>
      </c>
      <c r="C163" s="73" t="s">
        <v>243</v>
      </c>
      <c r="D163" s="73" t="s">
        <v>1033</v>
      </c>
      <c r="E163" s="73" t="s">
        <v>978</v>
      </c>
      <c r="F163" s="73" t="s">
        <v>978</v>
      </c>
      <c r="G163" s="71" t="s">
        <v>1041</v>
      </c>
      <c r="H163" s="71" t="s">
        <v>1042</v>
      </c>
      <c r="I163" s="71" t="str">
        <f>VLOOKUP(H163,[1]Sheet1!$C:$C,1,0)</f>
        <v>SC1945B1-AJ-00HK-N603</v>
      </c>
      <c r="J163" s="87"/>
      <c r="K163" s="85"/>
      <c r="L163" s="85"/>
      <c r="M163" s="85"/>
      <c r="N163" s="85"/>
      <c r="O163" s="85"/>
      <c r="P163" s="85"/>
      <c r="Q163" s="85"/>
      <c r="R163" s="100">
        <v>0.255</v>
      </c>
      <c r="S163" s="75">
        <f t="shared" ref="S163:S175" si="59">R163*U163</f>
        <v>0</v>
      </c>
      <c r="T163" s="76">
        <v>0</v>
      </c>
      <c r="U163" s="76">
        <f t="shared" si="53"/>
        <v>0</v>
      </c>
      <c r="V163" s="85"/>
      <c r="W163" s="85"/>
      <c r="X163" s="85"/>
      <c r="Y163" s="85"/>
      <c r="Z163" s="76"/>
      <c r="AA163" s="76">
        <v>1500000</v>
      </c>
      <c r="AB163" s="76">
        <v>1500000</v>
      </c>
      <c r="AC163" s="76">
        <v>1500000</v>
      </c>
      <c r="AD163" s="77"/>
      <c r="AE163" s="75"/>
      <c r="AF163" s="75"/>
      <c r="AG163" s="75"/>
      <c r="AH163" s="75">
        <v>0</v>
      </c>
      <c r="AI163" s="75"/>
      <c r="AJ163" s="75">
        <v>0</v>
      </c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 t="s">
        <v>689</v>
      </c>
      <c r="AY163" s="19" t="s">
        <v>261</v>
      </c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>
        <f t="shared" ref="BP163:BP175" si="60">$R163*Z163</f>
        <v>0</v>
      </c>
      <c r="BQ163" s="27">
        <f t="shared" ref="BQ163:BQ175" si="61">$R163*AA163</f>
        <v>382500</v>
      </c>
      <c r="BR163" s="27">
        <f t="shared" ref="BR163:BR175" si="62">$R163*AB163</f>
        <v>382500</v>
      </c>
      <c r="BS163" s="27">
        <f t="shared" ref="BS163:BS175" si="63">$R163*AC163</f>
        <v>382500</v>
      </c>
      <c r="BT163" s="28">
        <f t="shared" ref="BT163:BT175" si="64">$R163*AD163</f>
        <v>0</v>
      </c>
      <c r="BU163" s="28">
        <f t="shared" si="54"/>
        <v>0</v>
      </c>
      <c r="BV163" s="28">
        <f t="shared" si="55"/>
        <v>0</v>
      </c>
      <c r="BW163" s="28">
        <f t="shared" si="56"/>
        <v>0</v>
      </c>
    </row>
    <row r="164" spans="1:75" ht="17.399999999999999" x14ac:dyDescent="0.25">
      <c r="A164" s="69">
        <f t="shared" si="39"/>
        <v>163</v>
      </c>
      <c r="B164" s="73" t="s">
        <v>1043</v>
      </c>
      <c r="C164" s="73" t="s">
        <v>235</v>
      </c>
      <c r="D164" s="73" t="s">
        <v>1043</v>
      </c>
      <c r="E164" s="73" t="s">
        <v>978</v>
      </c>
      <c r="F164" s="73" t="s">
        <v>978</v>
      </c>
      <c r="G164" s="71" t="s">
        <v>929</v>
      </c>
      <c r="H164" s="71" t="s">
        <v>930</v>
      </c>
      <c r="I164" s="71" t="str">
        <f>VLOOKUP(H164,[1]Sheet1!$C:$C,1,0)</f>
        <v>SC4011SO-N-CB-90NR-49E</v>
      </c>
      <c r="J164" s="87"/>
      <c r="K164" s="85"/>
      <c r="L164" s="85"/>
      <c r="M164" s="85"/>
      <c r="N164" s="85"/>
      <c r="O164" s="85"/>
      <c r="P164" s="85"/>
      <c r="Q164" s="85"/>
      <c r="R164" s="100">
        <v>0.21</v>
      </c>
      <c r="S164" s="75">
        <f t="shared" si="59"/>
        <v>0</v>
      </c>
      <c r="T164" s="76">
        <v>0</v>
      </c>
      <c r="U164" s="76">
        <f t="shared" si="53"/>
        <v>0</v>
      </c>
      <c r="V164" s="85"/>
      <c r="W164" s="85"/>
      <c r="X164" s="85"/>
      <c r="Y164" s="85"/>
      <c r="Z164" s="76"/>
      <c r="AA164" s="76"/>
      <c r="AB164" s="76"/>
      <c r="AC164" s="76"/>
      <c r="AD164" s="77"/>
      <c r="AE164" s="75"/>
      <c r="AF164" s="75"/>
      <c r="AG164" s="75"/>
      <c r="AH164" s="75">
        <v>0</v>
      </c>
      <c r="AI164" s="75"/>
      <c r="AJ164" s="75">
        <v>0</v>
      </c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 t="s">
        <v>689</v>
      </c>
      <c r="AY164" s="19" t="s">
        <v>261</v>
      </c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>
        <f t="shared" si="60"/>
        <v>0</v>
      </c>
      <c r="BQ164" s="16">
        <f t="shared" si="61"/>
        <v>0</v>
      </c>
      <c r="BR164" s="16">
        <f t="shared" si="62"/>
        <v>0</v>
      </c>
      <c r="BS164" s="16">
        <f t="shared" si="63"/>
        <v>0</v>
      </c>
      <c r="BT164" s="17">
        <f t="shared" si="64"/>
        <v>0</v>
      </c>
      <c r="BU164" s="28">
        <f t="shared" ref="BU164:BU194" si="65">$R164*AE164</f>
        <v>0</v>
      </c>
      <c r="BV164" s="28">
        <f t="shared" ref="BV164:BV194" si="66">$R164*AF164</f>
        <v>0</v>
      </c>
      <c r="BW164" s="28">
        <f t="shared" ref="BW164:BW194" si="67">$R164*AG164</f>
        <v>0</v>
      </c>
    </row>
    <row r="165" spans="1:75" ht="17.399999999999999" x14ac:dyDescent="0.25">
      <c r="A165" s="69">
        <f t="shared" si="39"/>
        <v>164</v>
      </c>
      <c r="B165" s="73" t="s">
        <v>1043</v>
      </c>
      <c r="C165" s="73" t="s">
        <v>235</v>
      </c>
      <c r="D165" s="73" t="s">
        <v>1043</v>
      </c>
      <c r="E165" s="73" t="s">
        <v>978</v>
      </c>
      <c r="F165" s="73" t="s">
        <v>978</v>
      </c>
      <c r="G165" s="71" t="s">
        <v>1044</v>
      </c>
      <c r="H165" s="71" t="s">
        <v>1045</v>
      </c>
      <c r="I165" s="71" t="str">
        <f>VLOOKUP(H165,[1]Sheet1!$C:$C,1,0)</f>
        <v>SC1845S1-AI-00AK-41F</v>
      </c>
      <c r="J165" s="87"/>
      <c r="K165" s="85"/>
      <c r="L165" s="85"/>
      <c r="M165" s="85"/>
      <c r="N165" s="85"/>
      <c r="O165" s="85"/>
      <c r="P165" s="85"/>
      <c r="Q165" s="85"/>
      <c r="R165" s="100">
        <v>0.255</v>
      </c>
      <c r="S165" s="75">
        <f t="shared" si="59"/>
        <v>0</v>
      </c>
      <c r="T165" s="76">
        <v>0</v>
      </c>
      <c r="U165" s="76">
        <f t="shared" si="53"/>
        <v>0</v>
      </c>
      <c r="V165" s="85"/>
      <c r="W165" s="85"/>
      <c r="X165" s="85"/>
      <c r="Y165" s="85"/>
      <c r="Z165" s="76"/>
      <c r="AA165" s="76"/>
      <c r="AB165" s="76"/>
      <c r="AC165" s="76"/>
      <c r="AD165" s="77"/>
      <c r="AE165" s="75"/>
      <c r="AF165" s="75"/>
      <c r="AG165" s="75"/>
      <c r="AH165" s="75">
        <v>0</v>
      </c>
      <c r="AI165" s="75"/>
      <c r="AJ165" s="75">
        <v>0</v>
      </c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 t="s">
        <v>689</v>
      </c>
      <c r="AY165" s="19" t="s">
        <v>261</v>
      </c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>
        <f t="shared" si="60"/>
        <v>0</v>
      </c>
      <c r="BQ165" s="27">
        <f t="shared" si="61"/>
        <v>0</v>
      </c>
      <c r="BR165" s="27">
        <f t="shared" si="62"/>
        <v>0</v>
      </c>
      <c r="BS165" s="27">
        <f t="shared" si="63"/>
        <v>0</v>
      </c>
      <c r="BT165" s="28">
        <f t="shared" si="64"/>
        <v>0</v>
      </c>
      <c r="BU165" s="28">
        <f t="shared" si="65"/>
        <v>0</v>
      </c>
      <c r="BV165" s="28">
        <f t="shared" si="66"/>
        <v>0</v>
      </c>
      <c r="BW165" s="28">
        <f t="shared" si="67"/>
        <v>0</v>
      </c>
    </row>
    <row r="166" spans="1:75" ht="17.399999999999999" x14ac:dyDescent="0.25">
      <c r="A166" s="69">
        <f t="shared" si="39"/>
        <v>165</v>
      </c>
      <c r="B166" s="73" t="s">
        <v>1043</v>
      </c>
      <c r="C166" s="73" t="s">
        <v>235</v>
      </c>
      <c r="D166" s="73" t="s">
        <v>1043</v>
      </c>
      <c r="E166" s="73" t="s">
        <v>978</v>
      </c>
      <c r="F166" s="73" t="s">
        <v>978</v>
      </c>
      <c r="G166" s="71" t="s">
        <v>1044</v>
      </c>
      <c r="H166" s="71" t="s">
        <v>1046</v>
      </c>
      <c r="I166" s="71" t="str">
        <f>VLOOKUP(H166,[1]Sheet1!$C:$C,1,0)</f>
        <v>SC1845S1-AI-00AK-S41H</v>
      </c>
      <c r="J166" s="87"/>
      <c r="K166" s="85"/>
      <c r="L166" s="85"/>
      <c r="M166" s="85"/>
      <c r="N166" s="85"/>
      <c r="O166" s="85"/>
      <c r="P166" s="85"/>
      <c r="Q166" s="85"/>
      <c r="R166" s="100">
        <v>0.255</v>
      </c>
      <c r="S166" s="75">
        <f t="shared" si="59"/>
        <v>0</v>
      </c>
      <c r="T166" s="76">
        <v>5100000</v>
      </c>
      <c r="U166" s="76">
        <f t="shared" si="53"/>
        <v>0</v>
      </c>
      <c r="V166" s="85"/>
      <c r="W166" s="85"/>
      <c r="X166" s="85"/>
      <c r="Y166" s="85"/>
      <c r="Z166" s="76">
        <v>2500000</v>
      </c>
      <c r="AA166" s="76">
        <v>2500000</v>
      </c>
      <c r="AB166" s="76">
        <v>2500000</v>
      </c>
      <c r="AC166" s="76">
        <v>2500000</v>
      </c>
      <c r="AD166" s="77"/>
      <c r="AE166" s="75"/>
      <c r="AF166" s="75"/>
      <c r="AG166" s="75"/>
      <c r="AH166" s="75">
        <v>0</v>
      </c>
      <c r="AI166" s="75"/>
      <c r="AJ166" s="75">
        <v>0</v>
      </c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 t="s">
        <v>689</v>
      </c>
      <c r="AY166" s="19" t="s">
        <v>261</v>
      </c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>
        <f t="shared" si="60"/>
        <v>637500</v>
      </c>
      <c r="BQ166" s="16">
        <f t="shared" si="61"/>
        <v>637500</v>
      </c>
      <c r="BR166" s="16">
        <f t="shared" si="62"/>
        <v>637500</v>
      </c>
      <c r="BS166" s="16">
        <f t="shared" si="63"/>
        <v>637500</v>
      </c>
      <c r="BT166" s="17">
        <f t="shared" si="64"/>
        <v>0</v>
      </c>
      <c r="BU166" s="28">
        <f t="shared" si="65"/>
        <v>0</v>
      </c>
      <c r="BV166" s="28">
        <f t="shared" si="66"/>
        <v>0</v>
      </c>
      <c r="BW166" s="28">
        <f t="shared" si="67"/>
        <v>0</v>
      </c>
    </row>
    <row r="167" spans="1:75" ht="17.399999999999999" x14ac:dyDescent="0.25">
      <c r="A167" s="69">
        <f t="shared" si="39"/>
        <v>166</v>
      </c>
      <c r="B167" s="73" t="s">
        <v>1043</v>
      </c>
      <c r="C167" s="73" t="s">
        <v>235</v>
      </c>
      <c r="D167" s="73" t="s">
        <v>1043</v>
      </c>
      <c r="E167" s="73" t="s">
        <v>978</v>
      </c>
      <c r="F167" s="73" t="s">
        <v>978</v>
      </c>
      <c r="G167" s="71" t="s">
        <v>1047</v>
      </c>
      <c r="H167" s="71" t="s">
        <v>1048</v>
      </c>
      <c r="I167" s="71" t="str">
        <f>VLOOKUP(H167,[1]Sheet1!$C:$C,1,0)</f>
        <v>SC1845F1-AI-00HK-41F</v>
      </c>
      <c r="J167" s="87"/>
      <c r="K167" s="85"/>
      <c r="L167" s="85"/>
      <c r="M167" s="85"/>
      <c r="N167" s="85"/>
      <c r="O167" s="85"/>
      <c r="P167" s="85"/>
      <c r="Q167" s="85"/>
      <c r="R167" s="100">
        <v>0.255</v>
      </c>
      <c r="S167" s="75">
        <f t="shared" si="59"/>
        <v>0</v>
      </c>
      <c r="T167" s="76">
        <v>0</v>
      </c>
      <c r="U167" s="76">
        <f t="shared" si="53"/>
        <v>0</v>
      </c>
      <c r="V167" s="85"/>
      <c r="W167" s="85"/>
      <c r="X167" s="85"/>
      <c r="Y167" s="85"/>
      <c r="Z167" s="76"/>
      <c r="AA167" s="76"/>
      <c r="AB167" s="76"/>
      <c r="AC167" s="76"/>
      <c r="AD167" s="77"/>
      <c r="AE167" s="75"/>
      <c r="AF167" s="75"/>
      <c r="AG167" s="75"/>
      <c r="AH167" s="75">
        <v>0</v>
      </c>
      <c r="AI167" s="75"/>
      <c r="AJ167" s="75">
        <v>0</v>
      </c>
      <c r="AK167" s="27"/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 t="s">
        <v>689</v>
      </c>
      <c r="AY167" s="19" t="s">
        <v>261</v>
      </c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>
        <f t="shared" si="60"/>
        <v>0</v>
      </c>
      <c r="BQ167" s="27">
        <f t="shared" si="61"/>
        <v>0</v>
      </c>
      <c r="BR167" s="27">
        <f t="shared" si="62"/>
        <v>0</v>
      </c>
      <c r="BS167" s="27">
        <f t="shared" si="63"/>
        <v>0</v>
      </c>
      <c r="BT167" s="28">
        <f t="shared" si="64"/>
        <v>0</v>
      </c>
      <c r="BU167" s="28">
        <f t="shared" si="65"/>
        <v>0</v>
      </c>
      <c r="BV167" s="28">
        <f t="shared" si="66"/>
        <v>0</v>
      </c>
      <c r="BW167" s="28">
        <f t="shared" si="67"/>
        <v>0</v>
      </c>
    </row>
    <row r="168" spans="1:75" ht="17.399999999999999" x14ac:dyDescent="0.25">
      <c r="A168" s="69">
        <f t="shared" si="39"/>
        <v>167</v>
      </c>
      <c r="B168" s="73" t="s">
        <v>1043</v>
      </c>
      <c r="C168" s="73" t="s">
        <v>235</v>
      </c>
      <c r="D168" s="73" t="s">
        <v>1043</v>
      </c>
      <c r="E168" s="73" t="s">
        <v>978</v>
      </c>
      <c r="F168" s="73" t="s">
        <v>978</v>
      </c>
      <c r="G168" s="71" t="s">
        <v>1047</v>
      </c>
      <c r="H168" s="71" t="s">
        <v>1049</v>
      </c>
      <c r="I168" s="71" t="str">
        <f>VLOOKUP(H168,[1]Sheet1!$C:$C,1,0)</f>
        <v>SC1845F1-AI-00HK-S41H</v>
      </c>
      <c r="J168" s="87"/>
      <c r="K168" s="85"/>
      <c r="L168" s="85"/>
      <c r="M168" s="85"/>
      <c r="N168" s="85"/>
      <c r="O168" s="85"/>
      <c r="P168" s="85"/>
      <c r="Q168" s="85"/>
      <c r="R168" s="100">
        <v>0.255</v>
      </c>
      <c r="S168" s="75">
        <f t="shared" si="59"/>
        <v>0</v>
      </c>
      <c r="T168" s="76">
        <v>0</v>
      </c>
      <c r="U168" s="76">
        <f t="shared" si="53"/>
        <v>0</v>
      </c>
      <c r="V168" s="85"/>
      <c r="W168" s="85"/>
      <c r="X168" s="85"/>
      <c r="Y168" s="85"/>
      <c r="Z168" s="76"/>
      <c r="AA168" s="76"/>
      <c r="AB168" s="76"/>
      <c r="AC168" s="76"/>
      <c r="AD168" s="77"/>
      <c r="AE168" s="75"/>
      <c r="AF168" s="75"/>
      <c r="AG168" s="75"/>
      <c r="AH168" s="75">
        <v>0</v>
      </c>
      <c r="AI168" s="75"/>
      <c r="AJ168" s="75">
        <v>0</v>
      </c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 t="s">
        <v>689</v>
      </c>
      <c r="AY168" s="19" t="s">
        <v>261</v>
      </c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>
        <f t="shared" si="60"/>
        <v>0</v>
      </c>
      <c r="BQ168" s="16">
        <f t="shared" si="61"/>
        <v>0</v>
      </c>
      <c r="BR168" s="16">
        <f t="shared" si="62"/>
        <v>0</v>
      </c>
      <c r="BS168" s="16">
        <f t="shared" si="63"/>
        <v>0</v>
      </c>
      <c r="BT168" s="17">
        <f t="shared" si="64"/>
        <v>0</v>
      </c>
      <c r="BU168" s="28">
        <f t="shared" si="65"/>
        <v>0</v>
      </c>
      <c r="BV168" s="28">
        <f t="shared" si="66"/>
        <v>0</v>
      </c>
      <c r="BW168" s="28">
        <f t="shared" si="67"/>
        <v>0</v>
      </c>
    </row>
    <row r="169" spans="1:75" ht="17.399999999999999" x14ac:dyDescent="0.25">
      <c r="A169" s="69">
        <f t="shared" ref="A169:A232" si="68">ROW()-1</f>
        <v>168</v>
      </c>
      <c r="B169" s="70" t="s">
        <v>1255</v>
      </c>
      <c r="C169" s="71" t="s">
        <v>243</v>
      </c>
      <c r="D169" s="71" t="s">
        <v>1176</v>
      </c>
      <c r="E169" s="71" t="s">
        <v>1160</v>
      </c>
      <c r="F169" s="71"/>
      <c r="G169" s="71" t="s">
        <v>1256</v>
      </c>
      <c r="H169" s="71" t="s">
        <v>1990</v>
      </c>
      <c r="I169" s="71" t="str">
        <f>VLOOKUP(H169,[1]Sheet1!$C:$C,1,0)</f>
        <v>SC2413SO-N-CD-00NR-44E</v>
      </c>
      <c r="J169" s="71"/>
      <c r="K169" s="71"/>
      <c r="L169" s="71" t="s">
        <v>1222</v>
      </c>
      <c r="M169" s="72">
        <v>2800000</v>
      </c>
      <c r="N169" s="71" t="s">
        <v>361</v>
      </c>
      <c r="O169" s="73"/>
      <c r="P169" s="71" t="s">
        <v>295</v>
      </c>
      <c r="Q169" s="74"/>
      <c r="R169" s="100">
        <v>0.14000000000000001</v>
      </c>
      <c r="S169" s="75">
        <f t="shared" si="59"/>
        <v>84000.000000000015</v>
      </c>
      <c r="T169" s="92"/>
      <c r="U169" s="76">
        <f t="shared" si="53"/>
        <v>600000</v>
      </c>
      <c r="V169" s="72">
        <v>0</v>
      </c>
      <c r="W169" s="72">
        <v>600000</v>
      </c>
      <c r="X169" s="72">
        <v>0</v>
      </c>
      <c r="Y169" s="72">
        <v>0</v>
      </c>
      <c r="Z169" s="72">
        <v>600000</v>
      </c>
      <c r="AA169" s="72">
        <v>0</v>
      </c>
      <c r="AB169" s="72">
        <v>600000</v>
      </c>
      <c r="AC169" s="72">
        <v>600000</v>
      </c>
      <c r="AD169" s="77">
        <v>0</v>
      </c>
      <c r="AE169" s="75">
        <v>0</v>
      </c>
      <c r="AF169" s="75">
        <v>600000</v>
      </c>
      <c r="AG169" s="75"/>
      <c r="AH169" s="75">
        <v>600000</v>
      </c>
      <c r="AI169" s="75"/>
      <c r="AJ169" s="75">
        <v>600000</v>
      </c>
      <c r="AK169" s="11">
        <v>0</v>
      </c>
      <c r="AL169" s="11"/>
      <c r="AM169" s="11"/>
      <c r="AN169" s="11">
        <v>0</v>
      </c>
      <c r="AO169" s="11">
        <v>0</v>
      </c>
      <c r="AP169" s="11"/>
      <c r="AQ169" s="11">
        <v>0</v>
      </c>
      <c r="AR169" s="11"/>
      <c r="AS169" s="11"/>
      <c r="AT169" s="11"/>
      <c r="AU169" s="11"/>
      <c r="AV169" s="11"/>
      <c r="AW169" s="10" t="s">
        <v>1162</v>
      </c>
      <c r="AX169" s="10" t="s">
        <v>120</v>
      </c>
      <c r="AY169" s="19" t="s">
        <v>258</v>
      </c>
      <c r="AZ169" s="10" t="s">
        <v>167</v>
      </c>
      <c r="BA169" s="10" t="s">
        <v>168</v>
      </c>
      <c r="BB169" s="10" t="s">
        <v>1171</v>
      </c>
      <c r="BC169" s="10" t="s">
        <v>327</v>
      </c>
      <c r="BD169" s="10"/>
      <c r="BE169" s="10"/>
      <c r="BF169" s="10"/>
      <c r="BG169" s="13"/>
      <c r="BH169" s="10"/>
      <c r="BI169" s="14"/>
      <c r="BJ169" s="14"/>
      <c r="BK169" s="14"/>
      <c r="BL169" s="14"/>
      <c r="BM169" s="14"/>
      <c r="BN169" s="15"/>
      <c r="BO169" s="11"/>
      <c r="BP169" s="16">
        <f t="shared" si="60"/>
        <v>84000.000000000015</v>
      </c>
      <c r="BQ169" s="16">
        <f t="shared" si="61"/>
        <v>0</v>
      </c>
      <c r="BR169" s="16">
        <f t="shared" si="62"/>
        <v>84000.000000000015</v>
      </c>
      <c r="BS169" s="16">
        <f t="shared" si="63"/>
        <v>84000.000000000015</v>
      </c>
      <c r="BT169" s="17">
        <f t="shared" si="64"/>
        <v>0</v>
      </c>
      <c r="BU169" s="28">
        <f t="shared" si="65"/>
        <v>0</v>
      </c>
      <c r="BV169" s="28">
        <f t="shared" si="66"/>
        <v>84000.000000000015</v>
      </c>
      <c r="BW169" s="28">
        <f t="shared" si="67"/>
        <v>0</v>
      </c>
    </row>
    <row r="170" spans="1:75" ht="17.399999999999999" x14ac:dyDescent="0.25">
      <c r="A170" s="69">
        <f t="shared" si="68"/>
        <v>169</v>
      </c>
      <c r="B170" s="73" t="s">
        <v>1043</v>
      </c>
      <c r="C170" s="73" t="s">
        <v>235</v>
      </c>
      <c r="D170" s="73" t="s">
        <v>1043</v>
      </c>
      <c r="E170" s="73" t="s">
        <v>978</v>
      </c>
      <c r="F170" s="73" t="s">
        <v>978</v>
      </c>
      <c r="G170" s="71" t="s">
        <v>1052</v>
      </c>
      <c r="H170" s="71" t="s">
        <v>1053</v>
      </c>
      <c r="I170" s="71" t="str">
        <f>VLOOKUP(H170,[1]Sheet1!$C:$C,1,0)</f>
        <v>SC1002N1-CL-00HK-42N</v>
      </c>
      <c r="J170" s="87"/>
      <c r="K170" s="85"/>
      <c r="L170" s="85"/>
      <c r="M170" s="85"/>
      <c r="N170" s="85"/>
      <c r="O170" s="85"/>
      <c r="P170" s="85"/>
      <c r="Q170" s="85"/>
      <c r="R170" s="100">
        <v>0.16</v>
      </c>
      <c r="S170" s="75">
        <f t="shared" si="59"/>
        <v>0</v>
      </c>
      <c r="T170" s="76">
        <v>80000</v>
      </c>
      <c r="U170" s="76">
        <f t="shared" si="53"/>
        <v>0</v>
      </c>
      <c r="V170" s="85"/>
      <c r="W170" s="85"/>
      <c r="X170" s="85"/>
      <c r="Y170" s="85"/>
      <c r="Z170" s="76">
        <v>500000</v>
      </c>
      <c r="AA170" s="76"/>
      <c r="AB170" s="76"/>
      <c r="AC170" s="76"/>
      <c r="AD170" s="77"/>
      <c r="AE170" s="75"/>
      <c r="AF170" s="75"/>
      <c r="AG170" s="75"/>
      <c r="AH170" s="75">
        <v>0</v>
      </c>
      <c r="AI170" s="75"/>
      <c r="AJ170" s="75">
        <v>0</v>
      </c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 t="s">
        <v>689</v>
      </c>
      <c r="AY170" s="19" t="s">
        <v>261</v>
      </c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>
        <f t="shared" si="60"/>
        <v>80000</v>
      </c>
      <c r="BQ170" s="16">
        <f t="shared" si="61"/>
        <v>0</v>
      </c>
      <c r="BR170" s="16">
        <f t="shared" si="62"/>
        <v>0</v>
      </c>
      <c r="BS170" s="16">
        <f t="shared" si="63"/>
        <v>0</v>
      </c>
      <c r="BT170" s="17">
        <f t="shared" si="64"/>
        <v>0</v>
      </c>
      <c r="BU170" s="28">
        <f t="shared" si="65"/>
        <v>0</v>
      </c>
      <c r="BV170" s="28">
        <f t="shared" si="66"/>
        <v>0</v>
      </c>
      <c r="BW170" s="28">
        <f t="shared" si="67"/>
        <v>0</v>
      </c>
    </row>
    <row r="171" spans="1:75" ht="17.399999999999999" x14ac:dyDescent="0.25">
      <c r="A171" s="69">
        <f t="shared" si="68"/>
        <v>170</v>
      </c>
      <c r="B171" s="73" t="s">
        <v>1043</v>
      </c>
      <c r="C171" s="73" t="s">
        <v>235</v>
      </c>
      <c r="D171" s="73" t="s">
        <v>1043</v>
      </c>
      <c r="E171" s="73" t="s">
        <v>978</v>
      </c>
      <c r="F171" s="73" t="s">
        <v>978</v>
      </c>
      <c r="G171" s="71" t="s">
        <v>616</v>
      </c>
      <c r="H171" s="71" t="s">
        <v>1054</v>
      </c>
      <c r="I171" s="71" t="str">
        <f>VLOOKUP(H171,[1]Sheet1!$C:$C,1,0)</f>
        <v>SC1134UA-CI-00AK-43F</v>
      </c>
      <c r="J171" s="87"/>
      <c r="K171" s="85" t="s">
        <v>1055</v>
      </c>
      <c r="L171" s="85"/>
      <c r="M171" s="85"/>
      <c r="N171" s="85"/>
      <c r="O171" s="85"/>
      <c r="P171" s="85"/>
      <c r="Q171" s="85"/>
      <c r="R171" s="100">
        <v>0.26500000000000001</v>
      </c>
      <c r="S171" s="75">
        <f t="shared" si="59"/>
        <v>0</v>
      </c>
      <c r="T171" s="76">
        <v>805600</v>
      </c>
      <c r="U171" s="76">
        <f t="shared" si="53"/>
        <v>0</v>
      </c>
      <c r="V171" s="85"/>
      <c r="W171" s="85"/>
      <c r="X171" s="85"/>
      <c r="Y171" s="85"/>
      <c r="Z171" s="76">
        <v>380000</v>
      </c>
      <c r="AA171" s="76">
        <v>380000</v>
      </c>
      <c r="AB171" s="76">
        <v>380000</v>
      </c>
      <c r="AC171" s="76">
        <v>380000</v>
      </c>
      <c r="AD171" s="77"/>
      <c r="AE171" s="75"/>
      <c r="AF171" s="75"/>
      <c r="AG171" s="75"/>
      <c r="AH171" s="75">
        <v>0</v>
      </c>
      <c r="AI171" s="75"/>
      <c r="AJ171" s="75">
        <v>0</v>
      </c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 t="s">
        <v>689</v>
      </c>
      <c r="AY171" s="19" t="s">
        <v>261</v>
      </c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>
        <f t="shared" si="60"/>
        <v>100700</v>
      </c>
      <c r="BQ171" s="27">
        <f t="shared" si="61"/>
        <v>100700</v>
      </c>
      <c r="BR171" s="27">
        <f t="shared" si="62"/>
        <v>100700</v>
      </c>
      <c r="BS171" s="27">
        <f t="shared" si="63"/>
        <v>100700</v>
      </c>
      <c r="BT171" s="28">
        <f t="shared" si="64"/>
        <v>0</v>
      </c>
      <c r="BU171" s="28">
        <f t="shared" si="65"/>
        <v>0</v>
      </c>
      <c r="BV171" s="28">
        <f t="shared" si="66"/>
        <v>0</v>
      </c>
      <c r="BW171" s="28">
        <f t="shared" si="67"/>
        <v>0</v>
      </c>
    </row>
    <row r="172" spans="1:75" ht="17.399999999999999" x14ac:dyDescent="0.25">
      <c r="A172" s="69">
        <f t="shared" si="68"/>
        <v>171</v>
      </c>
      <c r="B172" s="73" t="s">
        <v>1043</v>
      </c>
      <c r="C172" s="73" t="s">
        <v>235</v>
      </c>
      <c r="D172" s="73" t="s">
        <v>1043</v>
      </c>
      <c r="E172" s="73" t="s">
        <v>978</v>
      </c>
      <c r="F172" s="73" t="s">
        <v>978</v>
      </c>
      <c r="G172" s="71" t="s">
        <v>277</v>
      </c>
      <c r="H172" s="71" t="s">
        <v>1056</v>
      </c>
      <c r="I172" s="71" t="str">
        <f>VLOOKUP(H172,[1]Sheet1!$C:$C,1,0)</f>
        <v>SC2402UA-GB-0XAK-U18</v>
      </c>
      <c r="J172" s="87"/>
      <c r="K172" s="85"/>
      <c r="L172" s="85"/>
      <c r="M172" s="85"/>
      <c r="N172" s="85"/>
      <c r="O172" s="85"/>
      <c r="P172" s="85"/>
      <c r="Q172" s="85"/>
      <c r="R172" s="100">
        <v>0.155</v>
      </c>
      <c r="S172" s="75">
        <f t="shared" si="59"/>
        <v>0</v>
      </c>
      <c r="T172" s="76">
        <v>310000</v>
      </c>
      <c r="U172" s="76">
        <f t="shared" si="53"/>
        <v>0</v>
      </c>
      <c r="V172" s="85"/>
      <c r="W172" s="85"/>
      <c r="X172" s="85"/>
      <c r="Y172" s="85"/>
      <c r="Z172" s="76">
        <v>1000000</v>
      </c>
      <c r="AA172" s="76"/>
      <c r="AB172" s="76">
        <v>1000000</v>
      </c>
      <c r="AC172" s="76"/>
      <c r="AD172" s="77"/>
      <c r="AE172" s="75"/>
      <c r="AF172" s="75"/>
      <c r="AG172" s="75"/>
      <c r="AH172" s="75">
        <v>0</v>
      </c>
      <c r="AI172" s="75"/>
      <c r="AJ172" s="75">
        <v>0</v>
      </c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 t="s">
        <v>689</v>
      </c>
      <c r="AY172" s="19" t="s">
        <v>261</v>
      </c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>
        <f t="shared" si="60"/>
        <v>155000</v>
      </c>
      <c r="BQ172" s="16">
        <f t="shared" si="61"/>
        <v>0</v>
      </c>
      <c r="BR172" s="16">
        <f t="shared" si="62"/>
        <v>155000</v>
      </c>
      <c r="BS172" s="16">
        <f t="shared" si="63"/>
        <v>0</v>
      </c>
      <c r="BT172" s="17">
        <f t="shared" si="64"/>
        <v>0</v>
      </c>
      <c r="BU172" s="28">
        <f t="shared" si="65"/>
        <v>0</v>
      </c>
      <c r="BV172" s="28">
        <f t="shared" si="66"/>
        <v>0</v>
      </c>
      <c r="BW172" s="28">
        <f t="shared" si="67"/>
        <v>0</v>
      </c>
    </row>
    <row r="173" spans="1:75" ht="17.399999999999999" x14ac:dyDescent="0.25">
      <c r="A173" s="69">
        <f t="shared" si="68"/>
        <v>172</v>
      </c>
      <c r="B173" s="73" t="s">
        <v>1043</v>
      </c>
      <c r="C173" s="73" t="s">
        <v>235</v>
      </c>
      <c r="D173" s="73" t="s">
        <v>1043</v>
      </c>
      <c r="E173" s="73" t="s">
        <v>978</v>
      </c>
      <c r="F173" s="73" t="s">
        <v>978</v>
      </c>
      <c r="G173" s="71" t="s">
        <v>273</v>
      </c>
      <c r="H173" s="71" t="s">
        <v>1057</v>
      </c>
      <c r="I173" s="71" t="str">
        <f>VLOOKUP(H173,[1]Sheet1!$C:$C,1,0)</f>
        <v>SC2402SO-N-CJ-90NR-6571</v>
      </c>
      <c r="J173" s="87"/>
      <c r="K173" s="85"/>
      <c r="L173" s="85"/>
      <c r="M173" s="85"/>
      <c r="N173" s="85"/>
      <c r="O173" s="85"/>
      <c r="P173" s="85"/>
      <c r="Q173" s="85"/>
      <c r="R173" s="100">
        <v>0.17499999999999999</v>
      </c>
      <c r="S173" s="75">
        <f t="shared" si="59"/>
        <v>0</v>
      </c>
      <c r="T173" s="76">
        <v>0</v>
      </c>
      <c r="U173" s="76">
        <f t="shared" si="53"/>
        <v>0</v>
      </c>
      <c r="V173" s="85"/>
      <c r="W173" s="85"/>
      <c r="X173" s="85"/>
      <c r="Y173" s="85"/>
      <c r="Z173" s="76"/>
      <c r="AA173" s="76"/>
      <c r="AB173" s="76"/>
      <c r="AC173" s="76"/>
      <c r="AD173" s="77"/>
      <c r="AE173" s="75"/>
      <c r="AF173" s="75"/>
      <c r="AG173" s="75"/>
      <c r="AH173" s="75">
        <v>0</v>
      </c>
      <c r="AI173" s="75"/>
      <c r="AJ173" s="75">
        <v>0</v>
      </c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 t="s">
        <v>689</v>
      </c>
      <c r="AY173" s="19" t="s">
        <v>261</v>
      </c>
      <c r="AZ173" s="27"/>
      <c r="BA173" s="27"/>
      <c r="BB173" s="27"/>
      <c r="BC173" s="27"/>
      <c r="BD173" s="27"/>
      <c r="BE173" s="27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>
        <f t="shared" si="60"/>
        <v>0</v>
      </c>
      <c r="BQ173" s="27">
        <f t="shared" si="61"/>
        <v>0</v>
      </c>
      <c r="BR173" s="27">
        <f t="shared" si="62"/>
        <v>0</v>
      </c>
      <c r="BS173" s="27">
        <f t="shared" si="63"/>
        <v>0</v>
      </c>
      <c r="BT173" s="28">
        <f t="shared" si="64"/>
        <v>0</v>
      </c>
      <c r="BU173" s="28">
        <f t="shared" si="65"/>
        <v>0</v>
      </c>
      <c r="BV173" s="28">
        <f t="shared" si="66"/>
        <v>0</v>
      </c>
      <c r="BW173" s="28">
        <f t="shared" si="67"/>
        <v>0</v>
      </c>
    </row>
    <row r="174" spans="1:75" ht="17.399999999999999" x14ac:dyDescent="0.25">
      <c r="A174" s="69">
        <f t="shared" si="68"/>
        <v>173</v>
      </c>
      <c r="B174" s="73" t="s">
        <v>1043</v>
      </c>
      <c r="C174" s="73" t="s">
        <v>235</v>
      </c>
      <c r="D174" s="73" t="s">
        <v>1043</v>
      </c>
      <c r="E174" s="73" t="s">
        <v>978</v>
      </c>
      <c r="F174" s="73" t="s">
        <v>978</v>
      </c>
      <c r="G174" s="71" t="s">
        <v>277</v>
      </c>
      <c r="H174" s="86" t="s">
        <v>1058</v>
      </c>
      <c r="I174" s="71" t="str">
        <f>VLOOKUP(H174,[1]Sheet1!$C:$C,1,0)</f>
        <v>SC2402UA-GB-00AK-6501</v>
      </c>
      <c r="J174" s="87"/>
      <c r="K174" s="85"/>
      <c r="L174" s="85"/>
      <c r="M174" s="85"/>
      <c r="N174" s="85"/>
      <c r="O174" s="85"/>
      <c r="P174" s="85"/>
      <c r="Q174" s="85"/>
      <c r="R174" s="100">
        <v>0.155</v>
      </c>
      <c r="S174" s="75">
        <f t="shared" si="59"/>
        <v>0</v>
      </c>
      <c r="T174" s="76">
        <v>0</v>
      </c>
      <c r="U174" s="76">
        <f t="shared" si="53"/>
        <v>0</v>
      </c>
      <c r="V174" s="85"/>
      <c r="W174" s="85"/>
      <c r="X174" s="85"/>
      <c r="Y174" s="85"/>
      <c r="Z174" s="76"/>
      <c r="AA174" s="76"/>
      <c r="AB174" s="76"/>
      <c r="AC174" s="76">
        <v>1000000</v>
      </c>
      <c r="AD174" s="77"/>
      <c r="AE174" s="75"/>
      <c r="AF174" s="75"/>
      <c r="AG174" s="75"/>
      <c r="AH174" s="75">
        <v>0</v>
      </c>
      <c r="AI174" s="75"/>
      <c r="AJ174" s="75">
        <v>0</v>
      </c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 t="s">
        <v>689</v>
      </c>
      <c r="AY174" s="19" t="s">
        <v>261</v>
      </c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f t="shared" si="60"/>
        <v>0</v>
      </c>
      <c r="BQ174" s="16">
        <f t="shared" si="61"/>
        <v>0</v>
      </c>
      <c r="BR174" s="16">
        <f t="shared" si="62"/>
        <v>0</v>
      </c>
      <c r="BS174" s="16">
        <f t="shared" si="63"/>
        <v>155000</v>
      </c>
      <c r="BT174" s="17">
        <f t="shared" si="64"/>
        <v>0</v>
      </c>
      <c r="BU174" s="28">
        <f t="shared" si="65"/>
        <v>0</v>
      </c>
      <c r="BV174" s="28">
        <f t="shared" si="66"/>
        <v>0</v>
      </c>
      <c r="BW174" s="28">
        <f t="shared" si="67"/>
        <v>0</v>
      </c>
    </row>
    <row r="175" spans="1:75" ht="17.399999999999999" x14ac:dyDescent="0.25">
      <c r="A175" s="69">
        <f t="shared" si="68"/>
        <v>174</v>
      </c>
      <c r="B175" s="73" t="s">
        <v>1043</v>
      </c>
      <c r="C175" s="73" t="s">
        <v>235</v>
      </c>
      <c r="D175" s="73" t="s">
        <v>1043</v>
      </c>
      <c r="E175" s="73" t="s">
        <v>978</v>
      </c>
      <c r="F175" s="73" t="s">
        <v>978</v>
      </c>
      <c r="G175" s="71" t="s">
        <v>1059</v>
      </c>
      <c r="H175" s="71" t="s">
        <v>1060</v>
      </c>
      <c r="I175" s="71" t="str">
        <f>VLOOKUP(H175,[1]Sheet1!$C:$C,1,0)</f>
        <v>SC2436UA-CI-10AK-6210</v>
      </c>
      <c r="J175" s="87"/>
      <c r="K175" s="85"/>
      <c r="L175" s="85"/>
      <c r="M175" s="85"/>
      <c r="N175" s="85"/>
      <c r="O175" s="85"/>
      <c r="P175" s="85"/>
      <c r="Q175" s="85"/>
      <c r="R175" s="100">
        <v>0.31</v>
      </c>
      <c r="S175" s="75">
        <f t="shared" si="59"/>
        <v>0</v>
      </c>
      <c r="T175" s="76">
        <v>372000</v>
      </c>
      <c r="U175" s="76">
        <f t="shared" si="53"/>
        <v>0</v>
      </c>
      <c r="V175" s="85"/>
      <c r="W175" s="85"/>
      <c r="X175" s="85"/>
      <c r="Y175" s="85"/>
      <c r="Z175" s="76">
        <v>400000</v>
      </c>
      <c r="AA175" s="76"/>
      <c r="AB175" s="76">
        <v>400000</v>
      </c>
      <c r="AC175" s="76"/>
      <c r="AD175" s="77"/>
      <c r="AE175" s="75"/>
      <c r="AF175" s="75"/>
      <c r="AG175" s="75"/>
      <c r="AH175" s="75">
        <v>0</v>
      </c>
      <c r="AI175" s="75"/>
      <c r="AJ175" s="75">
        <v>0</v>
      </c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 t="s">
        <v>689</v>
      </c>
      <c r="AY175" s="19" t="s">
        <v>261</v>
      </c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>
        <f t="shared" si="60"/>
        <v>124000</v>
      </c>
      <c r="BQ175" s="16">
        <f t="shared" si="61"/>
        <v>0</v>
      </c>
      <c r="BR175" s="16">
        <f t="shared" si="62"/>
        <v>124000</v>
      </c>
      <c r="BS175" s="16">
        <f t="shared" si="63"/>
        <v>0</v>
      </c>
      <c r="BT175" s="17">
        <f t="shared" si="64"/>
        <v>0</v>
      </c>
      <c r="BU175" s="28">
        <f t="shared" si="65"/>
        <v>0</v>
      </c>
      <c r="BV175" s="28">
        <f t="shared" si="66"/>
        <v>0</v>
      </c>
      <c r="BW175" s="28">
        <f t="shared" si="67"/>
        <v>0</v>
      </c>
    </row>
    <row r="176" spans="1:75" ht="17.399999999999999" x14ac:dyDescent="0.25">
      <c r="A176" s="69">
        <f t="shared" si="68"/>
        <v>175</v>
      </c>
      <c r="B176" s="73" t="s">
        <v>1947</v>
      </c>
      <c r="C176" s="71" t="s">
        <v>149</v>
      </c>
      <c r="D176" s="71" t="s">
        <v>1947</v>
      </c>
      <c r="E176" s="71" t="s">
        <v>1948</v>
      </c>
      <c r="F176" s="71" t="s">
        <v>1948</v>
      </c>
      <c r="G176" s="71" t="s">
        <v>1961</v>
      </c>
      <c r="H176" s="71" t="s">
        <v>1996</v>
      </c>
      <c r="I176" s="71" t="str">
        <f>VLOOKUP(H176,[1]Sheet1!$C:$C,1,0)</f>
        <v>SC2434SO-N-CI-10CR-2434</v>
      </c>
      <c r="J176" s="71"/>
      <c r="K176" s="71"/>
      <c r="L176" s="73"/>
      <c r="M176" s="80"/>
      <c r="N176" s="72"/>
      <c r="O176" s="73"/>
      <c r="P176" s="71"/>
      <c r="Q176" s="71"/>
      <c r="R176" s="100">
        <v>0.2</v>
      </c>
      <c r="S176" s="75"/>
      <c r="T176" s="91"/>
      <c r="U176" s="76">
        <f t="shared" si="53"/>
        <v>720000</v>
      </c>
      <c r="V176" s="80"/>
      <c r="W176" s="80"/>
      <c r="X176" s="80"/>
      <c r="Y176" s="72"/>
      <c r="Z176" s="72"/>
      <c r="AA176" s="72"/>
      <c r="AB176" s="72"/>
      <c r="AC176" s="72"/>
      <c r="AD176" s="77"/>
      <c r="AE176" s="75">
        <v>240000</v>
      </c>
      <c r="AF176" s="75">
        <v>240000</v>
      </c>
      <c r="AG176" s="75">
        <v>240000</v>
      </c>
      <c r="AH176" s="75">
        <v>200000</v>
      </c>
      <c r="AI176" s="75">
        <v>200000</v>
      </c>
      <c r="AJ176" s="75">
        <v>200000</v>
      </c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19"/>
      <c r="AX176" s="19"/>
      <c r="AY176" s="19" t="s">
        <v>261</v>
      </c>
      <c r="AZ176" s="19"/>
      <c r="BA176" s="19"/>
      <c r="BB176" s="19"/>
      <c r="BC176" s="19"/>
      <c r="BD176" s="19"/>
      <c r="BE176" s="19"/>
      <c r="BF176" s="19"/>
      <c r="BG176" s="24"/>
      <c r="BH176" s="19"/>
      <c r="BI176" s="25"/>
      <c r="BJ176" s="25"/>
      <c r="BK176" s="25"/>
      <c r="BL176" s="25"/>
      <c r="BM176" s="25"/>
      <c r="BN176" s="37"/>
      <c r="BO176" s="21"/>
      <c r="BP176" s="27"/>
      <c r="BQ176" s="27"/>
      <c r="BR176" s="27"/>
      <c r="BS176" s="27"/>
      <c r="BT176" s="28"/>
      <c r="BU176" s="28">
        <f t="shared" si="65"/>
        <v>48000</v>
      </c>
      <c r="BV176" s="28">
        <f t="shared" si="66"/>
        <v>48000</v>
      </c>
      <c r="BW176" s="28">
        <f t="shared" si="67"/>
        <v>48000</v>
      </c>
    </row>
    <row r="177" spans="1:75" ht="17.399999999999999" x14ac:dyDescent="0.25">
      <c r="A177" s="69">
        <f t="shared" si="68"/>
        <v>176</v>
      </c>
      <c r="B177" s="73" t="s">
        <v>1043</v>
      </c>
      <c r="C177" s="73" t="s">
        <v>235</v>
      </c>
      <c r="D177" s="73" t="s">
        <v>1043</v>
      </c>
      <c r="E177" s="73" t="s">
        <v>978</v>
      </c>
      <c r="F177" s="73" t="s">
        <v>978</v>
      </c>
      <c r="G177" s="71" t="s">
        <v>1063</v>
      </c>
      <c r="H177" s="71" t="s">
        <v>1064</v>
      </c>
      <c r="I177" s="71" t="str">
        <f>VLOOKUP(H177,[1]Sheet1!$C:$C,1,0)</f>
        <v>SC2968S1-N-DC-4XAK-S21C</v>
      </c>
      <c r="J177" s="87"/>
      <c r="K177" s="85"/>
      <c r="L177" s="85"/>
      <c r="M177" s="85"/>
      <c r="N177" s="85"/>
      <c r="O177" s="85"/>
      <c r="P177" s="85"/>
      <c r="Q177" s="85"/>
      <c r="R177" s="100">
        <v>0.28499999999999998</v>
      </c>
      <c r="S177" s="75">
        <f>R177*U177</f>
        <v>0</v>
      </c>
      <c r="T177" s="76">
        <v>0</v>
      </c>
      <c r="U177" s="76">
        <f t="shared" si="53"/>
        <v>0</v>
      </c>
      <c r="V177" s="85"/>
      <c r="W177" s="85"/>
      <c r="X177" s="85"/>
      <c r="Y177" s="85"/>
      <c r="Z177" s="76"/>
      <c r="AA177" s="76"/>
      <c r="AB177" s="76"/>
      <c r="AC177" s="76"/>
      <c r="AD177" s="77"/>
      <c r="AE177" s="75"/>
      <c r="AF177" s="75"/>
      <c r="AG177" s="75"/>
      <c r="AH177" s="75">
        <v>0</v>
      </c>
      <c r="AI177" s="75"/>
      <c r="AJ177" s="75">
        <v>0</v>
      </c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 t="s">
        <v>689</v>
      </c>
      <c r="AY177" s="19" t="s">
        <v>261</v>
      </c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>
        <f t="shared" ref="BP177:BT180" si="69">$R177*Z177</f>
        <v>0</v>
      </c>
      <c r="BQ177" s="16">
        <f t="shared" si="69"/>
        <v>0</v>
      </c>
      <c r="BR177" s="16">
        <f t="shared" si="69"/>
        <v>0</v>
      </c>
      <c r="BS177" s="16">
        <f t="shared" si="69"/>
        <v>0</v>
      </c>
      <c r="BT177" s="17">
        <f t="shared" si="69"/>
        <v>0</v>
      </c>
      <c r="BU177" s="28">
        <f t="shared" si="65"/>
        <v>0</v>
      </c>
      <c r="BV177" s="28">
        <f t="shared" si="66"/>
        <v>0</v>
      </c>
      <c r="BW177" s="28">
        <f t="shared" si="67"/>
        <v>0</v>
      </c>
    </row>
    <row r="178" spans="1:75" ht="17.399999999999999" x14ac:dyDescent="0.25">
      <c r="A178" s="69">
        <f t="shared" si="68"/>
        <v>177</v>
      </c>
      <c r="B178" s="73" t="s">
        <v>1043</v>
      </c>
      <c r="C178" s="73" t="s">
        <v>235</v>
      </c>
      <c r="D178" s="73" t="s">
        <v>1043</v>
      </c>
      <c r="E178" s="73" t="s">
        <v>978</v>
      </c>
      <c r="F178" s="73" t="s">
        <v>978</v>
      </c>
      <c r="G178" s="71" t="s">
        <v>242</v>
      </c>
      <c r="H178" s="71" t="s">
        <v>370</v>
      </c>
      <c r="I178" s="71" t="str">
        <f>VLOOKUP(H178,[1]Sheet1!$C:$C,1,0)</f>
        <v>SC4688DC-Q-DC-40CR-4688</v>
      </c>
      <c r="J178" s="87"/>
      <c r="K178" s="85"/>
      <c r="L178" s="85"/>
      <c r="M178" s="85"/>
      <c r="N178" s="85"/>
      <c r="O178" s="85"/>
      <c r="P178" s="85"/>
      <c r="Q178" s="85"/>
      <c r="R178" s="100">
        <v>1.9</v>
      </c>
      <c r="S178" s="75">
        <f>R178*U178</f>
        <v>0</v>
      </c>
      <c r="T178" s="76">
        <v>0</v>
      </c>
      <c r="U178" s="76">
        <f t="shared" si="53"/>
        <v>0</v>
      </c>
      <c r="V178" s="85"/>
      <c r="W178" s="85"/>
      <c r="X178" s="85"/>
      <c r="Y178" s="85"/>
      <c r="Z178" s="76"/>
      <c r="AA178" s="76"/>
      <c r="AB178" s="76"/>
      <c r="AC178" s="76"/>
      <c r="AD178" s="77"/>
      <c r="AE178" s="75"/>
      <c r="AF178" s="75"/>
      <c r="AG178" s="75"/>
      <c r="AH178" s="75">
        <v>0</v>
      </c>
      <c r="AI178" s="75"/>
      <c r="AJ178" s="75">
        <v>0</v>
      </c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 t="s">
        <v>689</v>
      </c>
      <c r="AY178" s="19" t="s">
        <v>371</v>
      </c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>
        <f t="shared" si="69"/>
        <v>0</v>
      </c>
      <c r="BQ178" s="27">
        <f t="shared" si="69"/>
        <v>0</v>
      </c>
      <c r="BR178" s="27">
        <f t="shared" si="69"/>
        <v>0</v>
      </c>
      <c r="BS178" s="27">
        <f t="shared" si="69"/>
        <v>0</v>
      </c>
      <c r="BT178" s="28">
        <f t="shared" si="69"/>
        <v>0</v>
      </c>
      <c r="BU178" s="28">
        <f t="shared" si="65"/>
        <v>0</v>
      </c>
      <c r="BV178" s="28">
        <f t="shared" si="66"/>
        <v>0</v>
      </c>
      <c r="BW178" s="28">
        <f t="shared" si="67"/>
        <v>0</v>
      </c>
    </row>
    <row r="179" spans="1:75" ht="17.399999999999999" x14ac:dyDescent="0.25">
      <c r="A179" s="69">
        <f t="shared" si="68"/>
        <v>178</v>
      </c>
      <c r="B179" s="73" t="s">
        <v>1043</v>
      </c>
      <c r="C179" s="73" t="s">
        <v>235</v>
      </c>
      <c r="D179" s="73" t="s">
        <v>1043</v>
      </c>
      <c r="E179" s="73" t="s">
        <v>978</v>
      </c>
      <c r="F179" s="73" t="s">
        <v>978</v>
      </c>
      <c r="G179" s="71" t="s">
        <v>1065</v>
      </c>
      <c r="H179" s="71" t="s">
        <v>1066</v>
      </c>
      <c r="I179" s="71" t="str">
        <f>VLOOKUP(H179,[1]Sheet1!$C:$C,1,0)</f>
        <v>SC2432UA-CI-10AK-6232</v>
      </c>
      <c r="J179" s="87"/>
      <c r="K179" s="85"/>
      <c r="L179" s="85"/>
      <c r="M179" s="85"/>
      <c r="N179" s="85"/>
      <c r="O179" s="85"/>
      <c r="P179" s="85"/>
      <c r="Q179" s="85"/>
      <c r="R179" s="100">
        <v>0.3</v>
      </c>
      <c r="S179" s="75">
        <f>R179*U179</f>
        <v>0</v>
      </c>
      <c r="T179" s="76">
        <v>0</v>
      </c>
      <c r="U179" s="76">
        <f t="shared" si="53"/>
        <v>0</v>
      </c>
      <c r="V179" s="85"/>
      <c r="W179" s="85"/>
      <c r="X179" s="85"/>
      <c r="Y179" s="85"/>
      <c r="Z179" s="76"/>
      <c r="AA179" s="76"/>
      <c r="AB179" s="76"/>
      <c r="AC179" s="76"/>
      <c r="AD179" s="77"/>
      <c r="AE179" s="75"/>
      <c r="AF179" s="75"/>
      <c r="AG179" s="75"/>
      <c r="AH179" s="75">
        <v>0</v>
      </c>
      <c r="AI179" s="75"/>
      <c r="AJ179" s="75">
        <v>0</v>
      </c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 t="s">
        <v>689</v>
      </c>
      <c r="AY179" s="19" t="s">
        <v>261</v>
      </c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>
        <f t="shared" si="69"/>
        <v>0</v>
      </c>
      <c r="BQ179" s="16">
        <f t="shared" si="69"/>
        <v>0</v>
      </c>
      <c r="BR179" s="16">
        <f t="shared" si="69"/>
        <v>0</v>
      </c>
      <c r="BS179" s="16">
        <f t="shared" si="69"/>
        <v>0</v>
      </c>
      <c r="BT179" s="17">
        <f t="shared" si="69"/>
        <v>0</v>
      </c>
      <c r="BU179" s="28">
        <f t="shared" si="65"/>
        <v>0</v>
      </c>
      <c r="BV179" s="28">
        <f t="shared" si="66"/>
        <v>0</v>
      </c>
      <c r="BW179" s="28">
        <f t="shared" si="67"/>
        <v>0</v>
      </c>
    </row>
    <row r="180" spans="1:75" ht="17.399999999999999" x14ac:dyDescent="0.25">
      <c r="A180" s="69">
        <f t="shared" si="68"/>
        <v>179</v>
      </c>
      <c r="B180" s="73" t="s">
        <v>1043</v>
      </c>
      <c r="C180" s="73" t="s">
        <v>235</v>
      </c>
      <c r="D180" s="73" t="s">
        <v>1043</v>
      </c>
      <c r="E180" s="73" t="s">
        <v>978</v>
      </c>
      <c r="F180" s="73" t="s">
        <v>978</v>
      </c>
      <c r="G180" s="71" t="s">
        <v>771</v>
      </c>
      <c r="H180" s="71" t="s">
        <v>1067</v>
      </c>
      <c r="I180" s="71" t="str">
        <f>VLOOKUP(H180,[1]Sheet1!$C:$C,1,0)</f>
        <v>SC2462UA-CJ-10AK-6472</v>
      </c>
      <c r="J180" s="87"/>
      <c r="K180" s="85"/>
      <c r="L180" s="85"/>
      <c r="M180" s="85"/>
      <c r="N180" s="85"/>
      <c r="O180" s="85"/>
      <c r="P180" s="85"/>
      <c r="Q180" s="85"/>
      <c r="R180" s="100">
        <v>0.26</v>
      </c>
      <c r="S180" s="75">
        <f>R180*U180</f>
        <v>0</v>
      </c>
      <c r="T180" s="76">
        <v>312000</v>
      </c>
      <c r="U180" s="76">
        <f t="shared" si="53"/>
        <v>0</v>
      </c>
      <c r="V180" s="85"/>
      <c r="W180" s="85"/>
      <c r="X180" s="85"/>
      <c r="Y180" s="85"/>
      <c r="Z180" s="76"/>
      <c r="AA180" s="76">
        <v>400000</v>
      </c>
      <c r="AB180" s="76">
        <v>400000</v>
      </c>
      <c r="AC180" s="76">
        <v>400000</v>
      </c>
      <c r="AD180" s="77"/>
      <c r="AE180" s="75"/>
      <c r="AF180" s="75"/>
      <c r="AG180" s="75"/>
      <c r="AH180" s="75">
        <v>0</v>
      </c>
      <c r="AI180" s="75"/>
      <c r="AJ180" s="75">
        <v>0</v>
      </c>
      <c r="AK180" s="27"/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 t="s">
        <v>689</v>
      </c>
      <c r="AY180" s="19" t="s">
        <v>261</v>
      </c>
      <c r="AZ180" s="27"/>
      <c r="BA180" s="27"/>
      <c r="BB180" s="27"/>
      <c r="BC180" s="27"/>
      <c r="BD180" s="27"/>
      <c r="BE180" s="27"/>
      <c r="BF180" s="27"/>
      <c r="BG180" s="27"/>
      <c r="BH180" s="27"/>
      <c r="BI180" s="27"/>
      <c r="BJ180" s="27"/>
      <c r="BK180" s="27"/>
      <c r="BL180" s="27"/>
      <c r="BM180" s="27"/>
      <c r="BN180" s="27"/>
      <c r="BO180" s="27"/>
      <c r="BP180" s="27">
        <f t="shared" si="69"/>
        <v>0</v>
      </c>
      <c r="BQ180" s="27">
        <f t="shared" si="69"/>
        <v>104000</v>
      </c>
      <c r="BR180" s="27">
        <f t="shared" si="69"/>
        <v>104000</v>
      </c>
      <c r="BS180" s="27">
        <f t="shared" si="69"/>
        <v>104000</v>
      </c>
      <c r="BT180" s="28">
        <f t="shared" si="69"/>
        <v>0</v>
      </c>
      <c r="BU180" s="28">
        <f t="shared" si="65"/>
        <v>0</v>
      </c>
      <c r="BV180" s="28">
        <f t="shared" si="66"/>
        <v>0</v>
      </c>
      <c r="BW180" s="28">
        <f t="shared" si="67"/>
        <v>0</v>
      </c>
    </row>
    <row r="181" spans="1:75" ht="17.399999999999999" x14ac:dyDescent="0.25">
      <c r="A181" s="69">
        <f t="shared" si="68"/>
        <v>180</v>
      </c>
      <c r="B181" s="73" t="s">
        <v>1947</v>
      </c>
      <c r="C181" s="71" t="s">
        <v>149</v>
      </c>
      <c r="D181" s="71" t="s">
        <v>1947</v>
      </c>
      <c r="E181" s="71" t="s">
        <v>1948</v>
      </c>
      <c r="F181" s="71" t="s">
        <v>1948</v>
      </c>
      <c r="G181" s="71" t="s">
        <v>1970</v>
      </c>
      <c r="H181" s="71" t="s">
        <v>1831</v>
      </c>
      <c r="I181" s="71" t="str">
        <f>VLOOKUP(H181,[1]Sheet1!$C:$C,1,0)</f>
        <v>SC2434SO-CM-10CR-2434</v>
      </c>
      <c r="J181" s="71"/>
      <c r="K181" s="71"/>
      <c r="L181" s="73"/>
      <c r="M181" s="80"/>
      <c r="N181" s="72"/>
      <c r="O181" s="73"/>
      <c r="P181" s="71"/>
      <c r="Q181" s="71"/>
      <c r="R181" s="100">
        <v>0.23</v>
      </c>
      <c r="S181" s="75"/>
      <c r="T181" s="91"/>
      <c r="U181" s="76">
        <f t="shared" si="53"/>
        <v>720000</v>
      </c>
      <c r="V181" s="80"/>
      <c r="W181" s="80"/>
      <c r="X181" s="80"/>
      <c r="Y181" s="72"/>
      <c r="Z181" s="72"/>
      <c r="AA181" s="72"/>
      <c r="AB181" s="72"/>
      <c r="AC181" s="72"/>
      <c r="AD181" s="77"/>
      <c r="AE181" s="75">
        <v>240000</v>
      </c>
      <c r="AF181" s="75">
        <v>240000</v>
      </c>
      <c r="AG181" s="75">
        <v>240000</v>
      </c>
      <c r="AH181" s="75">
        <v>360000</v>
      </c>
      <c r="AI181" s="75">
        <v>360000</v>
      </c>
      <c r="AJ181" s="75">
        <v>360000</v>
      </c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19"/>
      <c r="AX181" s="19"/>
      <c r="AY181" s="19" t="s">
        <v>261</v>
      </c>
      <c r="AZ181" s="19"/>
      <c r="BA181" s="19"/>
      <c r="BB181" s="19"/>
      <c r="BC181" s="19"/>
      <c r="BD181" s="19"/>
      <c r="BE181" s="19"/>
      <c r="BF181" s="19"/>
      <c r="BG181" s="24"/>
      <c r="BH181" s="19"/>
      <c r="BI181" s="25"/>
      <c r="BJ181" s="25"/>
      <c r="BK181" s="25"/>
      <c r="BL181" s="25"/>
      <c r="BM181" s="25"/>
      <c r="BN181" s="37"/>
      <c r="BO181" s="21"/>
      <c r="BP181" s="27"/>
      <c r="BQ181" s="27"/>
      <c r="BR181" s="27"/>
      <c r="BS181" s="27"/>
      <c r="BT181" s="28"/>
      <c r="BU181" s="28">
        <f t="shared" si="65"/>
        <v>55200</v>
      </c>
      <c r="BV181" s="28">
        <f t="shared" si="66"/>
        <v>55200</v>
      </c>
      <c r="BW181" s="28">
        <f t="shared" si="67"/>
        <v>55200</v>
      </c>
    </row>
    <row r="182" spans="1:75" ht="17.399999999999999" x14ac:dyDescent="0.25">
      <c r="A182" s="69">
        <f t="shared" si="68"/>
        <v>181</v>
      </c>
      <c r="B182" s="73" t="s">
        <v>1043</v>
      </c>
      <c r="C182" s="71" t="s">
        <v>243</v>
      </c>
      <c r="D182" s="71" t="s">
        <v>1043</v>
      </c>
      <c r="E182" s="71" t="s">
        <v>978</v>
      </c>
      <c r="F182" s="73" t="s">
        <v>978</v>
      </c>
      <c r="G182" s="71" t="s">
        <v>1047</v>
      </c>
      <c r="H182" s="71" t="s">
        <v>1048</v>
      </c>
      <c r="I182" s="71" t="str">
        <f>VLOOKUP(H182,[1]Sheet1!$C:$C,1,0)</f>
        <v>SC1845F1-AI-00HK-41F</v>
      </c>
      <c r="J182" s="71"/>
      <c r="K182" s="71"/>
      <c r="L182" s="73"/>
      <c r="M182" s="80"/>
      <c r="N182" s="72"/>
      <c r="O182" s="73"/>
      <c r="P182" s="71"/>
      <c r="Q182" s="71"/>
      <c r="R182" s="100">
        <v>0.255</v>
      </c>
      <c r="S182" s="75"/>
      <c r="T182" s="91"/>
      <c r="U182" s="76">
        <f t="shared" si="53"/>
        <v>0</v>
      </c>
      <c r="V182" s="80"/>
      <c r="W182" s="80"/>
      <c r="X182" s="80"/>
      <c r="Y182" s="72"/>
      <c r="Z182" s="72"/>
      <c r="AA182" s="72"/>
      <c r="AB182" s="72"/>
      <c r="AC182" s="72"/>
      <c r="AD182" s="77"/>
      <c r="AE182" s="75"/>
      <c r="AF182" s="75"/>
      <c r="AG182" s="75"/>
      <c r="AH182" s="75"/>
      <c r="AI182" s="75"/>
      <c r="AJ182" s="75">
        <v>0</v>
      </c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10"/>
      <c r="AX182" s="10" t="s">
        <v>689</v>
      </c>
      <c r="AY182" s="19" t="s">
        <v>261</v>
      </c>
      <c r="AZ182" s="10"/>
      <c r="BA182" s="10"/>
      <c r="BB182" s="10"/>
      <c r="BC182" s="10"/>
      <c r="BD182" s="10"/>
      <c r="BE182" s="10"/>
      <c r="BF182" s="10"/>
      <c r="BG182" s="13"/>
      <c r="BH182" s="10"/>
      <c r="BI182" s="14"/>
      <c r="BJ182" s="14"/>
      <c r="BK182" s="14"/>
      <c r="BL182" s="14"/>
      <c r="BM182" s="14"/>
      <c r="BN182" s="35"/>
      <c r="BO182" s="11"/>
      <c r="BP182" s="16"/>
      <c r="BQ182" s="16"/>
      <c r="BR182" s="16"/>
      <c r="BS182" s="16">
        <f>$R182*AC182</f>
        <v>0</v>
      </c>
      <c r="BT182" s="17">
        <f>$R182*AD182</f>
        <v>0</v>
      </c>
      <c r="BU182" s="28">
        <f t="shared" si="65"/>
        <v>0</v>
      </c>
      <c r="BV182" s="28">
        <f t="shared" si="66"/>
        <v>0</v>
      </c>
      <c r="BW182" s="28">
        <f t="shared" si="67"/>
        <v>0</v>
      </c>
    </row>
    <row r="183" spans="1:75" ht="17.399999999999999" x14ac:dyDescent="0.25">
      <c r="A183" s="69">
        <f t="shared" si="68"/>
        <v>182</v>
      </c>
      <c r="B183" s="73" t="s">
        <v>1947</v>
      </c>
      <c r="C183" s="71" t="s">
        <v>149</v>
      </c>
      <c r="D183" s="71" t="s">
        <v>1947</v>
      </c>
      <c r="E183" s="71" t="s">
        <v>1948</v>
      </c>
      <c r="F183" s="71" t="s">
        <v>1948</v>
      </c>
      <c r="G183" s="71" t="s">
        <v>1856</v>
      </c>
      <c r="H183" s="71" t="s">
        <v>1976</v>
      </c>
      <c r="I183" s="71" t="str">
        <f>VLOOKUP(H183,[1]Sheet1!$C:$C,1,0)</f>
        <v>SC2442UA-Q-CP-10AK-2442</v>
      </c>
      <c r="J183" s="71"/>
      <c r="K183" s="71"/>
      <c r="L183" s="73"/>
      <c r="M183" s="80"/>
      <c r="N183" s="72"/>
      <c r="O183" s="73"/>
      <c r="P183" s="71"/>
      <c r="Q183" s="71"/>
      <c r="R183" s="100">
        <v>0.22</v>
      </c>
      <c r="S183" s="75"/>
      <c r="T183" s="91"/>
      <c r="U183" s="76">
        <f t="shared" si="53"/>
        <v>600000</v>
      </c>
      <c r="V183" s="80"/>
      <c r="W183" s="80"/>
      <c r="X183" s="80"/>
      <c r="Y183" s="72"/>
      <c r="Z183" s="72"/>
      <c r="AA183" s="72"/>
      <c r="AB183" s="72"/>
      <c r="AC183" s="72"/>
      <c r="AD183" s="77"/>
      <c r="AE183" s="75">
        <v>200000</v>
      </c>
      <c r="AF183" s="75">
        <v>200000</v>
      </c>
      <c r="AG183" s="75">
        <v>200000</v>
      </c>
      <c r="AH183" s="75">
        <v>200000</v>
      </c>
      <c r="AI183" s="75">
        <v>200000</v>
      </c>
      <c r="AJ183" s="75">
        <v>200000</v>
      </c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19"/>
      <c r="AX183" s="19"/>
      <c r="AY183" s="19" t="s">
        <v>261</v>
      </c>
      <c r="AZ183" s="19"/>
      <c r="BA183" s="19"/>
      <c r="BB183" s="19"/>
      <c r="BC183" s="19"/>
      <c r="BD183" s="19"/>
      <c r="BE183" s="19"/>
      <c r="BF183" s="19"/>
      <c r="BG183" s="24"/>
      <c r="BH183" s="19"/>
      <c r="BI183" s="25"/>
      <c r="BJ183" s="25"/>
      <c r="BK183" s="25"/>
      <c r="BL183" s="25"/>
      <c r="BM183" s="25"/>
      <c r="BN183" s="37"/>
      <c r="BO183" s="21"/>
      <c r="BP183" s="27"/>
      <c r="BQ183" s="27"/>
      <c r="BR183" s="27"/>
      <c r="BS183" s="27"/>
      <c r="BT183" s="28"/>
      <c r="BU183" s="28">
        <f t="shared" si="65"/>
        <v>44000</v>
      </c>
      <c r="BV183" s="28">
        <f t="shared" si="66"/>
        <v>44000</v>
      </c>
      <c r="BW183" s="28">
        <f t="shared" si="67"/>
        <v>44000</v>
      </c>
    </row>
    <row r="184" spans="1:75" ht="17.399999999999999" x14ac:dyDescent="0.25">
      <c r="A184" s="69">
        <f t="shared" si="68"/>
        <v>183</v>
      </c>
      <c r="B184" s="73" t="s">
        <v>1719</v>
      </c>
      <c r="C184" s="71" t="s">
        <v>235</v>
      </c>
      <c r="D184" s="71" t="s">
        <v>1624</v>
      </c>
      <c r="E184" s="71" t="s">
        <v>1532</v>
      </c>
      <c r="F184" s="71" t="s">
        <v>1720</v>
      </c>
      <c r="G184" s="71" t="s">
        <v>1724</v>
      </c>
      <c r="H184" s="71" t="s">
        <v>1725</v>
      </c>
      <c r="I184" s="71" t="str">
        <f>VLOOKUP(H184,[1]Sheet1!$C:$C,1,0)</f>
        <v>SC2452SO-Q-DD-60AR-2452</v>
      </c>
      <c r="J184" s="71"/>
      <c r="K184" s="71"/>
      <c r="L184" s="73" t="s">
        <v>1726</v>
      </c>
      <c r="M184" s="80">
        <v>500000</v>
      </c>
      <c r="N184" s="72" t="s">
        <v>382</v>
      </c>
      <c r="O184" s="73"/>
      <c r="P184" s="71" t="s">
        <v>1727</v>
      </c>
      <c r="Q184" s="71"/>
      <c r="R184" s="100">
        <v>0.52</v>
      </c>
      <c r="S184" s="75">
        <f t="shared" ref="S184:S189" si="70">R184*U184</f>
        <v>5200</v>
      </c>
      <c r="T184" s="91">
        <v>0</v>
      </c>
      <c r="U184" s="76">
        <f t="shared" si="53"/>
        <v>10000</v>
      </c>
      <c r="V184" s="80"/>
      <c r="W184" s="80"/>
      <c r="X184" s="80"/>
      <c r="Y184" s="72"/>
      <c r="Z184" s="72"/>
      <c r="AA184" s="72"/>
      <c r="AB184" s="72"/>
      <c r="AC184" s="72"/>
      <c r="AD184" s="77"/>
      <c r="AE184" s="75"/>
      <c r="AF184" s="75">
        <v>5000</v>
      </c>
      <c r="AG184" s="75">
        <v>5000</v>
      </c>
      <c r="AH184" s="75">
        <v>5000</v>
      </c>
      <c r="AI184" s="75">
        <v>5000</v>
      </c>
      <c r="AJ184" s="75">
        <v>5000</v>
      </c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10" t="s">
        <v>494</v>
      </c>
      <c r="AX184" s="10" t="s">
        <v>85</v>
      </c>
      <c r="AY184" s="19" t="s">
        <v>261</v>
      </c>
      <c r="AZ184" s="10" t="s">
        <v>62</v>
      </c>
      <c r="BA184" s="10" t="s">
        <v>86</v>
      </c>
      <c r="BB184" s="10" t="s">
        <v>87</v>
      </c>
      <c r="BC184" s="10" t="s">
        <v>1580</v>
      </c>
      <c r="BD184" s="10"/>
      <c r="BE184" s="10"/>
      <c r="BF184" s="10"/>
      <c r="BG184" s="13"/>
      <c r="BH184" s="10"/>
      <c r="BI184" s="14"/>
      <c r="BJ184" s="14"/>
      <c r="BK184" s="14"/>
      <c r="BL184" s="14"/>
      <c r="BM184" s="14"/>
      <c r="BN184" s="35"/>
      <c r="BO184" s="11"/>
      <c r="BP184" s="16">
        <f t="shared" ref="BP184:BT189" si="71">$R184*Z184</f>
        <v>0</v>
      </c>
      <c r="BQ184" s="16">
        <f t="shared" si="71"/>
        <v>0</v>
      </c>
      <c r="BR184" s="16">
        <f t="shared" si="71"/>
        <v>0</v>
      </c>
      <c r="BS184" s="16">
        <f t="shared" si="71"/>
        <v>0</v>
      </c>
      <c r="BT184" s="17">
        <f t="shared" si="71"/>
        <v>0</v>
      </c>
      <c r="BU184" s="28">
        <f t="shared" si="65"/>
        <v>0</v>
      </c>
      <c r="BV184" s="28">
        <f t="shared" si="66"/>
        <v>2600</v>
      </c>
      <c r="BW184" s="28">
        <f t="shared" si="67"/>
        <v>2600</v>
      </c>
    </row>
    <row r="185" spans="1:75" ht="17.399999999999999" x14ac:dyDescent="0.25">
      <c r="A185" s="69">
        <f t="shared" si="68"/>
        <v>184</v>
      </c>
      <c r="B185" s="73" t="s">
        <v>1699</v>
      </c>
      <c r="C185" s="71" t="s">
        <v>243</v>
      </c>
      <c r="D185" s="71" t="s">
        <v>1700</v>
      </c>
      <c r="E185" s="71" t="s">
        <v>1532</v>
      </c>
      <c r="F185" s="71" t="s">
        <v>1701</v>
      </c>
      <c r="G185" s="71" t="s">
        <v>1707</v>
      </c>
      <c r="H185" s="71"/>
      <c r="I185" s="71" t="e">
        <f>VLOOKUP(H185,[1]Sheet1!$C:$C,1,0)</f>
        <v>#N/A</v>
      </c>
      <c r="J185" s="71"/>
      <c r="K185" s="71"/>
      <c r="L185" s="73" t="s">
        <v>1708</v>
      </c>
      <c r="M185" s="80">
        <v>10000000</v>
      </c>
      <c r="N185" s="72" t="s">
        <v>382</v>
      </c>
      <c r="O185" s="73"/>
      <c r="P185" s="71" t="s">
        <v>1709</v>
      </c>
      <c r="Q185" s="71"/>
      <c r="R185" s="100">
        <v>0.68</v>
      </c>
      <c r="S185" s="75">
        <f t="shared" si="70"/>
        <v>0</v>
      </c>
      <c r="T185" s="91">
        <v>0</v>
      </c>
      <c r="U185" s="76">
        <f t="shared" si="53"/>
        <v>0</v>
      </c>
      <c r="V185" s="80"/>
      <c r="W185" s="80"/>
      <c r="X185" s="80"/>
      <c r="Y185" s="72"/>
      <c r="Z185" s="72"/>
      <c r="AA185" s="72"/>
      <c r="AB185" s="72"/>
      <c r="AC185" s="72"/>
      <c r="AD185" s="77"/>
      <c r="AE185" s="75"/>
      <c r="AF185" s="75"/>
      <c r="AG185" s="75"/>
      <c r="AH185" s="75"/>
      <c r="AI185" s="75">
        <v>0</v>
      </c>
      <c r="AJ185" s="75">
        <v>0</v>
      </c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19" t="s">
        <v>1706</v>
      </c>
      <c r="AX185" s="19" t="s">
        <v>85</v>
      </c>
      <c r="AY185" s="19" t="s">
        <v>261</v>
      </c>
      <c r="AZ185" s="19" t="s">
        <v>167</v>
      </c>
      <c r="BA185" s="19" t="s">
        <v>317</v>
      </c>
      <c r="BB185" s="19"/>
      <c r="BC185" s="19"/>
      <c r="BD185" s="19"/>
      <c r="BE185" s="19"/>
      <c r="BF185" s="19"/>
      <c r="BG185" s="24">
        <v>1</v>
      </c>
      <c r="BH185" s="19">
        <v>45493</v>
      </c>
      <c r="BI185" s="25">
        <v>45371</v>
      </c>
      <c r="BJ185" s="25">
        <v>45402</v>
      </c>
      <c r="BK185" s="25">
        <v>45432</v>
      </c>
      <c r="BL185" s="25">
        <v>45432</v>
      </c>
      <c r="BM185" s="25">
        <v>45432</v>
      </c>
      <c r="BN185" s="37">
        <v>1</v>
      </c>
      <c r="BO185" s="21">
        <v>5</v>
      </c>
      <c r="BP185" s="27">
        <f t="shared" si="71"/>
        <v>0</v>
      </c>
      <c r="BQ185" s="27">
        <f t="shared" si="71"/>
        <v>0</v>
      </c>
      <c r="BR185" s="27">
        <f t="shared" si="71"/>
        <v>0</v>
      </c>
      <c r="BS185" s="27">
        <f t="shared" si="71"/>
        <v>0</v>
      </c>
      <c r="BT185" s="28">
        <f t="shared" si="71"/>
        <v>0</v>
      </c>
      <c r="BU185" s="28">
        <f t="shared" si="65"/>
        <v>0</v>
      </c>
      <c r="BV185" s="28">
        <f t="shared" si="66"/>
        <v>0</v>
      </c>
      <c r="BW185" s="28">
        <f t="shared" si="67"/>
        <v>0</v>
      </c>
    </row>
    <row r="186" spans="1:75" ht="17.399999999999999" x14ac:dyDescent="0.25">
      <c r="A186" s="69">
        <f t="shared" si="68"/>
        <v>185</v>
      </c>
      <c r="B186" s="73" t="s">
        <v>1747</v>
      </c>
      <c r="C186" s="71" t="s">
        <v>243</v>
      </c>
      <c r="D186" s="71" t="s">
        <v>1624</v>
      </c>
      <c r="E186" s="71" t="s">
        <v>1532</v>
      </c>
      <c r="F186" s="71" t="s">
        <v>1625</v>
      </c>
      <c r="G186" s="71" t="s">
        <v>1748</v>
      </c>
      <c r="H186" s="71"/>
      <c r="I186" s="71" t="e">
        <f>VLOOKUP(H186,[1]Sheet1!$C:$C,1,0)</f>
        <v>#N/A</v>
      </c>
      <c r="J186" s="71"/>
      <c r="K186" s="71"/>
      <c r="L186" s="73" t="s">
        <v>876</v>
      </c>
      <c r="M186" s="80">
        <v>500000</v>
      </c>
      <c r="N186" s="72" t="s">
        <v>382</v>
      </c>
      <c r="O186" s="73"/>
      <c r="P186" s="71" t="s">
        <v>1749</v>
      </c>
      <c r="Q186" s="71"/>
      <c r="R186" s="100">
        <v>0.78</v>
      </c>
      <c r="S186" s="75">
        <f t="shared" si="70"/>
        <v>0</v>
      </c>
      <c r="T186" s="91">
        <v>0</v>
      </c>
      <c r="U186" s="76">
        <f t="shared" si="53"/>
        <v>0</v>
      </c>
      <c r="V186" s="80"/>
      <c r="W186" s="80"/>
      <c r="X186" s="80"/>
      <c r="Y186" s="72"/>
      <c r="Z186" s="72"/>
      <c r="AA186" s="72"/>
      <c r="AB186" s="72"/>
      <c r="AC186" s="72"/>
      <c r="AD186" s="77"/>
      <c r="AE186" s="75"/>
      <c r="AF186" s="75"/>
      <c r="AG186" s="75"/>
      <c r="AH186" s="75">
        <v>0</v>
      </c>
      <c r="AI186" s="75">
        <v>0</v>
      </c>
      <c r="AJ186" s="75">
        <v>0</v>
      </c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10" t="s">
        <v>494</v>
      </c>
      <c r="AX186" s="10" t="s">
        <v>85</v>
      </c>
      <c r="AY186" s="19" t="s">
        <v>261</v>
      </c>
      <c r="AZ186" s="10" t="s">
        <v>62</v>
      </c>
      <c r="BA186" s="10" t="s">
        <v>62</v>
      </c>
      <c r="BB186" s="10" t="s">
        <v>96</v>
      </c>
      <c r="BC186" s="10" t="s">
        <v>1399</v>
      </c>
      <c r="BD186" s="10"/>
      <c r="BE186" s="10"/>
      <c r="BF186" s="10"/>
      <c r="BG186" s="13"/>
      <c r="BH186" s="10"/>
      <c r="BI186" s="14"/>
      <c r="BJ186" s="14"/>
      <c r="BK186" s="14"/>
      <c r="BL186" s="14"/>
      <c r="BM186" s="14"/>
      <c r="BN186" s="35"/>
      <c r="BO186" s="11"/>
      <c r="BP186" s="16">
        <f t="shared" si="71"/>
        <v>0</v>
      </c>
      <c r="BQ186" s="16">
        <f t="shared" si="71"/>
        <v>0</v>
      </c>
      <c r="BR186" s="16">
        <f t="shared" si="71"/>
        <v>0</v>
      </c>
      <c r="BS186" s="16">
        <f t="shared" si="71"/>
        <v>0</v>
      </c>
      <c r="BT186" s="17">
        <f t="shared" si="71"/>
        <v>0</v>
      </c>
      <c r="BU186" s="28">
        <f t="shared" si="65"/>
        <v>0</v>
      </c>
      <c r="BV186" s="28">
        <f t="shared" si="66"/>
        <v>0</v>
      </c>
      <c r="BW186" s="28">
        <f t="shared" si="67"/>
        <v>0</v>
      </c>
    </row>
    <row r="187" spans="1:75" ht="17.399999999999999" x14ac:dyDescent="0.25">
      <c r="A187" s="69">
        <f t="shared" si="68"/>
        <v>186</v>
      </c>
      <c r="B187" s="71" t="s">
        <v>1880</v>
      </c>
      <c r="C187" s="71" t="s">
        <v>290</v>
      </c>
      <c r="D187" s="71" t="s">
        <v>150</v>
      </c>
      <c r="E187" s="71" t="s">
        <v>69</v>
      </c>
      <c r="F187" s="71" t="s">
        <v>151</v>
      </c>
      <c r="G187" s="71" t="s">
        <v>233</v>
      </c>
      <c r="H187" s="71" t="s">
        <v>298</v>
      </c>
      <c r="I187" s="71" t="str">
        <f>VLOOKUP(H187,[1]Sheet1!$C:$C,1,0)</f>
        <v>SC25898CUB-Q-DD-60AK-25898</v>
      </c>
      <c r="J187" s="71"/>
      <c r="K187" s="71"/>
      <c r="L187" s="71" t="s">
        <v>157</v>
      </c>
      <c r="M187" s="72">
        <v>500000</v>
      </c>
      <c r="N187" s="71" t="s">
        <v>158</v>
      </c>
      <c r="O187" s="71" t="s">
        <v>159</v>
      </c>
      <c r="P187" s="71" t="s">
        <v>160</v>
      </c>
      <c r="Q187" s="74"/>
      <c r="R187" s="100">
        <v>0.63</v>
      </c>
      <c r="S187" s="75">
        <f t="shared" si="70"/>
        <v>1890</v>
      </c>
      <c r="T187" s="76">
        <v>0</v>
      </c>
      <c r="U187" s="76">
        <f t="shared" si="53"/>
        <v>3000</v>
      </c>
      <c r="V187" s="82"/>
      <c r="W187" s="82"/>
      <c r="X187" s="82"/>
      <c r="Y187" s="72"/>
      <c r="Z187" s="72"/>
      <c r="AA187" s="72"/>
      <c r="AB187" s="72"/>
      <c r="AC187" s="72"/>
      <c r="AD187" s="77">
        <v>1000</v>
      </c>
      <c r="AE187" s="75">
        <v>1000</v>
      </c>
      <c r="AF187" s="75">
        <v>1000</v>
      </c>
      <c r="AG187" s="75">
        <v>1000</v>
      </c>
      <c r="AH187" s="75">
        <v>5000</v>
      </c>
      <c r="AI187" s="75">
        <v>5000</v>
      </c>
      <c r="AJ187" s="75">
        <v>30000</v>
      </c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19" t="s">
        <v>155</v>
      </c>
      <c r="AX187" s="19" t="s">
        <v>61</v>
      </c>
      <c r="AY187" s="19" t="s">
        <v>261</v>
      </c>
      <c r="AZ187" s="19" t="s">
        <v>62</v>
      </c>
      <c r="BA187" s="19" t="s">
        <v>96</v>
      </c>
      <c r="BB187" s="19" t="s">
        <v>87</v>
      </c>
      <c r="BC187" s="19" t="s">
        <v>157</v>
      </c>
      <c r="BD187" s="19" t="s">
        <v>161</v>
      </c>
      <c r="BE187" s="19"/>
      <c r="BF187" s="19"/>
      <c r="BG187" s="24">
        <v>1</v>
      </c>
      <c r="BH187" s="19"/>
      <c r="BI187" s="19"/>
      <c r="BJ187" s="19"/>
      <c r="BK187" s="19"/>
      <c r="BL187" s="19"/>
      <c r="BM187" s="19"/>
      <c r="BN187" s="37"/>
      <c r="BO187" s="21"/>
      <c r="BP187" s="27">
        <f t="shared" si="71"/>
        <v>0</v>
      </c>
      <c r="BQ187" s="27">
        <f t="shared" si="71"/>
        <v>0</v>
      </c>
      <c r="BR187" s="27">
        <f t="shared" si="71"/>
        <v>0</v>
      </c>
      <c r="BS187" s="27">
        <f t="shared" si="71"/>
        <v>0</v>
      </c>
      <c r="BT187" s="28">
        <f t="shared" si="71"/>
        <v>630</v>
      </c>
      <c r="BU187" s="28">
        <f t="shared" si="65"/>
        <v>630</v>
      </c>
      <c r="BV187" s="28">
        <f t="shared" si="66"/>
        <v>630</v>
      </c>
      <c r="BW187" s="28">
        <f t="shared" si="67"/>
        <v>630</v>
      </c>
    </row>
    <row r="188" spans="1:75" ht="17.399999999999999" x14ac:dyDescent="0.25">
      <c r="A188" s="69">
        <f t="shared" si="68"/>
        <v>187</v>
      </c>
      <c r="B188" s="73" t="s">
        <v>1484</v>
      </c>
      <c r="C188" s="71" t="s">
        <v>106</v>
      </c>
      <c r="D188" s="71" t="s">
        <v>1463</v>
      </c>
      <c r="E188" s="71" t="s">
        <v>1302</v>
      </c>
      <c r="F188" s="71" t="s">
        <v>1464</v>
      </c>
      <c r="G188" s="71" t="s">
        <v>1988</v>
      </c>
      <c r="H188" s="71" t="s">
        <v>1989</v>
      </c>
      <c r="I188" s="71" t="str">
        <f>VLOOKUP(H188,[1]Sheet1!$C:$C,1,0)</f>
        <v>SC2919SO-N-Q-CD-90AR-2919</v>
      </c>
      <c r="J188" s="71"/>
      <c r="K188" s="71"/>
      <c r="L188" s="71" t="s">
        <v>1498</v>
      </c>
      <c r="M188" s="80">
        <v>400000</v>
      </c>
      <c r="N188" s="72" t="s">
        <v>251</v>
      </c>
      <c r="O188" s="73" t="s">
        <v>1499</v>
      </c>
      <c r="P188" s="71"/>
      <c r="Q188" s="71"/>
      <c r="R188" s="100">
        <v>0.69499999999999995</v>
      </c>
      <c r="S188" s="75">
        <f t="shared" si="70"/>
        <v>0</v>
      </c>
      <c r="T188" s="91">
        <f>R188*SUM(AK188:AP188)</f>
        <v>0</v>
      </c>
      <c r="U188" s="76">
        <f t="shared" si="53"/>
        <v>0</v>
      </c>
      <c r="V188" s="80">
        <v>0</v>
      </c>
      <c r="W188" s="80">
        <v>0</v>
      </c>
      <c r="X188" s="80">
        <v>0</v>
      </c>
      <c r="Y188" s="80">
        <v>0</v>
      </c>
      <c r="Z188" s="80">
        <v>0</v>
      </c>
      <c r="AA188" s="80">
        <v>0</v>
      </c>
      <c r="AB188" s="80">
        <v>0</v>
      </c>
      <c r="AC188" s="80">
        <v>0</v>
      </c>
      <c r="AD188" s="77">
        <v>0</v>
      </c>
      <c r="AE188" s="75">
        <v>0</v>
      </c>
      <c r="AF188" s="75">
        <v>0</v>
      </c>
      <c r="AG188" s="75">
        <v>0</v>
      </c>
      <c r="AH188" s="75">
        <v>0</v>
      </c>
      <c r="AI188" s="75"/>
      <c r="AJ188" s="75">
        <v>0</v>
      </c>
      <c r="AK188" s="33">
        <v>0</v>
      </c>
      <c r="AL188" s="33">
        <v>0</v>
      </c>
      <c r="AM188" s="33">
        <v>0</v>
      </c>
      <c r="AN188" s="33">
        <v>0</v>
      </c>
      <c r="AO188" s="33">
        <v>0</v>
      </c>
      <c r="AP188" s="33">
        <v>0</v>
      </c>
      <c r="AQ188" s="33">
        <v>0</v>
      </c>
      <c r="AR188" s="33">
        <v>0</v>
      </c>
      <c r="AS188" s="33">
        <v>0</v>
      </c>
      <c r="AT188" s="33">
        <v>0</v>
      </c>
      <c r="AU188" s="33">
        <v>0</v>
      </c>
      <c r="AV188" s="33">
        <v>0</v>
      </c>
      <c r="AW188" s="19" t="s">
        <v>155</v>
      </c>
      <c r="AX188" s="19" t="s">
        <v>85</v>
      </c>
      <c r="AY188" s="19" t="s">
        <v>261</v>
      </c>
      <c r="AZ188" s="19" t="s">
        <v>62</v>
      </c>
      <c r="BA188" s="19" t="s">
        <v>1496</v>
      </c>
      <c r="BB188" s="19" t="s">
        <v>1497</v>
      </c>
      <c r="BC188" s="19" t="s">
        <v>1497</v>
      </c>
      <c r="BD188" s="19"/>
      <c r="BE188" s="19"/>
      <c r="BF188" s="19"/>
      <c r="BG188" s="24">
        <v>1</v>
      </c>
      <c r="BH188" s="19"/>
      <c r="BI188" s="25"/>
      <c r="BJ188" s="25"/>
      <c r="BK188" s="25"/>
      <c r="BL188" s="25"/>
      <c r="BM188" s="25"/>
      <c r="BN188" s="37"/>
      <c r="BO188" s="21"/>
      <c r="BP188" s="27">
        <f t="shared" si="71"/>
        <v>0</v>
      </c>
      <c r="BQ188" s="27">
        <f t="shared" si="71"/>
        <v>0</v>
      </c>
      <c r="BR188" s="27">
        <f t="shared" si="71"/>
        <v>0</v>
      </c>
      <c r="BS188" s="27">
        <f t="shared" si="71"/>
        <v>0</v>
      </c>
      <c r="BT188" s="28">
        <f t="shared" si="71"/>
        <v>0</v>
      </c>
      <c r="BU188" s="28">
        <f t="shared" si="65"/>
        <v>0</v>
      </c>
      <c r="BV188" s="28">
        <f t="shared" si="66"/>
        <v>0</v>
      </c>
      <c r="BW188" s="28">
        <f t="shared" si="67"/>
        <v>0</v>
      </c>
    </row>
    <row r="189" spans="1:75" ht="17.399999999999999" x14ac:dyDescent="0.25">
      <c r="A189" s="69">
        <f t="shared" si="68"/>
        <v>188</v>
      </c>
      <c r="B189" s="70" t="s">
        <v>1241</v>
      </c>
      <c r="C189" s="71" t="s">
        <v>243</v>
      </c>
      <c r="D189" s="71" t="s">
        <v>1176</v>
      </c>
      <c r="E189" s="71" t="s">
        <v>1160</v>
      </c>
      <c r="F189" s="71"/>
      <c r="G189" s="71" t="s">
        <v>1242</v>
      </c>
      <c r="H189" s="71"/>
      <c r="I189" s="71" t="e">
        <f>VLOOKUP(H189,[1]Sheet1!$C:$C,1,0)</f>
        <v>#N/A</v>
      </c>
      <c r="J189" s="71"/>
      <c r="K189" s="71"/>
      <c r="L189" s="71" t="s">
        <v>1243</v>
      </c>
      <c r="M189" s="72"/>
      <c r="N189" s="71" t="s">
        <v>382</v>
      </c>
      <c r="O189" s="73" t="s">
        <v>1244</v>
      </c>
      <c r="P189" s="71" t="s">
        <v>295</v>
      </c>
      <c r="Q189" s="74"/>
      <c r="R189" s="100">
        <v>0.42</v>
      </c>
      <c r="S189" s="75">
        <f t="shared" si="70"/>
        <v>0</v>
      </c>
      <c r="T189" s="92"/>
      <c r="U189" s="76">
        <f t="shared" si="53"/>
        <v>0</v>
      </c>
      <c r="V189" s="72">
        <v>0</v>
      </c>
      <c r="W189" s="72">
        <v>0</v>
      </c>
      <c r="X189" s="72">
        <v>0</v>
      </c>
      <c r="Y189" s="72"/>
      <c r="Z189" s="72">
        <v>30000</v>
      </c>
      <c r="AA189" s="72">
        <v>30000</v>
      </c>
      <c r="AB189" s="72">
        <v>30000</v>
      </c>
      <c r="AC189" s="72">
        <v>60000</v>
      </c>
      <c r="AD189" s="77"/>
      <c r="AE189" s="75"/>
      <c r="AF189" s="75"/>
      <c r="AG189" s="75"/>
      <c r="AH189" s="75"/>
      <c r="AI189" s="75"/>
      <c r="AJ189" s="75">
        <v>0</v>
      </c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0" t="s">
        <v>1162</v>
      </c>
      <c r="AX189" s="10" t="s">
        <v>120</v>
      </c>
      <c r="AY189" s="19" t="s">
        <v>261</v>
      </c>
      <c r="AZ189" s="9" t="s">
        <v>62</v>
      </c>
      <c r="BA189" s="10" t="s">
        <v>96</v>
      </c>
      <c r="BB189" s="10" t="s">
        <v>1245</v>
      </c>
      <c r="BC189" s="10" t="s">
        <v>1246</v>
      </c>
      <c r="BD189" s="10"/>
      <c r="BE189" s="10"/>
      <c r="BF189" s="10"/>
      <c r="BG189" s="13"/>
      <c r="BH189" s="10"/>
      <c r="BI189" s="14"/>
      <c r="BJ189" s="14"/>
      <c r="BK189" s="14"/>
      <c r="BL189" s="14"/>
      <c r="BM189" s="14"/>
      <c r="BN189" s="15"/>
      <c r="BO189" s="11"/>
      <c r="BP189" s="16">
        <f t="shared" si="71"/>
        <v>12600</v>
      </c>
      <c r="BQ189" s="16">
        <f t="shared" si="71"/>
        <v>12600</v>
      </c>
      <c r="BR189" s="16">
        <f t="shared" si="71"/>
        <v>12600</v>
      </c>
      <c r="BS189" s="16">
        <f t="shared" si="71"/>
        <v>25200</v>
      </c>
      <c r="BT189" s="17">
        <f t="shared" si="71"/>
        <v>0</v>
      </c>
      <c r="BU189" s="28">
        <f t="shared" si="65"/>
        <v>0</v>
      </c>
      <c r="BV189" s="28">
        <f t="shared" si="66"/>
        <v>0</v>
      </c>
      <c r="BW189" s="28">
        <f t="shared" si="67"/>
        <v>0</v>
      </c>
    </row>
    <row r="190" spans="1:75" ht="17.399999999999999" x14ac:dyDescent="0.25">
      <c r="A190" s="69">
        <f t="shared" si="68"/>
        <v>189</v>
      </c>
      <c r="B190" s="73" t="s">
        <v>1928</v>
      </c>
      <c r="C190" s="71" t="s">
        <v>243</v>
      </c>
      <c r="D190" s="71" t="s">
        <v>1811</v>
      </c>
      <c r="E190" s="71" t="s">
        <v>978</v>
      </c>
      <c r="F190" s="71" t="s">
        <v>978</v>
      </c>
      <c r="G190" s="71" t="s">
        <v>1919</v>
      </c>
      <c r="H190" s="71" t="s">
        <v>1920</v>
      </c>
      <c r="I190" s="71" t="str">
        <f>VLOOKUP(H190,[1]Sheet1!$C:$C,1,0)</f>
        <v>SC2943UA-Q-DB-60AK-2943</v>
      </c>
      <c r="J190" s="71"/>
      <c r="K190" s="71"/>
      <c r="L190" s="73"/>
      <c r="M190" s="80"/>
      <c r="N190" s="72"/>
      <c r="O190" s="73"/>
      <c r="P190" s="71"/>
      <c r="Q190" s="71"/>
      <c r="R190" s="100">
        <v>0.45</v>
      </c>
      <c r="S190" s="75"/>
      <c r="T190" s="91"/>
      <c r="U190" s="76">
        <f t="shared" si="53"/>
        <v>60000</v>
      </c>
      <c r="V190" s="80"/>
      <c r="W190" s="80"/>
      <c r="X190" s="80"/>
      <c r="Y190" s="72"/>
      <c r="Z190" s="72"/>
      <c r="AA190" s="72"/>
      <c r="AB190" s="72"/>
      <c r="AC190" s="72"/>
      <c r="AD190" s="77"/>
      <c r="AE190" s="123">
        <v>20000</v>
      </c>
      <c r="AF190" s="123">
        <v>20000</v>
      </c>
      <c r="AG190" s="123">
        <v>20000</v>
      </c>
      <c r="AH190" s="123">
        <v>20000</v>
      </c>
      <c r="AI190" s="123">
        <v>20000</v>
      </c>
      <c r="AJ190" s="123">
        <v>20000</v>
      </c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19"/>
      <c r="AX190" s="19"/>
      <c r="AY190" s="19" t="s">
        <v>261</v>
      </c>
      <c r="AZ190" s="19"/>
      <c r="BA190" s="19"/>
      <c r="BB190" s="19"/>
      <c r="BC190" s="19"/>
      <c r="BD190" s="19"/>
      <c r="BE190" s="19"/>
      <c r="BF190" s="19"/>
      <c r="BG190" s="24"/>
      <c r="BH190" s="19"/>
      <c r="BI190" s="25"/>
      <c r="BJ190" s="25"/>
      <c r="BK190" s="25"/>
      <c r="BL190" s="25"/>
      <c r="BM190" s="25"/>
      <c r="BN190" s="37"/>
      <c r="BO190" s="21"/>
      <c r="BP190" s="27"/>
      <c r="BQ190" s="27"/>
      <c r="BR190" s="27"/>
      <c r="BS190" s="27"/>
      <c r="BT190" s="28"/>
      <c r="BU190" s="28">
        <f t="shared" si="65"/>
        <v>9000</v>
      </c>
      <c r="BV190" s="28">
        <f t="shared" si="66"/>
        <v>9000</v>
      </c>
      <c r="BW190" s="28">
        <f t="shared" si="67"/>
        <v>9000</v>
      </c>
    </row>
    <row r="191" spans="1:75" ht="17.399999999999999" x14ac:dyDescent="0.25">
      <c r="A191" s="69">
        <f t="shared" si="68"/>
        <v>190</v>
      </c>
      <c r="B191" s="73" t="s">
        <v>1932</v>
      </c>
      <c r="C191" s="71" t="s">
        <v>243</v>
      </c>
      <c r="D191" s="71" t="s">
        <v>1811</v>
      </c>
      <c r="E191" s="71" t="s">
        <v>978</v>
      </c>
      <c r="F191" s="71" t="s">
        <v>978</v>
      </c>
      <c r="G191" s="71" t="s">
        <v>1919</v>
      </c>
      <c r="H191" s="71" t="s">
        <v>1920</v>
      </c>
      <c r="I191" s="71" t="str">
        <f>VLOOKUP(H191,[1]Sheet1!$C:$C,1,0)</f>
        <v>SC2943UA-Q-DB-60AK-2943</v>
      </c>
      <c r="J191" s="71"/>
      <c r="K191" s="71"/>
      <c r="L191" s="73"/>
      <c r="M191" s="80"/>
      <c r="N191" s="72"/>
      <c r="O191" s="73"/>
      <c r="P191" s="71"/>
      <c r="Q191" s="71"/>
      <c r="R191" s="100">
        <v>0.45</v>
      </c>
      <c r="S191" s="75"/>
      <c r="T191" s="91"/>
      <c r="U191" s="76">
        <f t="shared" si="53"/>
        <v>0</v>
      </c>
      <c r="V191" s="80"/>
      <c r="W191" s="80"/>
      <c r="X191" s="80"/>
      <c r="Y191" s="72"/>
      <c r="Z191" s="72"/>
      <c r="AA191" s="72"/>
      <c r="AB191" s="72"/>
      <c r="AC191" s="72"/>
      <c r="AD191" s="77"/>
      <c r="AE191" s="75"/>
      <c r="AF191" s="75"/>
      <c r="AG191" s="75"/>
      <c r="AH191" s="75"/>
      <c r="AI191" s="75"/>
      <c r="AJ191" s="75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19"/>
      <c r="AX191" s="19"/>
      <c r="AY191" s="19" t="s">
        <v>261</v>
      </c>
      <c r="AZ191" s="19"/>
      <c r="BA191" s="19"/>
      <c r="BB191" s="19"/>
      <c r="BC191" s="19"/>
      <c r="BD191" s="19"/>
      <c r="BE191" s="19"/>
      <c r="BF191" s="19"/>
      <c r="BG191" s="24"/>
      <c r="BH191" s="19"/>
      <c r="BI191" s="25"/>
      <c r="BJ191" s="25"/>
      <c r="BK191" s="25"/>
      <c r="BL191" s="25"/>
      <c r="BM191" s="25"/>
      <c r="BN191" s="37"/>
      <c r="BO191" s="21"/>
      <c r="BP191" s="27"/>
      <c r="BQ191" s="27"/>
      <c r="BR191" s="27"/>
      <c r="BS191" s="27"/>
      <c r="BT191" s="28"/>
      <c r="BU191" s="28">
        <f t="shared" si="65"/>
        <v>0</v>
      </c>
      <c r="BV191" s="28">
        <f t="shared" si="66"/>
        <v>0</v>
      </c>
      <c r="BW191" s="28">
        <f t="shared" si="67"/>
        <v>0</v>
      </c>
    </row>
    <row r="192" spans="1:75" ht="17.399999999999999" x14ac:dyDescent="0.25">
      <c r="A192" s="69">
        <f t="shared" si="68"/>
        <v>191</v>
      </c>
      <c r="B192" s="96" t="s">
        <v>1894</v>
      </c>
      <c r="C192" s="99" t="s">
        <v>106</v>
      </c>
      <c r="D192" s="96" t="s">
        <v>1895</v>
      </c>
      <c r="E192" s="96" t="s">
        <v>1882</v>
      </c>
      <c r="F192" s="96" t="s">
        <v>1896</v>
      </c>
      <c r="G192" s="96" t="s">
        <v>1912</v>
      </c>
      <c r="H192" s="71" t="s">
        <v>1913</v>
      </c>
      <c r="I192" s="71" t="str">
        <f>VLOOKUP(H192,[1]Sheet1!$C:$C,1,0)</f>
        <v>SC2943UA-Q-K01-DB-60AR-2943</v>
      </c>
      <c r="J192" s="98"/>
      <c r="K192" s="98"/>
      <c r="L192" s="98"/>
      <c r="M192" s="98"/>
      <c r="N192" s="98"/>
      <c r="O192" s="98"/>
      <c r="P192" s="98"/>
      <c r="Q192" s="98"/>
      <c r="R192" s="105">
        <v>0.59199999999999997</v>
      </c>
      <c r="S192" s="98"/>
      <c r="T192" s="98"/>
      <c r="U192" s="76">
        <f t="shared" si="53"/>
        <v>14000</v>
      </c>
      <c r="V192" s="98"/>
      <c r="W192" s="98"/>
      <c r="X192" s="98"/>
      <c r="Y192" s="98"/>
      <c r="Z192" s="98"/>
      <c r="AA192" s="98"/>
      <c r="AB192" s="98"/>
      <c r="AC192" s="98"/>
      <c r="AD192" s="98"/>
      <c r="AE192" s="107">
        <v>3000</v>
      </c>
      <c r="AF192" s="107">
        <v>3000</v>
      </c>
      <c r="AG192" s="107">
        <v>8000</v>
      </c>
      <c r="AH192" s="107">
        <v>15000</v>
      </c>
      <c r="AI192" s="107">
        <v>15000</v>
      </c>
      <c r="AJ192" s="107">
        <v>15000</v>
      </c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9" t="s">
        <v>261</v>
      </c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28">
        <f t="shared" si="65"/>
        <v>1776</v>
      </c>
      <c r="BV192" s="28">
        <f t="shared" si="66"/>
        <v>1776</v>
      </c>
      <c r="BW192" s="28">
        <f t="shared" si="67"/>
        <v>4736</v>
      </c>
    </row>
    <row r="193" spans="1:75" ht="17.399999999999999" x14ac:dyDescent="0.25">
      <c r="A193" s="69">
        <f t="shared" si="68"/>
        <v>192</v>
      </c>
      <c r="B193" s="73" t="s">
        <v>1043</v>
      </c>
      <c r="C193" s="73" t="s">
        <v>235</v>
      </c>
      <c r="D193" s="73" t="s">
        <v>1043</v>
      </c>
      <c r="E193" s="73" t="s">
        <v>978</v>
      </c>
      <c r="F193" s="73" t="s">
        <v>978</v>
      </c>
      <c r="G193" s="71" t="s">
        <v>1061</v>
      </c>
      <c r="H193" s="71" t="s">
        <v>1062</v>
      </c>
      <c r="I193" s="71" t="str">
        <f>VLOOKUP(H193,[1]Sheet1!$C:$C,1,0)</f>
        <v>SC2948S2-DB-60AK-61H</v>
      </c>
      <c r="J193" s="87"/>
      <c r="K193" s="85"/>
      <c r="L193" s="85"/>
      <c r="M193" s="85"/>
      <c r="N193" s="85"/>
      <c r="O193" s="85"/>
      <c r="P193" s="85"/>
      <c r="Q193" s="85"/>
      <c r="R193" s="100">
        <v>0.28499999999999998</v>
      </c>
      <c r="S193" s="75">
        <f>R193*U193</f>
        <v>0</v>
      </c>
      <c r="T193" s="76">
        <v>320625</v>
      </c>
      <c r="U193" s="76">
        <f t="shared" ref="U193:U256" si="72">SUM(AE193:AG193)</f>
        <v>0</v>
      </c>
      <c r="V193" s="85"/>
      <c r="W193" s="85"/>
      <c r="X193" s="85"/>
      <c r="Y193" s="85"/>
      <c r="Z193" s="76">
        <v>1125000</v>
      </c>
      <c r="AA193" s="76"/>
      <c r="AB193" s="76"/>
      <c r="AC193" s="76"/>
      <c r="AD193" s="77"/>
      <c r="AE193" s="75"/>
      <c r="AF193" s="75"/>
      <c r="AG193" s="75"/>
      <c r="AH193" s="75">
        <v>0</v>
      </c>
      <c r="AI193" s="75"/>
      <c r="AJ193" s="75">
        <v>0</v>
      </c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 t="s">
        <v>689</v>
      </c>
      <c r="AY193" s="19" t="s">
        <v>258</v>
      </c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  <c r="BK193" s="27"/>
      <c r="BL193" s="27"/>
      <c r="BM193" s="27"/>
      <c r="BN193" s="27"/>
      <c r="BO193" s="27"/>
      <c r="BP193" s="27">
        <f>$R193*Z193</f>
        <v>320625</v>
      </c>
      <c r="BQ193" s="27">
        <f>$R193*AA193</f>
        <v>0</v>
      </c>
      <c r="BR193" s="27">
        <f>$R193*AB193</f>
        <v>0</v>
      </c>
      <c r="BS193" s="27">
        <f>$R193*AC193</f>
        <v>0</v>
      </c>
      <c r="BT193" s="28">
        <f>$R193*AD193</f>
        <v>0</v>
      </c>
      <c r="BU193" s="28">
        <f t="shared" si="65"/>
        <v>0</v>
      </c>
      <c r="BV193" s="28">
        <f t="shared" si="66"/>
        <v>0</v>
      </c>
      <c r="BW193" s="28">
        <f t="shared" si="67"/>
        <v>0</v>
      </c>
    </row>
    <row r="194" spans="1:75" ht="17.399999999999999" x14ac:dyDescent="0.25">
      <c r="A194" s="69">
        <f t="shared" si="68"/>
        <v>193</v>
      </c>
      <c r="B194" s="73" t="s">
        <v>1043</v>
      </c>
      <c r="C194" s="71" t="s">
        <v>243</v>
      </c>
      <c r="D194" s="71" t="s">
        <v>1043</v>
      </c>
      <c r="E194" s="71" t="s">
        <v>978</v>
      </c>
      <c r="F194" s="73" t="s">
        <v>978</v>
      </c>
      <c r="G194" s="71" t="s">
        <v>1061</v>
      </c>
      <c r="H194" s="71" t="s">
        <v>1820</v>
      </c>
      <c r="I194" s="71" t="str">
        <f>VLOOKUP(H194,[1]Sheet1!$C:$C,1,0)</f>
        <v>SC2948S2-DB-60AK-61H</v>
      </c>
      <c r="J194" s="71"/>
      <c r="K194" s="71"/>
      <c r="L194" s="73"/>
      <c r="M194" s="80"/>
      <c r="N194" s="72"/>
      <c r="O194" s="73"/>
      <c r="P194" s="71"/>
      <c r="Q194" s="71"/>
      <c r="R194" s="100">
        <v>0.28499999999999998</v>
      </c>
      <c r="S194" s="75"/>
      <c r="T194" s="91"/>
      <c r="U194" s="76">
        <f t="shared" si="72"/>
        <v>0</v>
      </c>
      <c r="V194" s="80"/>
      <c r="W194" s="80"/>
      <c r="X194" s="80"/>
      <c r="Y194" s="72"/>
      <c r="Z194" s="72"/>
      <c r="AA194" s="72"/>
      <c r="AB194" s="72"/>
      <c r="AC194" s="72"/>
      <c r="AD194" s="77"/>
      <c r="AE194" s="75"/>
      <c r="AF194" s="75"/>
      <c r="AG194" s="75"/>
      <c r="AH194" s="75"/>
      <c r="AI194" s="75"/>
      <c r="AJ194" s="75">
        <v>0</v>
      </c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19"/>
      <c r="AX194" s="19" t="s">
        <v>689</v>
      </c>
      <c r="AY194" s="19" t="s">
        <v>261</v>
      </c>
      <c r="AZ194" s="19"/>
      <c r="BA194" s="19"/>
      <c r="BB194" s="19"/>
      <c r="BC194" s="19"/>
      <c r="BD194" s="19"/>
      <c r="BE194" s="19"/>
      <c r="BF194" s="19"/>
      <c r="BG194" s="24"/>
      <c r="BH194" s="19"/>
      <c r="BI194" s="25"/>
      <c r="BJ194" s="25"/>
      <c r="BK194" s="25"/>
      <c r="BL194" s="25"/>
      <c r="BM194" s="25"/>
      <c r="BN194" s="37"/>
      <c r="BO194" s="21"/>
      <c r="BP194" s="27"/>
      <c r="BQ194" s="27"/>
      <c r="BR194" s="27"/>
      <c r="BS194" s="27">
        <f>$R194*AC194</f>
        <v>0</v>
      </c>
      <c r="BT194" s="28">
        <f>$R194*AD194</f>
        <v>0</v>
      </c>
      <c r="BU194" s="28">
        <f t="shared" si="65"/>
        <v>0</v>
      </c>
      <c r="BV194" s="28">
        <f t="shared" si="66"/>
        <v>0</v>
      </c>
      <c r="BW194" s="28">
        <f t="shared" si="67"/>
        <v>0</v>
      </c>
    </row>
    <row r="195" spans="1:75" ht="17.399999999999999" x14ac:dyDescent="0.25">
      <c r="A195" s="69">
        <f t="shared" si="68"/>
        <v>194</v>
      </c>
      <c r="B195" s="73" t="s">
        <v>1742</v>
      </c>
      <c r="C195" s="71" t="s">
        <v>235</v>
      </c>
      <c r="D195" s="71" t="s">
        <v>764</v>
      </c>
      <c r="E195" s="71" t="s">
        <v>1532</v>
      </c>
      <c r="F195" s="71" t="s">
        <v>1743</v>
      </c>
      <c r="G195" s="71" t="s">
        <v>1746</v>
      </c>
      <c r="H195" s="71" t="s">
        <v>1927</v>
      </c>
      <c r="I195" s="71" t="str">
        <f>VLOOKUP(H195,[1]Sheet1!$C:$C,1,0)</f>
        <v>SC2948SO-Q-DB-60AR-2948</v>
      </c>
      <c r="J195" s="71"/>
      <c r="K195" s="71"/>
      <c r="L195" s="73"/>
      <c r="M195" s="80"/>
      <c r="N195" s="72"/>
      <c r="O195" s="73"/>
      <c r="P195" s="71"/>
      <c r="Q195" s="71"/>
      <c r="R195" s="100">
        <v>0.66</v>
      </c>
      <c r="S195" s="75">
        <f>R195*U195</f>
        <v>85800</v>
      </c>
      <c r="T195" s="91"/>
      <c r="U195" s="76">
        <f t="shared" si="72"/>
        <v>130000</v>
      </c>
      <c r="V195" s="80"/>
      <c r="W195" s="80"/>
      <c r="X195" s="80"/>
      <c r="Y195" s="72"/>
      <c r="Z195" s="72"/>
      <c r="AA195" s="72"/>
      <c r="AB195" s="72">
        <v>30000</v>
      </c>
      <c r="AC195" s="72">
        <v>50000</v>
      </c>
      <c r="AD195" s="77">
        <v>50000</v>
      </c>
      <c r="AE195" s="75">
        <v>30000</v>
      </c>
      <c r="AF195" s="75">
        <v>50000</v>
      </c>
      <c r="AG195" s="75">
        <v>50000</v>
      </c>
      <c r="AH195" s="75">
        <v>50000</v>
      </c>
      <c r="AI195" s="75">
        <v>50000</v>
      </c>
      <c r="AJ195" s="75">
        <v>50000</v>
      </c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19" t="s">
        <v>494</v>
      </c>
      <c r="AX195" s="19" t="s">
        <v>85</v>
      </c>
      <c r="AY195" s="19" t="s">
        <v>261</v>
      </c>
      <c r="AZ195" s="19"/>
      <c r="BA195" s="19"/>
      <c r="BB195" s="19"/>
      <c r="BC195" s="19"/>
      <c r="BD195" s="19"/>
      <c r="BE195" s="19"/>
      <c r="BF195" s="19"/>
      <c r="BG195" s="24"/>
      <c r="BH195" s="19"/>
      <c r="BI195" s="25"/>
      <c r="BJ195" s="25"/>
      <c r="BK195" s="25"/>
      <c r="BL195" s="25"/>
      <c r="BM195" s="25"/>
      <c r="BN195" s="37"/>
      <c r="BO195" s="21"/>
      <c r="BP195" s="27"/>
      <c r="BQ195" s="27">
        <f>$R195*AA195</f>
        <v>0</v>
      </c>
      <c r="BR195" s="27">
        <f>$R195*AB195</f>
        <v>19800</v>
      </c>
      <c r="BS195" s="27">
        <f>$R195*AC195</f>
        <v>33000</v>
      </c>
      <c r="BT195" s="28">
        <f>$R195*AD195</f>
        <v>33000</v>
      </c>
      <c r="BU195" s="28">
        <f t="shared" ref="BU195:BU258" si="73">$R195*AE195</f>
        <v>19800</v>
      </c>
      <c r="BV195" s="28">
        <f t="shared" ref="BV195:BV258" si="74">$R195*AF195</f>
        <v>33000</v>
      </c>
      <c r="BW195" s="28">
        <f t="shared" ref="BW195:BW258" si="75">$R195*AG195</f>
        <v>33000</v>
      </c>
    </row>
    <row r="196" spans="1:75" ht="17.399999999999999" x14ac:dyDescent="0.25">
      <c r="A196" s="69">
        <f t="shared" si="68"/>
        <v>195</v>
      </c>
      <c r="B196" s="73" t="s">
        <v>1947</v>
      </c>
      <c r="C196" s="71" t="s">
        <v>149</v>
      </c>
      <c r="D196" s="71" t="s">
        <v>1947</v>
      </c>
      <c r="E196" s="71" t="s">
        <v>1948</v>
      </c>
      <c r="F196" s="71" t="s">
        <v>1948</v>
      </c>
      <c r="G196" s="71" t="s">
        <v>353</v>
      </c>
      <c r="H196" s="71" t="s">
        <v>1957</v>
      </c>
      <c r="I196" s="71" t="str">
        <f>VLOOKUP(H196,[1]Sheet1!$C:$C,1,0)</f>
        <v>SC4001SE-CB-90LR-4001</v>
      </c>
      <c r="J196" s="71"/>
      <c r="K196" s="71"/>
      <c r="L196" s="73"/>
      <c r="M196" s="80"/>
      <c r="N196" s="72"/>
      <c r="O196" s="73"/>
      <c r="P196" s="71"/>
      <c r="Q196" s="71"/>
      <c r="R196" s="100">
        <v>0.14000000000000001</v>
      </c>
      <c r="S196" s="75"/>
      <c r="T196" s="91"/>
      <c r="U196" s="76">
        <f t="shared" si="72"/>
        <v>680000</v>
      </c>
      <c r="V196" s="80"/>
      <c r="W196" s="80"/>
      <c r="X196" s="80"/>
      <c r="Y196" s="72"/>
      <c r="Z196" s="72"/>
      <c r="AA196" s="72"/>
      <c r="AB196" s="72"/>
      <c r="AC196" s="72"/>
      <c r="AD196" s="77"/>
      <c r="AE196" s="75">
        <v>0</v>
      </c>
      <c r="AF196" s="75">
        <v>680000</v>
      </c>
      <c r="AG196" s="75">
        <v>0</v>
      </c>
      <c r="AH196" s="75">
        <v>0</v>
      </c>
      <c r="AI196" s="75">
        <v>0</v>
      </c>
      <c r="AJ196" s="75">
        <v>0</v>
      </c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19"/>
      <c r="AX196" s="19"/>
      <c r="AY196" s="19" t="s">
        <v>261</v>
      </c>
      <c r="AZ196" s="19"/>
      <c r="BA196" s="19"/>
      <c r="BB196" s="19"/>
      <c r="BC196" s="19"/>
      <c r="BD196" s="19"/>
      <c r="BE196" s="19"/>
      <c r="BF196" s="19"/>
      <c r="BG196" s="24"/>
      <c r="BH196" s="19"/>
      <c r="BI196" s="25"/>
      <c r="BJ196" s="25"/>
      <c r="BK196" s="25"/>
      <c r="BL196" s="25"/>
      <c r="BM196" s="25"/>
      <c r="BN196" s="37"/>
      <c r="BO196" s="21"/>
      <c r="BP196" s="27"/>
      <c r="BQ196" s="27"/>
      <c r="BR196" s="27"/>
      <c r="BS196" s="27"/>
      <c r="BT196" s="28"/>
      <c r="BU196" s="28">
        <f t="shared" si="73"/>
        <v>0</v>
      </c>
      <c r="BV196" s="28">
        <f t="shared" si="74"/>
        <v>95200.000000000015</v>
      </c>
      <c r="BW196" s="28">
        <f t="shared" si="75"/>
        <v>0</v>
      </c>
    </row>
    <row r="197" spans="1:75" ht="17.399999999999999" x14ac:dyDescent="0.25">
      <c r="A197" s="69">
        <f t="shared" si="68"/>
        <v>196</v>
      </c>
      <c r="B197" s="73" t="s">
        <v>1947</v>
      </c>
      <c r="C197" s="71" t="s">
        <v>149</v>
      </c>
      <c r="D197" s="71" t="s">
        <v>1947</v>
      </c>
      <c r="E197" s="71" t="s">
        <v>1948</v>
      </c>
      <c r="F197" s="71" t="s">
        <v>1948</v>
      </c>
      <c r="G197" s="71" t="s">
        <v>1949</v>
      </c>
      <c r="H197" s="71" t="s">
        <v>1950</v>
      </c>
      <c r="I197" s="71" t="str">
        <f>VLOOKUP(H197,[1]Sheet1!$C:$C,1,0)</f>
        <v>SC4015SO-L-CE-90NR-CY19</v>
      </c>
      <c r="J197" s="71"/>
      <c r="K197" s="71"/>
      <c r="L197" s="73"/>
      <c r="M197" s="80"/>
      <c r="N197" s="72"/>
      <c r="O197" s="73"/>
      <c r="P197" s="71"/>
      <c r="Q197" s="71"/>
      <c r="R197" s="100">
        <v>0.04</v>
      </c>
      <c r="S197" s="75"/>
      <c r="T197" s="91"/>
      <c r="U197" s="76">
        <f t="shared" si="72"/>
        <v>12000000</v>
      </c>
      <c r="V197" s="80"/>
      <c r="W197" s="80"/>
      <c r="X197" s="80"/>
      <c r="Y197" s="72"/>
      <c r="Z197" s="72"/>
      <c r="AA197" s="72"/>
      <c r="AB197" s="72"/>
      <c r="AC197" s="72"/>
      <c r="AD197" s="77"/>
      <c r="AE197" s="75">
        <v>4000000</v>
      </c>
      <c r="AF197" s="75">
        <v>4000000</v>
      </c>
      <c r="AG197" s="75">
        <v>4000000</v>
      </c>
      <c r="AH197" s="75">
        <v>4000000</v>
      </c>
      <c r="AI197" s="75">
        <v>4000000</v>
      </c>
      <c r="AJ197" s="75">
        <v>4000000</v>
      </c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19"/>
      <c r="AX197" s="19"/>
      <c r="AY197" s="19" t="s">
        <v>261</v>
      </c>
      <c r="AZ197" s="19"/>
      <c r="BA197" s="19"/>
      <c r="BB197" s="19"/>
      <c r="BC197" s="19"/>
      <c r="BD197" s="19"/>
      <c r="BE197" s="19"/>
      <c r="BF197" s="19"/>
      <c r="BG197" s="24"/>
      <c r="BH197" s="19"/>
      <c r="BI197" s="25"/>
      <c r="BJ197" s="25"/>
      <c r="BK197" s="25"/>
      <c r="BL197" s="25"/>
      <c r="BM197" s="25"/>
      <c r="BN197" s="37"/>
      <c r="BO197" s="21"/>
      <c r="BP197" s="27"/>
      <c r="BQ197" s="27"/>
      <c r="BR197" s="27"/>
      <c r="BS197" s="27"/>
      <c r="BT197" s="28"/>
      <c r="BU197" s="28">
        <f t="shared" si="73"/>
        <v>160000</v>
      </c>
      <c r="BV197" s="28">
        <f t="shared" si="74"/>
        <v>160000</v>
      </c>
      <c r="BW197" s="28">
        <f t="shared" si="75"/>
        <v>160000</v>
      </c>
    </row>
    <row r="198" spans="1:75" ht="17.399999999999999" x14ac:dyDescent="0.25">
      <c r="A198" s="69">
        <f t="shared" si="68"/>
        <v>197</v>
      </c>
      <c r="B198" s="73" t="s">
        <v>459</v>
      </c>
      <c r="C198" s="73" t="s">
        <v>106</v>
      </c>
      <c r="D198" s="73" t="s">
        <v>460</v>
      </c>
      <c r="E198" s="73" t="s">
        <v>461</v>
      </c>
      <c r="F198" s="73" t="s">
        <v>462</v>
      </c>
      <c r="G198" s="78" t="s">
        <v>263</v>
      </c>
      <c r="H198" s="71" t="s">
        <v>264</v>
      </c>
      <c r="I198" s="71" t="str">
        <f>VLOOKUP(H198,[1]Sheet1!$C:$C,1,0)</f>
        <v>SC2442SO-Q-DB-60CR-2442</v>
      </c>
      <c r="J198" s="78"/>
      <c r="K198" s="78"/>
      <c r="L198" s="72" t="s">
        <v>463</v>
      </c>
      <c r="M198" s="72">
        <v>500000</v>
      </c>
      <c r="N198" s="78" t="s">
        <v>367</v>
      </c>
      <c r="O198" s="72" t="s">
        <v>464</v>
      </c>
      <c r="P198" s="72" t="s">
        <v>465</v>
      </c>
      <c r="Q198" s="72"/>
      <c r="R198" s="100">
        <v>0.37</v>
      </c>
      <c r="S198" s="75">
        <f t="shared" ref="S198:S203" si="76">R198*U198</f>
        <v>0</v>
      </c>
      <c r="T198" s="76"/>
      <c r="U198" s="76">
        <f t="shared" si="72"/>
        <v>0</v>
      </c>
      <c r="V198" s="72">
        <v>0</v>
      </c>
      <c r="W198" s="72">
        <v>0</v>
      </c>
      <c r="X198" s="72">
        <v>0</v>
      </c>
      <c r="Y198" s="72">
        <v>0</v>
      </c>
      <c r="Z198" s="72">
        <v>1</v>
      </c>
      <c r="AA198" s="72">
        <v>3000</v>
      </c>
      <c r="AB198" s="72">
        <v>18000</v>
      </c>
      <c r="AC198" s="72"/>
      <c r="AD198" s="77"/>
      <c r="AE198" s="75"/>
      <c r="AF198" s="75"/>
      <c r="AG198" s="75"/>
      <c r="AH198" s="75">
        <v>0</v>
      </c>
      <c r="AI198" s="75"/>
      <c r="AJ198" s="75">
        <v>0</v>
      </c>
      <c r="AK198" s="22">
        <v>0</v>
      </c>
      <c r="AL198" s="22">
        <v>0</v>
      </c>
      <c r="AM198" s="22">
        <v>0</v>
      </c>
      <c r="AN198" s="22">
        <v>0</v>
      </c>
      <c r="AO198" s="22"/>
      <c r="AP198" s="22"/>
      <c r="AQ198" s="22"/>
      <c r="AR198" s="22"/>
      <c r="AS198" s="22"/>
      <c r="AT198" s="22"/>
      <c r="AU198" s="22"/>
      <c r="AV198" s="22"/>
      <c r="AW198" s="22"/>
      <c r="AX198" s="19" t="s">
        <v>85</v>
      </c>
      <c r="AY198" s="19" t="s">
        <v>261</v>
      </c>
      <c r="AZ198" s="22" t="s">
        <v>62</v>
      </c>
      <c r="BA198" s="22" t="s">
        <v>466</v>
      </c>
      <c r="BB198" s="22" t="s">
        <v>467</v>
      </c>
      <c r="BC198" s="22" t="s">
        <v>468</v>
      </c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7">
        <f t="shared" ref="BP198:BT202" si="77">$R198*Z198</f>
        <v>0.37</v>
      </c>
      <c r="BQ198" s="27">
        <f t="shared" si="77"/>
        <v>1110</v>
      </c>
      <c r="BR198" s="27">
        <f t="shared" si="77"/>
        <v>6660</v>
      </c>
      <c r="BS198" s="27">
        <f t="shared" si="77"/>
        <v>0</v>
      </c>
      <c r="BT198" s="28">
        <f t="shared" si="77"/>
        <v>0</v>
      </c>
      <c r="BU198" s="28">
        <f t="shared" si="73"/>
        <v>0</v>
      </c>
      <c r="BV198" s="28">
        <f t="shared" si="74"/>
        <v>0</v>
      </c>
      <c r="BW198" s="28">
        <f t="shared" si="75"/>
        <v>0</v>
      </c>
    </row>
    <row r="199" spans="1:75" ht="17.399999999999999" x14ac:dyDescent="0.25">
      <c r="A199" s="69">
        <f t="shared" si="68"/>
        <v>198</v>
      </c>
      <c r="B199" s="73" t="s">
        <v>459</v>
      </c>
      <c r="C199" s="73" t="s">
        <v>106</v>
      </c>
      <c r="D199" s="73" t="s">
        <v>460</v>
      </c>
      <c r="E199" s="73" t="s">
        <v>461</v>
      </c>
      <c r="F199" s="73" t="s">
        <v>462</v>
      </c>
      <c r="G199" s="78" t="s">
        <v>257</v>
      </c>
      <c r="H199" s="71" t="s">
        <v>1986</v>
      </c>
      <c r="I199" s="71" t="str">
        <f>VLOOKUP(H199,[1]Sheet1!$C:$C,1,0)</f>
        <v>SC2498TSO-Q-DB-60CR-2498T</v>
      </c>
      <c r="J199" s="78"/>
      <c r="K199" s="78"/>
      <c r="L199" s="72" t="s">
        <v>469</v>
      </c>
      <c r="M199" s="72">
        <v>100000</v>
      </c>
      <c r="N199" s="78" t="s">
        <v>251</v>
      </c>
      <c r="O199" s="72" t="s">
        <v>470</v>
      </c>
      <c r="P199" s="72" t="s">
        <v>471</v>
      </c>
      <c r="Q199" s="72"/>
      <c r="R199" s="100">
        <v>0.64100000000000001</v>
      </c>
      <c r="S199" s="75">
        <f t="shared" si="76"/>
        <v>226273</v>
      </c>
      <c r="T199" s="76"/>
      <c r="U199" s="76">
        <f t="shared" si="72"/>
        <v>353000</v>
      </c>
      <c r="V199" s="72">
        <v>0</v>
      </c>
      <c r="W199" s="72">
        <v>0</v>
      </c>
      <c r="X199" s="72">
        <v>0</v>
      </c>
      <c r="Y199" s="72">
        <v>0</v>
      </c>
      <c r="Z199" s="72">
        <v>0</v>
      </c>
      <c r="AA199" s="72">
        <v>40000</v>
      </c>
      <c r="AB199" s="72">
        <v>60000</v>
      </c>
      <c r="AC199" s="72">
        <v>70000</v>
      </c>
      <c r="AD199" s="77">
        <v>66000</v>
      </c>
      <c r="AE199" s="75">
        <v>153000</v>
      </c>
      <c r="AF199" s="75">
        <v>100000</v>
      </c>
      <c r="AG199" s="75">
        <v>100000</v>
      </c>
      <c r="AH199" s="75">
        <v>100000</v>
      </c>
      <c r="AI199" s="75">
        <v>100000</v>
      </c>
      <c r="AJ199" s="75">
        <v>100000</v>
      </c>
      <c r="AK199" s="12">
        <v>0</v>
      </c>
      <c r="AL199" s="12">
        <v>0</v>
      </c>
      <c r="AM199" s="12">
        <v>0</v>
      </c>
      <c r="AN199" s="12">
        <v>0</v>
      </c>
      <c r="AO199" s="12"/>
      <c r="AP199" s="12"/>
      <c r="AQ199" s="12"/>
      <c r="AR199" s="12"/>
      <c r="AS199" s="12"/>
      <c r="AT199" s="12"/>
      <c r="AU199" s="12"/>
      <c r="AV199" s="12"/>
      <c r="AW199" s="12"/>
      <c r="AX199" s="10" t="s">
        <v>85</v>
      </c>
      <c r="AY199" s="19" t="s">
        <v>261</v>
      </c>
      <c r="AZ199" s="12" t="s">
        <v>62</v>
      </c>
      <c r="BA199" s="12" t="s">
        <v>96</v>
      </c>
      <c r="BB199" s="12" t="s">
        <v>141</v>
      </c>
      <c r="BC199" s="12" t="s">
        <v>140</v>
      </c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6">
        <f t="shared" si="77"/>
        <v>0</v>
      </c>
      <c r="BQ199" s="16">
        <f t="shared" si="77"/>
        <v>25640</v>
      </c>
      <c r="BR199" s="16">
        <f t="shared" si="77"/>
        <v>38460</v>
      </c>
      <c r="BS199" s="16">
        <f t="shared" si="77"/>
        <v>44870</v>
      </c>
      <c r="BT199" s="17">
        <f t="shared" si="77"/>
        <v>42306</v>
      </c>
      <c r="BU199" s="28">
        <f t="shared" si="73"/>
        <v>98073</v>
      </c>
      <c r="BV199" s="28">
        <f t="shared" si="74"/>
        <v>64100</v>
      </c>
      <c r="BW199" s="28">
        <f t="shared" si="75"/>
        <v>64100</v>
      </c>
    </row>
    <row r="200" spans="1:75" ht="17.399999999999999" x14ac:dyDescent="0.25">
      <c r="A200" s="69">
        <f t="shared" si="68"/>
        <v>199</v>
      </c>
      <c r="B200" s="73" t="s">
        <v>472</v>
      </c>
      <c r="C200" s="73" t="s">
        <v>106</v>
      </c>
      <c r="D200" s="73" t="s">
        <v>460</v>
      </c>
      <c r="E200" s="73" t="s">
        <v>461</v>
      </c>
      <c r="F200" s="73" t="s">
        <v>462</v>
      </c>
      <c r="G200" s="78" t="s">
        <v>473</v>
      </c>
      <c r="H200" s="71" t="s">
        <v>474</v>
      </c>
      <c r="I200" s="71" t="str">
        <f>VLOOKUP(H200,[1]Sheet1!$C:$C,1,0)</f>
        <v>SC9641TS-P-AI-10AR-41CPA</v>
      </c>
      <c r="J200" s="78"/>
      <c r="K200" s="78"/>
      <c r="L200" s="72" t="s">
        <v>379</v>
      </c>
      <c r="M200" s="72" t="s">
        <v>475</v>
      </c>
      <c r="N200" s="78" t="s">
        <v>361</v>
      </c>
      <c r="O200" s="72" t="s">
        <v>476</v>
      </c>
      <c r="P200" s="72"/>
      <c r="Q200" s="72"/>
      <c r="R200" s="100">
        <v>1.55</v>
      </c>
      <c r="S200" s="75">
        <f t="shared" si="76"/>
        <v>0</v>
      </c>
      <c r="T200" s="76"/>
      <c r="U200" s="76">
        <f t="shared" si="72"/>
        <v>0</v>
      </c>
      <c r="V200" s="72">
        <v>70000</v>
      </c>
      <c r="W200" s="72">
        <v>70000</v>
      </c>
      <c r="X200" s="72">
        <v>70000</v>
      </c>
      <c r="Y200" s="72">
        <v>70000</v>
      </c>
      <c r="Z200" s="72">
        <v>70000</v>
      </c>
      <c r="AA200" s="72">
        <v>70000</v>
      </c>
      <c r="AB200" s="72">
        <v>70000</v>
      </c>
      <c r="AC200" s="72">
        <v>100000</v>
      </c>
      <c r="AD200" s="77">
        <v>0</v>
      </c>
      <c r="AE200" s="75">
        <v>0</v>
      </c>
      <c r="AF200" s="75">
        <v>0</v>
      </c>
      <c r="AG200" s="75">
        <v>0</v>
      </c>
      <c r="AH200" s="75">
        <v>100000</v>
      </c>
      <c r="AI200" s="75">
        <v>100000</v>
      </c>
      <c r="AJ200" s="75">
        <v>100000</v>
      </c>
      <c r="AK200" s="22">
        <v>0</v>
      </c>
      <c r="AL200" s="22">
        <v>0</v>
      </c>
      <c r="AM200" s="22">
        <v>0</v>
      </c>
      <c r="AN200" s="22">
        <v>0</v>
      </c>
      <c r="AO200" s="22"/>
      <c r="AP200" s="22"/>
      <c r="AQ200" s="22"/>
      <c r="AR200" s="22"/>
      <c r="AS200" s="22"/>
      <c r="AT200" s="22"/>
      <c r="AU200" s="22"/>
      <c r="AV200" s="22"/>
      <c r="AW200" s="22"/>
      <c r="AX200" s="19" t="s">
        <v>85</v>
      </c>
      <c r="AY200" s="19" t="s">
        <v>386</v>
      </c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7">
        <f t="shared" si="77"/>
        <v>108500</v>
      </c>
      <c r="BQ200" s="27">
        <f t="shared" si="77"/>
        <v>108500</v>
      </c>
      <c r="BR200" s="27">
        <f t="shared" si="77"/>
        <v>108500</v>
      </c>
      <c r="BS200" s="27">
        <f t="shared" si="77"/>
        <v>155000</v>
      </c>
      <c r="BT200" s="28">
        <f t="shared" si="77"/>
        <v>0</v>
      </c>
      <c r="BU200" s="28">
        <f t="shared" si="73"/>
        <v>0</v>
      </c>
      <c r="BV200" s="28">
        <f t="shared" si="74"/>
        <v>0</v>
      </c>
      <c r="BW200" s="28">
        <f t="shared" si="75"/>
        <v>0</v>
      </c>
    </row>
    <row r="201" spans="1:75" ht="17.399999999999999" x14ac:dyDescent="0.25">
      <c r="A201" s="69">
        <f t="shared" si="68"/>
        <v>200</v>
      </c>
      <c r="B201" s="73" t="s">
        <v>472</v>
      </c>
      <c r="C201" s="73" t="s">
        <v>106</v>
      </c>
      <c r="D201" s="73" t="s">
        <v>460</v>
      </c>
      <c r="E201" s="73" t="s">
        <v>461</v>
      </c>
      <c r="F201" s="73" t="s">
        <v>462</v>
      </c>
      <c r="G201" s="78" t="s">
        <v>477</v>
      </c>
      <c r="H201" s="71" t="s">
        <v>478</v>
      </c>
      <c r="I201" s="71" t="str">
        <f>VLOOKUP(H201,[1]Sheet1!$C:$C,1,0)</f>
        <v>SC9642TS-E-Q-AH-4XLR-9642</v>
      </c>
      <c r="J201" s="78"/>
      <c r="K201" s="78"/>
      <c r="L201" s="72" t="s">
        <v>379</v>
      </c>
      <c r="M201" s="72" t="s">
        <v>479</v>
      </c>
      <c r="N201" s="78" t="s">
        <v>361</v>
      </c>
      <c r="O201" s="72" t="s">
        <v>480</v>
      </c>
      <c r="P201" s="72"/>
      <c r="Q201" s="72"/>
      <c r="R201" s="100">
        <v>2.25</v>
      </c>
      <c r="S201" s="75">
        <f t="shared" si="76"/>
        <v>6750</v>
      </c>
      <c r="T201" s="76"/>
      <c r="U201" s="76">
        <f t="shared" si="72"/>
        <v>3000</v>
      </c>
      <c r="V201" s="72">
        <v>3000</v>
      </c>
      <c r="W201" s="72">
        <v>3000</v>
      </c>
      <c r="X201" s="72">
        <v>3000</v>
      </c>
      <c r="Y201" s="72">
        <v>3000</v>
      </c>
      <c r="Z201" s="72">
        <v>3000</v>
      </c>
      <c r="AA201" s="72">
        <v>3000</v>
      </c>
      <c r="AB201" s="72">
        <v>3000</v>
      </c>
      <c r="AC201" s="72">
        <v>3000</v>
      </c>
      <c r="AD201" s="77">
        <v>0</v>
      </c>
      <c r="AE201" s="75">
        <v>0</v>
      </c>
      <c r="AF201" s="75">
        <v>0</v>
      </c>
      <c r="AG201" s="75">
        <v>3000</v>
      </c>
      <c r="AH201" s="75">
        <v>3000</v>
      </c>
      <c r="AI201" s="75">
        <v>3000</v>
      </c>
      <c r="AJ201" s="75">
        <v>3000</v>
      </c>
      <c r="AK201" s="12">
        <v>0</v>
      </c>
      <c r="AL201" s="12">
        <v>0</v>
      </c>
      <c r="AM201" s="12">
        <v>0</v>
      </c>
      <c r="AN201" s="12">
        <v>15000</v>
      </c>
      <c r="AO201" s="12"/>
      <c r="AP201" s="12"/>
      <c r="AQ201" s="12"/>
      <c r="AR201" s="12"/>
      <c r="AS201" s="12"/>
      <c r="AT201" s="12"/>
      <c r="AU201" s="12"/>
      <c r="AV201" s="12"/>
      <c r="AW201" s="12"/>
      <c r="AX201" s="10" t="s">
        <v>85</v>
      </c>
      <c r="AY201" s="19" t="s">
        <v>386</v>
      </c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6">
        <f t="shared" si="77"/>
        <v>6750</v>
      </c>
      <c r="BQ201" s="16">
        <f t="shared" si="77"/>
        <v>6750</v>
      </c>
      <c r="BR201" s="16">
        <f t="shared" si="77"/>
        <v>6750</v>
      </c>
      <c r="BS201" s="16">
        <f t="shared" si="77"/>
        <v>6750</v>
      </c>
      <c r="BT201" s="17">
        <f t="shared" si="77"/>
        <v>0</v>
      </c>
      <c r="BU201" s="28">
        <f t="shared" si="73"/>
        <v>0</v>
      </c>
      <c r="BV201" s="28">
        <f t="shared" si="74"/>
        <v>0</v>
      </c>
      <c r="BW201" s="28">
        <f t="shared" si="75"/>
        <v>6750</v>
      </c>
    </row>
    <row r="202" spans="1:75" ht="17.399999999999999" x14ac:dyDescent="0.25">
      <c r="A202" s="69">
        <f t="shared" si="68"/>
        <v>201</v>
      </c>
      <c r="B202" s="73" t="s">
        <v>472</v>
      </c>
      <c r="C202" s="73" t="s">
        <v>106</v>
      </c>
      <c r="D202" s="73" t="s">
        <v>460</v>
      </c>
      <c r="E202" s="73" t="s">
        <v>461</v>
      </c>
      <c r="F202" s="73" t="s">
        <v>462</v>
      </c>
      <c r="G202" s="78" t="s">
        <v>377</v>
      </c>
      <c r="H202" s="71" t="s">
        <v>378</v>
      </c>
      <c r="I202" s="71" t="str">
        <f>VLOOKUP(H202,[1]Sheet1!$C:$C,1,0)</f>
        <v>SC9621VB-CF-00CK-9621</v>
      </c>
      <c r="J202" s="78"/>
      <c r="K202" s="78"/>
      <c r="L202" s="72" t="s">
        <v>379</v>
      </c>
      <c r="M202" s="72" t="s">
        <v>481</v>
      </c>
      <c r="N202" s="78" t="s">
        <v>361</v>
      </c>
      <c r="O202" s="72" t="s">
        <v>482</v>
      </c>
      <c r="P202" s="72"/>
      <c r="Q202" s="72"/>
      <c r="R202" s="100">
        <v>2.1</v>
      </c>
      <c r="S202" s="75">
        <f t="shared" si="76"/>
        <v>0</v>
      </c>
      <c r="T202" s="76"/>
      <c r="U202" s="76">
        <f t="shared" si="72"/>
        <v>0</v>
      </c>
      <c r="V202" s="72">
        <v>1000</v>
      </c>
      <c r="W202" s="72">
        <v>1000</v>
      </c>
      <c r="X202" s="72">
        <v>1000</v>
      </c>
      <c r="Y202" s="72">
        <v>1000</v>
      </c>
      <c r="Z202" s="72">
        <v>1000</v>
      </c>
      <c r="AA202" s="72">
        <v>1000</v>
      </c>
      <c r="AB202" s="72">
        <v>1000</v>
      </c>
      <c r="AC202" s="72">
        <v>1000</v>
      </c>
      <c r="AD202" s="77"/>
      <c r="AE202" s="75"/>
      <c r="AF202" s="75"/>
      <c r="AG202" s="75"/>
      <c r="AH202" s="75">
        <v>1000</v>
      </c>
      <c r="AI202" s="75">
        <v>1000</v>
      </c>
      <c r="AJ202" s="75">
        <v>1000</v>
      </c>
      <c r="AK202" s="22">
        <v>0</v>
      </c>
      <c r="AL202" s="22">
        <v>0</v>
      </c>
      <c r="AM202" s="22">
        <v>0</v>
      </c>
      <c r="AN202" s="22">
        <v>0</v>
      </c>
      <c r="AO202" s="22"/>
      <c r="AP202" s="22"/>
      <c r="AQ202" s="22"/>
      <c r="AR202" s="22"/>
      <c r="AS202" s="22"/>
      <c r="AT202" s="22"/>
      <c r="AU202" s="22"/>
      <c r="AV202" s="22"/>
      <c r="AW202" s="22"/>
      <c r="AX202" s="19" t="s">
        <v>85</v>
      </c>
      <c r="AY202" s="19" t="s">
        <v>386</v>
      </c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7">
        <f t="shared" si="77"/>
        <v>2100</v>
      </c>
      <c r="BQ202" s="27">
        <f t="shared" si="77"/>
        <v>2100</v>
      </c>
      <c r="BR202" s="27">
        <f t="shared" si="77"/>
        <v>2100</v>
      </c>
      <c r="BS202" s="27">
        <f t="shared" si="77"/>
        <v>2100</v>
      </c>
      <c r="BT202" s="28">
        <f t="shared" si="77"/>
        <v>0</v>
      </c>
      <c r="BU202" s="28">
        <f t="shared" si="73"/>
        <v>0</v>
      </c>
      <c r="BV202" s="28">
        <f t="shared" si="74"/>
        <v>0</v>
      </c>
      <c r="BW202" s="28">
        <f t="shared" si="75"/>
        <v>0</v>
      </c>
    </row>
    <row r="203" spans="1:75" ht="17.399999999999999" x14ac:dyDescent="0.25">
      <c r="A203" s="69">
        <f t="shared" si="68"/>
        <v>202</v>
      </c>
      <c r="B203" s="73" t="s">
        <v>472</v>
      </c>
      <c r="C203" s="73" t="s">
        <v>106</v>
      </c>
      <c r="D203" s="73" t="s">
        <v>460</v>
      </c>
      <c r="E203" s="73" t="s">
        <v>461</v>
      </c>
      <c r="F203" s="73" t="s">
        <v>462</v>
      </c>
      <c r="G203" s="78" t="s">
        <v>384</v>
      </c>
      <c r="H203" s="71" t="s">
        <v>483</v>
      </c>
      <c r="I203" s="71" t="str">
        <f>VLOOKUP(H203,[1]Sheet1!$C:$C,1,0)</f>
        <v>SC9314UA-CF-0XAK-94M</v>
      </c>
      <c r="J203" s="78"/>
      <c r="K203" s="78"/>
      <c r="L203" s="72"/>
      <c r="M203" s="72"/>
      <c r="N203" s="78"/>
      <c r="O203" s="72"/>
      <c r="P203" s="72"/>
      <c r="Q203" s="72"/>
      <c r="R203" s="100">
        <v>1.95</v>
      </c>
      <c r="S203" s="75">
        <f t="shared" si="76"/>
        <v>0</v>
      </c>
      <c r="T203" s="76"/>
      <c r="U203" s="76">
        <f t="shared" si="72"/>
        <v>0</v>
      </c>
      <c r="V203" s="72"/>
      <c r="W203" s="72"/>
      <c r="X203" s="72"/>
      <c r="Y203" s="72"/>
      <c r="Z203" s="72"/>
      <c r="AA203" s="72">
        <v>1000</v>
      </c>
      <c r="AB203" s="72">
        <v>1000</v>
      </c>
      <c r="AC203" s="72">
        <v>1000</v>
      </c>
      <c r="AD203" s="77"/>
      <c r="AE203" s="75">
        <v>0</v>
      </c>
      <c r="AF203" s="75">
        <v>0</v>
      </c>
      <c r="AG203" s="75">
        <v>0</v>
      </c>
      <c r="AH203" s="75">
        <v>1000</v>
      </c>
      <c r="AI203" s="75">
        <v>1000</v>
      </c>
      <c r="AJ203" s="75">
        <v>1000</v>
      </c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0" t="s">
        <v>85</v>
      </c>
      <c r="AY203" s="19" t="s">
        <v>386</v>
      </c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6"/>
      <c r="BQ203" s="16">
        <f>$R203*AA203</f>
        <v>1950</v>
      </c>
      <c r="BR203" s="16">
        <f>$R203*AB203</f>
        <v>1950</v>
      </c>
      <c r="BS203" s="16">
        <f>$R203*AC203</f>
        <v>1950</v>
      </c>
      <c r="BT203" s="17">
        <f>$R203*AD203</f>
        <v>0</v>
      </c>
      <c r="BU203" s="28">
        <f t="shared" si="73"/>
        <v>0</v>
      </c>
      <c r="BV203" s="28">
        <f t="shared" si="74"/>
        <v>0</v>
      </c>
      <c r="BW203" s="28">
        <f t="shared" si="75"/>
        <v>0</v>
      </c>
    </row>
    <row r="204" spans="1:75" ht="17.399999999999999" x14ac:dyDescent="0.25">
      <c r="A204" s="69">
        <f t="shared" si="68"/>
        <v>203</v>
      </c>
      <c r="B204" s="73" t="s">
        <v>1947</v>
      </c>
      <c r="C204" s="71" t="s">
        <v>149</v>
      </c>
      <c r="D204" s="71" t="s">
        <v>1947</v>
      </c>
      <c r="E204" s="71" t="s">
        <v>1948</v>
      </c>
      <c r="F204" s="71" t="s">
        <v>1948</v>
      </c>
      <c r="G204" s="71" t="s">
        <v>1949</v>
      </c>
      <c r="H204" s="71" t="s">
        <v>1951</v>
      </c>
      <c r="I204" s="71" t="str">
        <f>VLOOKUP(H204,[1]Sheet1!$C:$C,1,0)</f>
        <v>SC4015SO-H-CE-90NR-CY19</v>
      </c>
      <c r="J204" s="71"/>
      <c r="K204" s="71"/>
      <c r="L204" s="73"/>
      <c r="M204" s="80"/>
      <c r="N204" s="72"/>
      <c r="O204" s="73"/>
      <c r="P204" s="71"/>
      <c r="Q204" s="71"/>
      <c r="R204" s="100">
        <v>0.04</v>
      </c>
      <c r="S204" s="75"/>
      <c r="T204" s="91"/>
      <c r="U204" s="76">
        <f t="shared" si="72"/>
        <v>8000000</v>
      </c>
      <c r="V204" s="80"/>
      <c r="W204" s="80"/>
      <c r="X204" s="80"/>
      <c r="Y204" s="72"/>
      <c r="Z204" s="72"/>
      <c r="AA204" s="72"/>
      <c r="AB204" s="72"/>
      <c r="AC204" s="72"/>
      <c r="AD204" s="77"/>
      <c r="AE204" s="75">
        <v>0</v>
      </c>
      <c r="AF204" s="75">
        <v>4000000</v>
      </c>
      <c r="AG204" s="75">
        <v>4000000</v>
      </c>
      <c r="AH204" s="75">
        <v>0</v>
      </c>
      <c r="AI204" s="75">
        <v>0</v>
      </c>
      <c r="AJ204" s="75">
        <v>0</v>
      </c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19"/>
      <c r="AX204" s="19"/>
      <c r="AY204" s="19" t="s">
        <v>261</v>
      </c>
      <c r="AZ204" s="19"/>
      <c r="BA204" s="19"/>
      <c r="BB204" s="19"/>
      <c r="BC204" s="19"/>
      <c r="BD204" s="19"/>
      <c r="BE204" s="19"/>
      <c r="BF204" s="19"/>
      <c r="BG204" s="24"/>
      <c r="BH204" s="19"/>
      <c r="BI204" s="25"/>
      <c r="BJ204" s="25"/>
      <c r="BK204" s="25"/>
      <c r="BL204" s="25"/>
      <c r="BM204" s="25"/>
      <c r="BN204" s="37"/>
      <c r="BO204" s="21"/>
      <c r="BP204" s="27"/>
      <c r="BQ204" s="27"/>
      <c r="BR204" s="27"/>
      <c r="BS204" s="27"/>
      <c r="BT204" s="28"/>
      <c r="BU204" s="28">
        <f t="shared" si="73"/>
        <v>0</v>
      </c>
      <c r="BV204" s="28">
        <f t="shared" si="74"/>
        <v>160000</v>
      </c>
      <c r="BW204" s="28">
        <f t="shared" si="75"/>
        <v>160000</v>
      </c>
    </row>
    <row r="205" spans="1:75" ht="17.399999999999999" x14ac:dyDescent="0.25">
      <c r="A205" s="69">
        <f t="shared" si="68"/>
        <v>204</v>
      </c>
      <c r="B205" s="73" t="s">
        <v>486</v>
      </c>
      <c r="C205" s="73" t="s">
        <v>106</v>
      </c>
      <c r="D205" s="73" t="s">
        <v>487</v>
      </c>
      <c r="E205" s="73" t="s">
        <v>461</v>
      </c>
      <c r="F205" s="73" t="s">
        <v>488</v>
      </c>
      <c r="G205" s="78" t="s">
        <v>477</v>
      </c>
      <c r="H205" s="71" t="s">
        <v>489</v>
      </c>
      <c r="I205" s="71" t="str">
        <f>VLOOKUP(H205,[1]Sheet1!$C:$C,1,0)</f>
        <v>SC9642TS-E362-Q-AH-4XLR-9642</v>
      </c>
      <c r="J205" s="78"/>
      <c r="K205" s="78"/>
      <c r="L205" s="72" t="s">
        <v>448</v>
      </c>
      <c r="M205" s="72">
        <v>5000000</v>
      </c>
      <c r="N205" s="78" t="s">
        <v>361</v>
      </c>
      <c r="O205" s="72" t="s">
        <v>490</v>
      </c>
      <c r="P205" s="72"/>
      <c r="Q205" s="72"/>
      <c r="R205" s="100">
        <v>2.0699999999999998</v>
      </c>
      <c r="S205" s="75">
        <f t="shared" ref="S205:S243" si="78">R205*U205</f>
        <v>931499.99999999988</v>
      </c>
      <c r="T205" s="76"/>
      <c r="U205" s="76">
        <f t="shared" si="72"/>
        <v>450000</v>
      </c>
      <c r="V205" s="72">
        <v>80000</v>
      </c>
      <c r="W205" s="72">
        <v>80000</v>
      </c>
      <c r="X205" s="72">
        <v>80000</v>
      </c>
      <c r="Y205" s="72">
        <v>80000</v>
      </c>
      <c r="Z205" s="72">
        <v>80000</v>
      </c>
      <c r="AA205" s="72">
        <v>80000</v>
      </c>
      <c r="AB205" s="72">
        <v>80000</v>
      </c>
      <c r="AC205" s="72">
        <v>90000</v>
      </c>
      <c r="AD205" s="77">
        <v>120000</v>
      </c>
      <c r="AE205" s="75">
        <v>150000</v>
      </c>
      <c r="AF205" s="75">
        <v>150000</v>
      </c>
      <c r="AG205" s="75">
        <v>150000</v>
      </c>
      <c r="AH205" s="75">
        <v>90000</v>
      </c>
      <c r="AI205" s="75">
        <v>90000</v>
      </c>
      <c r="AJ205" s="75">
        <v>90000</v>
      </c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0" t="s">
        <v>85</v>
      </c>
      <c r="AY205" s="19" t="s">
        <v>386</v>
      </c>
      <c r="AZ205" s="12"/>
      <c r="BA205" s="12"/>
      <c r="BB205" s="12"/>
      <c r="BC205" s="12"/>
      <c r="BD205" s="12" t="s">
        <v>491</v>
      </c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6">
        <f>$R205*Z205</f>
        <v>165600</v>
      </c>
      <c r="BQ205" s="16">
        <f>$R205*AA205</f>
        <v>165600</v>
      </c>
      <c r="BR205" s="16">
        <f>$R205*AB205</f>
        <v>165600</v>
      </c>
      <c r="BS205" s="16">
        <f>$R205*AC205</f>
        <v>186300</v>
      </c>
      <c r="BT205" s="17">
        <f>$R205*AD205</f>
        <v>248399.99999999997</v>
      </c>
      <c r="BU205" s="28">
        <f t="shared" si="73"/>
        <v>310500</v>
      </c>
      <c r="BV205" s="28">
        <f t="shared" si="74"/>
        <v>310500</v>
      </c>
      <c r="BW205" s="28">
        <f t="shared" si="75"/>
        <v>310500</v>
      </c>
    </row>
    <row r="206" spans="1:75" ht="17.399999999999999" x14ac:dyDescent="0.25">
      <c r="A206" s="69">
        <f t="shared" si="68"/>
        <v>205</v>
      </c>
      <c r="B206" s="73" t="s">
        <v>486</v>
      </c>
      <c r="C206" s="73" t="s">
        <v>106</v>
      </c>
      <c r="D206" s="73" t="s">
        <v>487</v>
      </c>
      <c r="E206" s="73" t="s">
        <v>461</v>
      </c>
      <c r="F206" s="73" t="s">
        <v>488</v>
      </c>
      <c r="G206" s="78" t="s">
        <v>473</v>
      </c>
      <c r="H206" s="71" t="s">
        <v>1910</v>
      </c>
      <c r="I206" s="71" t="str">
        <f>VLOOKUP(H206,[1]Sheet1!$C:$C,1,0)</f>
        <v>SC9641TS-P-AI-10AR-41CPA</v>
      </c>
      <c r="J206" s="78"/>
      <c r="K206" s="78"/>
      <c r="L206" s="72"/>
      <c r="M206" s="72"/>
      <c r="N206" s="78"/>
      <c r="O206" s="72"/>
      <c r="P206" s="72"/>
      <c r="Q206" s="72"/>
      <c r="R206" s="100">
        <v>1.6</v>
      </c>
      <c r="S206" s="75">
        <f t="shared" si="78"/>
        <v>78400</v>
      </c>
      <c r="T206" s="76"/>
      <c r="U206" s="76">
        <f t="shared" si="72"/>
        <v>49000</v>
      </c>
      <c r="V206" s="72"/>
      <c r="W206" s="72"/>
      <c r="X206" s="72"/>
      <c r="Y206" s="72"/>
      <c r="Z206" s="72"/>
      <c r="AA206" s="72">
        <v>30000</v>
      </c>
      <c r="AB206" s="72">
        <v>20000</v>
      </c>
      <c r="AC206" s="72">
        <v>20000</v>
      </c>
      <c r="AD206" s="77">
        <v>30000</v>
      </c>
      <c r="AE206" s="75">
        <v>20000</v>
      </c>
      <c r="AF206" s="75">
        <v>20000</v>
      </c>
      <c r="AG206" s="75">
        <v>9000</v>
      </c>
      <c r="AH206" s="75">
        <v>9000</v>
      </c>
      <c r="AI206" s="75">
        <v>9000</v>
      </c>
      <c r="AJ206" s="75">
        <v>9000</v>
      </c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19" t="s">
        <v>494</v>
      </c>
      <c r="AY206" s="19" t="s">
        <v>386</v>
      </c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7"/>
      <c r="BQ206" s="27">
        <f t="shared" ref="BQ206:BQ237" si="79">$R206*AA206</f>
        <v>48000</v>
      </c>
      <c r="BR206" s="27">
        <f t="shared" ref="BR206:BR237" si="80">$R206*AB206</f>
        <v>32000</v>
      </c>
      <c r="BS206" s="27">
        <f t="shared" ref="BS206:BS237" si="81">$R206*AC206</f>
        <v>32000</v>
      </c>
      <c r="BT206" s="28">
        <f t="shared" ref="BT206:BT237" si="82">$R206*AD206</f>
        <v>48000</v>
      </c>
      <c r="BU206" s="28">
        <f t="shared" si="73"/>
        <v>32000</v>
      </c>
      <c r="BV206" s="28">
        <f t="shared" si="74"/>
        <v>32000</v>
      </c>
      <c r="BW206" s="28">
        <f t="shared" si="75"/>
        <v>14400</v>
      </c>
    </row>
    <row r="207" spans="1:75" ht="17.399999999999999" x14ac:dyDescent="0.25">
      <c r="A207" s="69">
        <f t="shared" si="68"/>
        <v>206</v>
      </c>
      <c r="B207" s="73" t="s">
        <v>495</v>
      </c>
      <c r="C207" s="73" t="s">
        <v>56</v>
      </c>
      <c r="D207" s="73" t="s">
        <v>496</v>
      </c>
      <c r="E207" s="73" t="s">
        <v>461</v>
      </c>
      <c r="F207" s="73" t="s">
        <v>497</v>
      </c>
      <c r="G207" s="78" t="s">
        <v>434</v>
      </c>
      <c r="H207" s="71" t="s">
        <v>435</v>
      </c>
      <c r="I207" s="71" t="str">
        <f>VLOOKUP(H207,[1]Sheet1!$C:$C,1,0)</f>
        <v>SC4688SA-Q-DC-40CK-4688</v>
      </c>
      <c r="J207" s="78"/>
      <c r="K207" s="78"/>
      <c r="L207" s="72" t="s">
        <v>398</v>
      </c>
      <c r="M207" s="72">
        <v>100000</v>
      </c>
      <c r="N207" s="78" t="s">
        <v>361</v>
      </c>
      <c r="O207" s="72" t="s">
        <v>498</v>
      </c>
      <c r="P207" s="72" t="s">
        <v>499</v>
      </c>
      <c r="Q207" s="72"/>
      <c r="R207" s="100">
        <v>2.72</v>
      </c>
      <c r="S207" s="75">
        <f t="shared" si="78"/>
        <v>0</v>
      </c>
      <c r="T207" s="76"/>
      <c r="U207" s="76">
        <f t="shared" si="72"/>
        <v>0</v>
      </c>
      <c r="V207" s="72">
        <v>0</v>
      </c>
      <c r="W207" s="72">
        <v>4100</v>
      </c>
      <c r="X207" s="72">
        <v>10000</v>
      </c>
      <c r="Y207" s="72">
        <v>0</v>
      </c>
      <c r="Z207" s="72">
        <v>10000</v>
      </c>
      <c r="AA207" s="72">
        <v>0</v>
      </c>
      <c r="AB207" s="72">
        <v>10000</v>
      </c>
      <c r="AC207" s="72">
        <v>0</v>
      </c>
      <c r="AD207" s="77"/>
      <c r="AE207" s="75"/>
      <c r="AF207" s="75"/>
      <c r="AG207" s="75"/>
      <c r="AH207" s="75">
        <v>0</v>
      </c>
      <c r="AI207" s="75"/>
      <c r="AJ207" s="75">
        <v>0</v>
      </c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0" t="s">
        <v>85</v>
      </c>
      <c r="AY207" s="19" t="s">
        <v>371</v>
      </c>
      <c r="AZ207" s="12" t="s">
        <v>62</v>
      </c>
      <c r="BA207" s="12" t="s">
        <v>77</v>
      </c>
      <c r="BB207" s="12" t="s">
        <v>241</v>
      </c>
      <c r="BC207" s="12" t="s">
        <v>500</v>
      </c>
      <c r="BD207" s="12"/>
      <c r="BE207" s="12"/>
      <c r="BF207" s="12"/>
      <c r="BG207" s="12">
        <v>1</v>
      </c>
      <c r="BH207" s="12"/>
      <c r="BI207" s="12"/>
      <c r="BJ207" s="12"/>
      <c r="BK207" s="12"/>
      <c r="BL207" s="12"/>
      <c r="BM207" s="12"/>
      <c r="BN207" s="12"/>
      <c r="BO207" s="12"/>
      <c r="BP207" s="16">
        <f>$R207*Z207</f>
        <v>27200.000000000004</v>
      </c>
      <c r="BQ207" s="16">
        <f t="shared" si="79"/>
        <v>0</v>
      </c>
      <c r="BR207" s="16">
        <f t="shared" si="80"/>
        <v>27200.000000000004</v>
      </c>
      <c r="BS207" s="16">
        <f t="shared" si="81"/>
        <v>0</v>
      </c>
      <c r="BT207" s="17">
        <f t="shared" si="82"/>
        <v>0</v>
      </c>
      <c r="BU207" s="28">
        <f t="shared" si="73"/>
        <v>0</v>
      </c>
      <c r="BV207" s="28">
        <f t="shared" si="74"/>
        <v>0</v>
      </c>
      <c r="BW207" s="28">
        <f t="shared" si="75"/>
        <v>0</v>
      </c>
    </row>
    <row r="208" spans="1:75" ht="17.399999999999999" x14ac:dyDescent="0.25">
      <c r="A208" s="69">
        <f t="shared" si="68"/>
        <v>207</v>
      </c>
      <c r="B208" s="71" t="s">
        <v>1145</v>
      </c>
      <c r="C208" s="71" t="s">
        <v>290</v>
      </c>
      <c r="D208" s="71" t="s">
        <v>1145</v>
      </c>
      <c r="E208" s="71" t="s">
        <v>236</v>
      </c>
      <c r="F208" s="71"/>
      <c r="G208" s="71" t="s">
        <v>775</v>
      </c>
      <c r="H208" s="71" t="s">
        <v>1762</v>
      </c>
      <c r="I208" s="71" t="str">
        <f>VLOOKUP(H208,[1]Sheet1!$C:$C,1,0)</f>
        <v>SC4251D3-GA-00FR-4251</v>
      </c>
      <c r="J208" s="71"/>
      <c r="K208" s="71"/>
      <c r="L208" s="71"/>
      <c r="M208" s="85"/>
      <c r="N208" s="85" t="s">
        <v>382</v>
      </c>
      <c r="O208" s="85"/>
      <c r="P208" s="85"/>
      <c r="Q208" s="85"/>
      <c r="R208" s="100">
        <v>0.82</v>
      </c>
      <c r="S208" s="75">
        <f t="shared" si="78"/>
        <v>98400</v>
      </c>
      <c r="T208" s="76"/>
      <c r="U208" s="76">
        <f t="shared" si="72"/>
        <v>120000</v>
      </c>
      <c r="V208" s="85"/>
      <c r="W208" s="85"/>
      <c r="X208" s="85"/>
      <c r="Y208" s="85"/>
      <c r="Z208" s="72"/>
      <c r="AA208" s="72"/>
      <c r="AB208" s="72"/>
      <c r="AC208" s="72"/>
      <c r="AD208" s="77">
        <v>10000</v>
      </c>
      <c r="AE208" s="75">
        <v>20000</v>
      </c>
      <c r="AF208" s="106">
        <v>50000</v>
      </c>
      <c r="AG208" s="106">
        <v>50000</v>
      </c>
      <c r="AH208" s="106">
        <v>50000</v>
      </c>
      <c r="AI208" s="106">
        <v>50000</v>
      </c>
      <c r="AJ208" s="75">
        <v>50000</v>
      </c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0"/>
      <c r="AX208" s="16" t="s">
        <v>1706</v>
      </c>
      <c r="AY208" s="19" t="s">
        <v>261</v>
      </c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>
        <f t="shared" si="79"/>
        <v>0</v>
      </c>
      <c r="BR208" s="16">
        <f t="shared" si="80"/>
        <v>0</v>
      </c>
      <c r="BS208" s="16">
        <f t="shared" si="81"/>
        <v>0</v>
      </c>
      <c r="BT208" s="17">
        <f t="shared" si="82"/>
        <v>8200</v>
      </c>
      <c r="BU208" s="28">
        <f t="shared" si="73"/>
        <v>16400</v>
      </c>
      <c r="BV208" s="28">
        <f t="shared" si="74"/>
        <v>41000</v>
      </c>
      <c r="BW208" s="28">
        <f t="shared" si="75"/>
        <v>41000</v>
      </c>
    </row>
    <row r="209" spans="1:75" ht="17.399999999999999" x14ac:dyDescent="0.25">
      <c r="A209" s="69">
        <f t="shared" si="68"/>
        <v>208</v>
      </c>
      <c r="B209" s="73" t="s">
        <v>511</v>
      </c>
      <c r="C209" s="73" t="s">
        <v>106</v>
      </c>
      <c r="D209" s="73" t="s">
        <v>512</v>
      </c>
      <c r="E209" s="73" t="s">
        <v>461</v>
      </c>
      <c r="F209" s="73" t="s">
        <v>513</v>
      </c>
      <c r="G209" s="78" t="s">
        <v>514</v>
      </c>
      <c r="H209" s="71" t="s">
        <v>285</v>
      </c>
      <c r="I209" s="71" t="str">
        <f>VLOOKUP(H209,[1]Sheet1!$C:$C,1,0)</f>
        <v>SC2448SO-Q-DB-60CR-2448</v>
      </c>
      <c r="J209" s="78"/>
      <c r="K209" s="78"/>
      <c r="L209" s="72" t="s">
        <v>515</v>
      </c>
      <c r="M209" s="72">
        <v>300000</v>
      </c>
      <c r="N209" s="78" t="s">
        <v>361</v>
      </c>
      <c r="O209" s="72" t="s">
        <v>516</v>
      </c>
      <c r="P209" s="72" t="s">
        <v>517</v>
      </c>
      <c r="Q209" s="72"/>
      <c r="R209" s="100">
        <v>0.47499999999999998</v>
      </c>
      <c r="S209" s="75">
        <f t="shared" si="78"/>
        <v>96900</v>
      </c>
      <c r="T209" s="76"/>
      <c r="U209" s="76">
        <f t="shared" si="72"/>
        <v>204000</v>
      </c>
      <c r="V209" s="72">
        <v>3000</v>
      </c>
      <c r="W209" s="72">
        <v>12000</v>
      </c>
      <c r="X209" s="72">
        <v>15000</v>
      </c>
      <c r="Y209" s="72">
        <v>11692</v>
      </c>
      <c r="Z209" s="72">
        <v>22264</v>
      </c>
      <c r="AA209" s="72">
        <v>24384</v>
      </c>
      <c r="AB209" s="72">
        <v>21156</v>
      </c>
      <c r="AC209" s="72">
        <v>24000</v>
      </c>
      <c r="AD209" s="77">
        <v>36000</v>
      </c>
      <c r="AE209" s="75">
        <v>72000</v>
      </c>
      <c r="AF209" s="75">
        <v>66000</v>
      </c>
      <c r="AG209" s="75">
        <v>66000</v>
      </c>
      <c r="AH209" s="75">
        <v>36000</v>
      </c>
      <c r="AI209" s="75">
        <v>66000</v>
      </c>
      <c r="AJ209" s="75">
        <v>66000</v>
      </c>
      <c r="AK209" s="12">
        <v>3000</v>
      </c>
      <c r="AL209" s="12">
        <v>12000</v>
      </c>
      <c r="AM209" s="12">
        <v>15000</v>
      </c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0" t="s">
        <v>85</v>
      </c>
      <c r="AY209" s="19" t="s">
        <v>261</v>
      </c>
      <c r="AZ209" s="12" t="s">
        <v>62</v>
      </c>
      <c r="BA209" s="12" t="s">
        <v>96</v>
      </c>
      <c r="BB209" s="12" t="s">
        <v>518</v>
      </c>
      <c r="BC209" s="12" t="s">
        <v>519</v>
      </c>
      <c r="BD209" s="12"/>
      <c r="BE209" s="12"/>
      <c r="BF209" s="12" t="s">
        <v>520</v>
      </c>
      <c r="BG209" s="12">
        <v>2</v>
      </c>
      <c r="BH209" s="12"/>
      <c r="BI209" s="12"/>
      <c r="BJ209" s="12"/>
      <c r="BK209" s="12"/>
      <c r="BL209" s="12"/>
      <c r="BM209" s="12"/>
      <c r="BN209" s="12"/>
      <c r="BO209" s="12" t="s">
        <v>521</v>
      </c>
      <c r="BP209" s="16">
        <f t="shared" ref="BP209:BP234" si="83">$R209*Z209</f>
        <v>10575.4</v>
      </c>
      <c r="BQ209" s="16">
        <f t="shared" si="79"/>
        <v>11582.4</v>
      </c>
      <c r="BR209" s="16">
        <f t="shared" si="80"/>
        <v>10049.1</v>
      </c>
      <c r="BS209" s="16">
        <f t="shared" si="81"/>
        <v>11400</v>
      </c>
      <c r="BT209" s="17">
        <f t="shared" si="82"/>
        <v>17100</v>
      </c>
      <c r="BU209" s="28">
        <f t="shared" si="73"/>
        <v>34200</v>
      </c>
      <c r="BV209" s="28">
        <f t="shared" si="74"/>
        <v>31350</v>
      </c>
      <c r="BW209" s="28">
        <f t="shared" si="75"/>
        <v>31350</v>
      </c>
    </row>
    <row r="210" spans="1:75" ht="17.399999999999999" x14ac:dyDescent="0.25">
      <c r="A210" s="69">
        <f t="shared" si="68"/>
        <v>209</v>
      </c>
      <c r="B210" s="73" t="s">
        <v>522</v>
      </c>
      <c r="C210" s="73" t="s">
        <v>106</v>
      </c>
      <c r="D210" s="73" t="s">
        <v>523</v>
      </c>
      <c r="E210" s="73" t="s">
        <v>461</v>
      </c>
      <c r="F210" s="73" t="s">
        <v>524</v>
      </c>
      <c r="G210" s="78" t="s">
        <v>525</v>
      </c>
      <c r="H210" s="71" t="s">
        <v>526</v>
      </c>
      <c r="I210" s="71" t="str">
        <f>VLOOKUP(H210,[1]Sheet1!$C:$C,1,0)</f>
        <v>SC2442SO-N-Q-DB-60CR-2442</v>
      </c>
      <c r="J210" s="78"/>
      <c r="K210" s="78"/>
      <c r="L210" s="72" t="s">
        <v>527</v>
      </c>
      <c r="M210" s="72">
        <v>560000</v>
      </c>
      <c r="N210" s="78" t="s">
        <v>361</v>
      </c>
      <c r="O210" s="72" t="s">
        <v>528</v>
      </c>
      <c r="P210" s="72" t="s">
        <v>529</v>
      </c>
      <c r="Q210" s="72"/>
      <c r="R210" s="100">
        <v>0.45</v>
      </c>
      <c r="S210" s="75">
        <f t="shared" si="78"/>
        <v>8100</v>
      </c>
      <c r="T210" s="76"/>
      <c r="U210" s="76">
        <f t="shared" si="72"/>
        <v>18000</v>
      </c>
      <c r="V210" s="72">
        <f>AK210</f>
        <v>0</v>
      </c>
      <c r="W210" s="72">
        <f>AL210</f>
        <v>135000</v>
      </c>
      <c r="X210" s="72">
        <f>AM210</f>
        <v>0</v>
      </c>
      <c r="Y210" s="72">
        <f>AN210</f>
        <v>132000</v>
      </c>
      <c r="Z210" s="72">
        <f>AO210</f>
        <v>204000</v>
      </c>
      <c r="AA210" s="72">
        <v>0</v>
      </c>
      <c r="AB210" s="72">
        <v>0</v>
      </c>
      <c r="AC210" s="72">
        <v>6000</v>
      </c>
      <c r="AD210" s="77">
        <v>51000</v>
      </c>
      <c r="AE210" s="75">
        <v>12000</v>
      </c>
      <c r="AF210" s="75">
        <v>6000</v>
      </c>
      <c r="AG210" s="75">
        <v>0</v>
      </c>
      <c r="AH210" s="75">
        <v>0</v>
      </c>
      <c r="AI210" s="75">
        <v>0</v>
      </c>
      <c r="AJ210" s="75">
        <v>0</v>
      </c>
      <c r="AK210" s="22">
        <v>0</v>
      </c>
      <c r="AL210" s="22">
        <v>135000</v>
      </c>
      <c r="AM210" s="22">
        <v>0</v>
      </c>
      <c r="AN210" s="22">
        <v>132000</v>
      </c>
      <c r="AO210" s="22">
        <v>204000</v>
      </c>
      <c r="AP210" s="22"/>
      <c r="AQ210" s="22"/>
      <c r="AR210" s="22"/>
      <c r="AS210" s="22"/>
      <c r="AT210" s="22"/>
      <c r="AU210" s="22"/>
      <c r="AV210" s="22"/>
      <c r="AW210" s="22"/>
      <c r="AX210" s="19" t="s">
        <v>85</v>
      </c>
      <c r="AY210" s="19" t="s">
        <v>261</v>
      </c>
      <c r="AZ210" s="22" t="s">
        <v>62</v>
      </c>
      <c r="BA210" s="22" t="s">
        <v>96</v>
      </c>
      <c r="BB210" s="22" t="s">
        <v>530</v>
      </c>
      <c r="BC210" s="22" t="s">
        <v>531</v>
      </c>
      <c r="BD210" s="22"/>
      <c r="BE210" s="22"/>
      <c r="BF210" s="22"/>
      <c r="BG210" s="22">
        <v>3</v>
      </c>
      <c r="BH210" s="22"/>
      <c r="BI210" s="22"/>
      <c r="BJ210" s="22"/>
      <c r="BK210" s="22"/>
      <c r="BL210" s="22"/>
      <c r="BM210" s="22"/>
      <c r="BN210" s="22"/>
      <c r="BO210" s="22"/>
      <c r="BP210" s="27">
        <f t="shared" si="83"/>
        <v>91800</v>
      </c>
      <c r="BQ210" s="27">
        <f t="shared" si="79"/>
        <v>0</v>
      </c>
      <c r="BR210" s="27">
        <f t="shared" si="80"/>
        <v>0</v>
      </c>
      <c r="BS210" s="27">
        <f t="shared" si="81"/>
        <v>2700</v>
      </c>
      <c r="BT210" s="28">
        <f t="shared" si="82"/>
        <v>22950</v>
      </c>
      <c r="BU210" s="28">
        <f t="shared" si="73"/>
        <v>5400</v>
      </c>
      <c r="BV210" s="28">
        <f t="shared" si="74"/>
        <v>2700</v>
      </c>
      <c r="BW210" s="28">
        <f t="shared" si="75"/>
        <v>0</v>
      </c>
    </row>
    <row r="211" spans="1:75" ht="17.399999999999999" x14ac:dyDescent="0.25">
      <c r="A211" s="69">
        <f t="shared" si="68"/>
        <v>210</v>
      </c>
      <c r="B211" s="71" t="s">
        <v>558</v>
      </c>
      <c r="C211" s="71" t="s">
        <v>243</v>
      </c>
      <c r="D211" s="71" t="s">
        <v>559</v>
      </c>
      <c r="E211" s="71" t="s">
        <v>461</v>
      </c>
      <c r="F211" s="71" t="s">
        <v>488</v>
      </c>
      <c r="G211" s="71" t="s">
        <v>273</v>
      </c>
      <c r="H211" s="71" t="s">
        <v>274</v>
      </c>
      <c r="I211" s="71" t="str">
        <f>VLOOKUP(H211,[1]Sheet1!$C:$C,1,0)</f>
        <v>SC2402SO-N-CJ-90NR-2402</v>
      </c>
      <c r="J211" s="71"/>
      <c r="K211" s="71"/>
      <c r="L211" s="71" t="s">
        <v>363</v>
      </c>
      <c r="M211" s="85"/>
      <c r="N211" s="85"/>
      <c r="O211" s="85"/>
      <c r="P211" s="85"/>
      <c r="Q211" s="85"/>
      <c r="R211" s="100">
        <v>0.19</v>
      </c>
      <c r="S211" s="75">
        <f t="shared" si="78"/>
        <v>0</v>
      </c>
      <c r="T211" s="76">
        <v>245100</v>
      </c>
      <c r="U211" s="76">
        <f t="shared" si="72"/>
        <v>0</v>
      </c>
      <c r="V211" s="85"/>
      <c r="W211" s="85"/>
      <c r="X211" s="85"/>
      <c r="Y211" s="85"/>
      <c r="Z211" s="80">
        <v>120000</v>
      </c>
      <c r="AA211" s="80">
        <v>240000</v>
      </c>
      <c r="AB211" s="80">
        <v>175000</v>
      </c>
      <c r="AC211" s="80">
        <v>210000</v>
      </c>
      <c r="AD211" s="77">
        <v>175000</v>
      </c>
      <c r="AE211" s="75"/>
      <c r="AF211" s="75"/>
      <c r="AG211" s="75"/>
      <c r="AH211" s="75"/>
      <c r="AI211" s="75"/>
      <c r="AJ211" s="75">
        <v>0</v>
      </c>
      <c r="AK211" s="27"/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 t="s">
        <v>494</v>
      </c>
      <c r="AY211" s="19" t="s">
        <v>261</v>
      </c>
      <c r="AZ211" s="27"/>
      <c r="BA211" s="27"/>
      <c r="BB211" s="27"/>
      <c r="BC211" s="27"/>
      <c r="BD211" s="27"/>
      <c r="BE211" s="27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>
        <f t="shared" si="83"/>
        <v>22800</v>
      </c>
      <c r="BQ211" s="27">
        <f t="shared" si="79"/>
        <v>45600</v>
      </c>
      <c r="BR211" s="27">
        <f t="shared" si="80"/>
        <v>33250</v>
      </c>
      <c r="BS211" s="27">
        <f t="shared" si="81"/>
        <v>39900</v>
      </c>
      <c r="BT211" s="28">
        <f t="shared" si="82"/>
        <v>33250</v>
      </c>
      <c r="BU211" s="28">
        <f t="shared" si="73"/>
        <v>0</v>
      </c>
      <c r="BV211" s="28">
        <f t="shared" si="74"/>
        <v>0</v>
      </c>
      <c r="BW211" s="28">
        <f t="shared" si="75"/>
        <v>0</v>
      </c>
    </row>
    <row r="212" spans="1:75" ht="17.399999999999999" x14ac:dyDescent="0.25">
      <c r="A212" s="69">
        <f t="shared" si="68"/>
        <v>211</v>
      </c>
      <c r="B212" s="71" t="s">
        <v>558</v>
      </c>
      <c r="C212" s="71" t="s">
        <v>243</v>
      </c>
      <c r="D212" s="71" t="s">
        <v>559</v>
      </c>
      <c r="E212" s="71" t="s">
        <v>461</v>
      </c>
      <c r="F212" s="71" t="s">
        <v>488</v>
      </c>
      <c r="G212" s="71" t="s">
        <v>305</v>
      </c>
      <c r="H212" s="71" t="s">
        <v>306</v>
      </c>
      <c r="I212" s="71" t="str">
        <f>VLOOKUP(H212,[1]Sheet1!$C:$C,1,0)</f>
        <v>SC1134SO-N-CF-00LR-1134</v>
      </c>
      <c r="J212" s="71"/>
      <c r="K212" s="71"/>
      <c r="L212" s="71" t="s">
        <v>363</v>
      </c>
      <c r="M212" s="85"/>
      <c r="N212" s="85"/>
      <c r="O212" s="85"/>
      <c r="P212" s="85"/>
      <c r="Q212" s="85"/>
      <c r="R212" s="100">
        <v>0.32</v>
      </c>
      <c r="S212" s="75">
        <f t="shared" si="78"/>
        <v>28800</v>
      </c>
      <c r="T212" s="76">
        <v>207360</v>
      </c>
      <c r="U212" s="76">
        <f t="shared" si="72"/>
        <v>90000</v>
      </c>
      <c r="V212" s="85"/>
      <c r="W212" s="85"/>
      <c r="X212" s="85"/>
      <c r="Y212" s="85"/>
      <c r="Z212" s="80">
        <v>81000</v>
      </c>
      <c r="AA212" s="80">
        <v>81000</v>
      </c>
      <c r="AB212" s="80">
        <v>81000</v>
      </c>
      <c r="AC212" s="80">
        <v>81000</v>
      </c>
      <c r="AD212" s="77">
        <v>81000</v>
      </c>
      <c r="AE212" s="75">
        <v>30000</v>
      </c>
      <c r="AF212" s="75">
        <v>30000</v>
      </c>
      <c r="AG212" s="75">
        <v>30000</v>
      </c>
      <c r="AH212" s="75">
        <v>30000</v>
      </c>
      <c r="AI212" s="75">
        <v>30000</v>
      </c>
      <c r="AJ212" s="75">
        <v>30000</v>
      </c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 t="s">
        <v>494</v>
      </c>
      <c r="AY212" s="19" t="s">
        <v>261</v>
      </c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>
        <f t="shared" si="83"/>
        <v>25920</v>
      </c>
      <c r="BQ212" s="16">
        <f t="shared" si="79"/>
        <v>25920</v>
      </c>
      <c r="BR212" s="16">
        <f t="shared" si="80"/>
        <v>25920</v>
      </c>
      <c r="BS212" s="16">
        <f t="shared" si="81"/>
        <v>25920</v>
      </c>
      <c r="BT212" s="17">
        <f t="shared" si="82"/>
        <v>25920</v>
      </c>
      <c r="BU212" s="28">
        <f t="shared" si="73"/>
        <v>9600</v>
      </c>
      <c r="BV212" s="28">
        <f t="shared" si="74"/>
        <v>9600</v>
      </c>
      <c r="BW212" s="28">
        <f t="shared" si="75"/>
        <v>9600</v>
      </c>
    </row>
    <row r="213" spans="1:75" ht="17.399999999999999" x14ac:dyDescent="0.25">
      <c r="A213" s="69">
        <f t="shared" si="68"/>
        <v>212</v>
      </c>
      <c r="B213" s="71" t="s">
        <v>560</v>
      </c>
      <c r="C213" s="71" t="s">
        <v>235</v>
      </c>
      <c r="D213" s="71" t="s">
        <v>559</v>
      </c>
      <c r="E213" s="71" t="s">
        <v>461</v>
      </c>
      <c r="F213" s="71" t="s">
        <v>488</v>
      </c>
      <c r="G213" s="71" t="s">
        <v>525</v>
      </c>
      <c r="H213" s="71" t="s">
        <v>561</v>
      </c>
      <c r="I213" s="71" t="str">
        <f>VLOOKUP(H213,[1]Sheet1!$C:$C,1,0)</f>
        <v>SC2442SO-N-Q-CP-10CR-2442</v>
      </c>
      <c r="J213" s="71"/>
      <c r="K213" s="71"/>
      <c r="L213" s="71" t="s">
        <v>562</v>
      </c>
      <c r="M213" s="85"/>
      <c r="N213" s="85"/>
      <c r="O213" s="85"/>
      <c r="P213" s="85"/>
      <c r="Q213" s="85"/>
      <c r="R213" s="100">
        <v>0.25</v>
      </c>
      <c r="S213" s="75">
        <f t="shared" si="78"/>
        <v>45000</v>
      </c>
      <c r="T213" s="76">
        <v>512000</v>
      </c>
      <c r="U213" s="76">
        <f t="shared" si="72"/>
        <v>180000</v>
      </c>
      <c r="V213" s="85"/>
      <c r="W213" s="85"/>
      <c r="X213" s="85"/>
      <c r="Y213" s="85"/>
      <c r="Z213" s="80">
        <v>200000</v>
      </c>
      <c r="AA213" s="80">
        <v>200000</v>
      </c>
      <c r="AB213" s="80">
        <v>200000</v>
      </c>
      <c r="AC213" s="80">
        <v>200000</v>
      </c>
      <c r="AD213" s="77">
        <v>200000</v>
      </c>
      <c r="AE213" s="75">
        <v>60000</v>
      </c>
      <c r="AF213" s="75">
        <v>60000</v>
      </c>
      <c r="AG213" s="75">
        <v>60000</v>
      </c>
      <c r="AH213" s="75">
        <v>60000</v>
      </c>
      <c r="AI213" s="75">
        <v>60000</v>
      </c>
      <c r="AJ213" s="75">
        <v>60000</v>
      </c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 t="s">
        <v>494</v>
      </c>
      <c r="AY213" s="19" t="s">
        <v>261</v>
      </c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>
        <f t="shared" si="83"/>
        <v>50000</v>
      </c>
      <c r="BQ213" s="27">
        <f t="shared" si="79"/>
        <v>50000</v>
      </c>
      <c r="BR213" s="27">
        <f t="shared" si="80"/>
        <v>50000</v>
      </c>
      <c r="BS213" s="27">
        <f t="shared" si="81"/>
        <v>50000</v>
      </c>
      <c r="BT213" s="28">
        <f t="shared" si="82"/>
        <v>50000</v>
      </c>
      <c r="BU213" s="28">
        <f t="shared" si="73"/>
        <v>15000</v>
      </c>
      <c r="BV213" s="28">
        <f t="shared" si="74"/>
        <v>15000</v>
      </c>
      <c r="BW213" s="28">
        <f t="shared" si="75"/>
        <v>15000</v>
      </c>
    </row>
    <row r="214" spans="1:75" ht="17.399999999999999" x14ac:dyDescent="0.25">
      <c r="A214" s="69">
        <f t="shared" si="68"/>
        <v>213</v>
      </c>
      <c r="B214" s="71" t="s">
        <v>563</v>
      </c>
      <c r="C214" s="71" t="s">
        <v>235</v>
      </c>
      <c r="D214" s="71" t="s">
        <v>559</v>
      </c>
      <c r="E214" s="71" t="s">
        <v>461</v>
      </c>
      <c r="F214" s="71" t="s">
        <v>488</v>
      </c>
      <c r="G214" s="71" t="s">
        <v>263</v>
      </c>
      <c r="H214" s="71" t="s">
        <v>264</v>
      </c>
      <c r="I214" s="71" t="str">
        <f>VLOOKUP(H214,[1]Sheet1!$C:$C,1,0)</f>
        <v>SC2442SO-Q-DB-60CR-2442</v>
      </c>
      <c r="J214" s="71"/>
      <c r="K214" s="71"/>
      <c r="L214" s="71" t="s">
        <v>562</v>
      </c>
      <c r="M214" s="85"/>
      <c r="N214" s="85"/>
      <c r="O214" s="85"/>
      <c r="P214" s="85"/>
      <c r="Q214" s="85"/>
      <c r="R214" s="100">
        <v>0.28000000000000003</v>
      </c>
      <c r="S214" s="75">
        <f t="shared" si="78"/>
        <v>176400.00000000003</v>
      </c>
      <c r="T214" s="76">
        <v>1176000</v>
      </c>
      <c r="U214" s="76">
        <f t="shared" si="72"/>
        <v>630000</v>
      </c>
      <c r="V214" s="85"/>
      <c r="W214" s="85"/>
      <c r="X214" s="85"/>
      <c r="Y214" s="85"/>
      <c r="Z214" s="80">
        <v>400000</v>
      </c>
      <c r="AA214" s="80">
        <v>420000</v>
      </c>
      <c r="AB214" s="80">
        <v>210000</v>
      </c>
      <c r="AC214" s="80">
        <v>300000</v>
      </c>
      <c r="AD214" s="77">
        <v>480000</v>
      </c>
      <c r="AE214" s="75">
        <v>210000</v>
      </c>
      <c r="AF214" s="75">
        <v>210000</v>
      </c>
      <c r="AG214" s="75">
        <v>210000</v>
      </c>
      <c r="AH214" s="75">
        <v>210000</v>
      </c>
      <c r="AI214" s="75">
        <v>210000</v>
      </c>
      <c r="AJ214" s="75">
        <v>210000</v>
      </c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 t="s">
        <v>494</v>
      </c>
      <c r="AY214" s="19" t="s">
        <v>261</v>
      </c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>
        <f t="shared" si="83"/>
        <v>112000.00000000001</v>
      </c>
      <c r="BQ214" s="16">
        <f t="shared" si="79"/>
        <v>117600.00000000001</v>
      </c>
      <c r="BR214" s="16">
        <f t="shared" si="80"/>
        <v>58800.000000000007</v>
      </c>
      <c r="BS214" s="16">
        <f t="shared" si="81"/>
        <v>84000.000000000015</v>
      </c>
      <c r="BT214" s="17">
        <f t="shared" si="82"/>
        <v>134400</v>
      </c>
      <c r="BU214" s="28">
        <f t="shared" si="73"/>
        <v>58800.000000000007</v>
      </c>
      <c r="BV214" s="28">
        <f t="shared" si="74"/>
        <v>58800.000000000007</v>
      </c>
      <c r="BW214" s="28">
        <f t="shared" si="75"/>
        <v>58800.000000000007</v>
      </c>
    </row>
    <row r="215" spans="1:75" ht="17.399999999999999" x14ac:dyDescent="0.25">
      <c r="A215" s="69">
        <f t="shared" si="68"/>
        <v>214</v>
      </c>
      <c r="B215" s="71" t="s">
        <v>564</v>
      </c>
      <c r="C215" s="71" t="s">
        <v>243</v>
      </c>
      <c r="D215" s="71" t="s">
        <v>559</v>
      </c>
      <c r="E215" s="71" t="s">
        <v>1881</v>
      </c>
      <c r="F215" s="71" t="s">
        <v>488</v>
      </c>
      <c r="G215" s="71" t="s">
        <v>525</v>
      </c>
      <c r="H215" s="71" t="s">
        <v>561</v>
      </c>
      <c r="I215" s="71" t="str">
        <f>VLOOKUP(H215,[1]Sheet1!$C:$C,1,0)</f>
        <v>SC2442SO-N-Q-CP-10CR-2442</v>
      </c>
      <c r="J215" s="71"/>
      <c r="K215" s="71"/>
      <c r="L215" s="71" t="s">
        <v>562</v>
      </c>
      <c r="M215" s="85"/>
      <c r="N215" s="85"/>
      <c r="O215" s="85"/>
      <c r="P215" s="85"/>
      <c r="Q215" s="85"/>
      <c r="R215" s="100">
        <v>0.25</v>
      </c>
      <c r="S215" s="75">
        <f t="shared" si="78"/>
        <v>75000</v>
      </c>
      <c r="T215" s="76">
        <v>291200</v>
      </c>
      <c r="U215" s="76">
        <f t="shared" si="72"/>
        <v>300000</v>
      </c>
      <c r="V215" s="85"/>
      <c r="W215" s="85"/>
      <c r="X215" s="85"/>
      <c r="Y215" s="85"/>
      <c r="Z215" s="80">
        <v>100000</v>
      </c>
      <c r="AA215" s="80">
        <v>210000</v>
      </c>
      <c r="AB215" s="80">
        <v>100000</v>
      </c>
      <c r="AC215" s="80">
        <v>100000</v>
      </c>
      <c r="AD215" s="77">
        <v>100000</v>
      </c>
      <c r="AE215" s="75">
        <v>90000</v>
      </c>
      <c r="AF215" s="75">
        <v>90000</v>
      </c>
      <c r="AG215" s="75">
        <v>120000</v>
      </c>
      <c r="AH215" s="75">
        <v>90000</v>
      </c>
      <c r="AI215" s="75">
        <v>90000</v>
      </c>
      <c r="AJ215" s="75">
        <v>90000</v>
      </c>
      <c r="AK215" s="27"/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 t="s">
        <v>494</v>
      </c>
      <c r="AY215" s="19" t="s">
        <v>261</v>
      </c>
      <c r="AZ215" s="27"/>
      <c r="BA215" s="27"/>
      <c r="BB215" s="27"/>
      <c r="BC215" s="27"/>
      <c r="BD215" s="27"/>
      <c r="BE215" s="27"/>
      <c r="BF215" s="27"/>
      <c r="BG215" s="27"/>
      <c r="BH215" s="27"/>
      <c r="BI215" s="27"/>
      <c r="BJ215" s="27"/>
      <c r="BK215" s="27"/>
      <c r="BL215" s="27"/>
      <c r="BM215" s="27"/>
      <c r="BN215" s="27"/>
      <c r="BO215" s="27"/>
      <c r="BP215" s="27">
        <f t="shared" si="83"/>
        <v>25000</v>
      </c>
      <c r="BQ215" s="27">
        <f t="shared" si="79"/>
        <v>52500</v>
      </c>
      <c r="BR215" s="27">
        <f t="shared" si="80"/>
        <v>25000</v>
      </c>
      <c r="BS215" s="27">
        <f t="shared" si="81"/>
        <v>25000</v>
      </c>
      <c r="BT215" s="28">
        <f t="shared" si="82"/>
        <v>25000</v>
      </c>
      <c r="BU215" s="28">
        <f t="shared" si="73"/>
        <v>22500</v>
      </c>
      <c r="BV215" s="28">
        <f t="shared" si="74"/>
        <v>22500</v>
      </c>
      <c r="BW215" s="28">
        <f t="shared" si="75"/>
        <v>30000</v>
      </c>
    </row>
    <row r="216" spans="1:75" ht="17.399999999999999" x14ac:dyDescent="0.25">
      <c r="A216" s="69">
        <f t="shared" si="68"/>
        <v>215</v>
      </c>
      <c r="B216" s="71" t="s">
        <v>565</v>
      </c>
      <c r="C216" s="71" t="s">
        <v>243</v>
      </c>
      <c r="D216" s="71" t="s">
        <v>559</v>
      </c>
      <c r="E216" s="71" t="s">
        <v>461</v>
      </c>
      <c r="F216" s="71" t="s">
        <v>488</v>
      </c>
      <c r="G216" s="71" t="s">
        <v>339</v>
      </c>
      <c r="H216" s="71" t="s">
        <v>340</v>
      </c>
      <c r="I216" s="71" t="str">
        <f>VLOOKUP(H216,[1]Sheet1!$C:$C,1,0)</f>
        <v>SC1245SO-N-CD-00NR-1245</v>
      </c>
      <c r="J216" s="71"/>
      <c r="K216" s="71"/>
      <c r="L216" s="71" t="s">
        <v>566</v>
      </c>
      <c r="M216" s="85"/>
      <c r="N216" s="85"/>
      <c r="O216" s="85"/>
      <c r="P216" s="85"/>
      <c r="Q216" s="85"/>
      <c r="R216" s="100">
        <v>0.25</v>
      </c>
      <c r="S216" s="75">
        <f t="shared" si="78"/>
        <v>172500</v>
      </c>
      <c r="T216" s="76">
        <v>400000</v>
      </c>
      <c r="U216" s="76">
        <f t="shared" si="72"/>
        <v>690000</v>
      </c>
      <c r="V216" s="85"/>
      <c r="W216" s="85"/>
      <c r="X216" s="85"/>
      <c r="Y216" s="85"/>
      <c r="Z216" s="80">
        <v>200000</v>
      </c>
      <c r="AA216" s="80">
        <v>200000</v>
      </c>
      <c r="AB216" s="80">
        <v>200000</v>
      </c>
      <c r="AC216" s="80">
        <v>360000</v>
      </c>
      <c r="AD216" s="77">
        <v>200000</v>
      </c>
      <c r="AE216" s="75">
        <v>210000</v>
      </c>
      <c r="AF216" s="75">
        <v>240000</v>
      </c>
      <c r="AG216" s="75">
        <v>240000</v>
      </c>
      <c r="AH216" s="75">
        <v>150000</v>
      </c>
      <c r="AI216" s="75">
        <v>120000</v>
      </c>
      <c r="AJ216" s="75">
        <v>240000</v>
      </c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 t="s">
        <v>494</v>
      </c>
      <c r="AY216" s="19" t="s">
        <v>261</v>
      </c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>
        <f t="shared" si="83"/>
        <v>50000</v>
      </c>
      <c r="BQ216" s="16">
        <f t="shared" si="79"/>
        <v>50000</v>
      </c>
      <c r="BR216" s="16">
        <f t="shared" si="80"/>
        <v>50000</v>
      </c>
      <c r="BS216" s="16">
        <f t="shared" si="81"/>
        <v>90000</v>
      </c>
      <c r="BT216" s="17">
        <f t="shared" si="82"/>
        <v>50000</v>
      </c>
      <c r="BU216" s="28">
        <f t="shared" si="73"/>
        <v>52500</v>
      </c>
      <c r="BV216" s="28">
        <f t="shared" si="74"/>
        <v>60000</v>
      </c>
      <c r="BW216" s="28">
        <f t="shared" si="75"/>
        <v>60000</v>
      </c>
    </row>
    <row r="217" spans="1:75" ht="17.399999999999999" x14ac:dyDescent="0.25">
      <c r="A217" s="69">
        <f t="shared" si="68"/>
        <v>216</v>
      </c>
      <c r="B217" s="71" t="s">
        <v>567</v>
      </c>
      <c r="C217" s="71" t="s">
        <v>243</v>
      </c>
      <c r="D217" s="71" t="s">
        <v>559</v>
      </c>
      <c r="E217" s="71" t="s">
        <v>461</v>
      </c>
      <c r="F217" s="71" t="s">
        <v>488</v>
      </c>
      <c r="G217" s="71" t="s">
        <v>568</v>
      </c>
      <c r="H217" s="71" t="s">
        <v>397</v>
      </c>
      <c r="I217" s="71" t="str">
        <f>VLOOKUP(H217,[1]Sheet1!$C:$C,1,0)</f>
        <v>SC2432SO-Q-CM-10CR-2432</v>
      </c>
      <c r="J217" s="71"/>
      <c r="K217" s="71"/>
      <c r="L217" s="71" t="s">
        <v>569</v>
      </c>
      <c r="M217" s="85"/>
      <c r="N217" s="85"/>
      <c r="O217" s="85"/>
      <c r="P217" s="85"/>
      <c r="Q217" s="85"/>
      <c r="R217" s="100">
        <v>0.46</v>
      </c>
      <c r="S217" s="75">
        <f t="shared" si="78"/>
        <v>62100</v>
      </c>
      <c r="T217" s="76">
        <v>28160</v>
      </c>
      <c r="U217" s="76">
        <f t="shared" si="72"/>
        <v>135000</v>
      </c>
      <c r="V217" s="85"/>
      <c r="W217" s="85"/>
      <c r="X217" s="85"/>
      <c r="Y217" s="85"/>
      <c r="Z217" s="80">
        <v>8000</v>
      </c>
      <c r="AA217" s="80">
        <v>8000</v>
      </c>
      <c r="AB217" s="80">
        <v>12000</v>
      </c>
      <c r="AC217" s="80">
        <v>12000</v>
      </c>
      <c r="AD217" s="77">
        <v>12000</v>
      </c>
      <c r="AE217" s="107">
        <v>45000</v>
      </c>
      <c r="AF217" s="107">
        <v>45000</v>
      </c>
      <c r="AG217" s="107">
        <v>45000</v>
      </c>
      <c r="AH217" s="107">
        <v>30000</v>
      </c>
      <c r="AI217" s="107">
        <v>30000</v>
      </c>
      <c r="AJ217" s="107">
        <v>30000</v>
      </c>
      <c r="AK217" s="27"/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 t="s">
        <v>494</v>
      </c>
      <c r="AY217" s="19" t="s">
        <v>261</v>
      </c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>
        <f t="shared" si="83"/>
        <v>3680</v>
      </c>
      <c r="BQ217" s="27">
        <f t="shared" si="79"/>
        <v>3680</v>
      </c>
      <c r="BR217" s="27">
        <f t="shared" si="80"/>
        <v>5520</v>
      </c>
      <c r="BS217" s="27">
        <f t="shared" si="81"/>
        <v>5520</v>
      </c>
      <c r="BT217" s="28">
        <f t="shared" si="82"/>
        <v>5520</v>
      </c>
      <c r="BU217" s="28">
        <f t="shared" si="73"/>
        <v>20700</v>
      </c>
      <c r="BV217" s="28">
        <f t="shared" si="74"/>
        <v>20700</v>
      </c>
      <c r="BW217" s="28">
        <f t="shared" si="75"/>
        <v>20700</v>
      </c>
    </row>
    <row r="218" spans="1:75" ht="17.399999999999999" x14ac:dyDescent="0.25">
      <c r="A218" s="69">
        <f t="shared" si="68"/>
        <v>217</v>
      </c>
      <c r="B218" s="71" t="s">
        <v>570</v>
      </c>
      <c r="C218" s="71" t="s">
        <v>243</v>
      </c>
      <c r="D218" s="71" t="s">
        <v>487</v>
      </c>
      <c r="E218" s="71" t="s">
        <v>461</v>
      </c>
      <c r="F218" s="71" t="s">
        <v>488</v>
      </c>
      <c r="G218" s="71" t="s">
        <v>400</v>
      </c>
      <c r="H218" s="71" t="s">
        <v>401</v>
      </c>
      <c r="I218" s="71" t="str">
        <f>VLOOKUP(H218,[1]Sheet1!$C:$C,1,0)</f>
        <v>SC1134SO-N-Q-CI-00LR-1134</v>
      </c>
      <c r="J218" s="71"/>
      <c r="K218" s="71" t="s">
        <v>571</v>
      </c>
      <c r="L218" s="71" t="s">
        <v>572</v>
      </c>
      <c r="M218" s="85"/>
      <c r="N218" s="85"/>
      <c r="O218" s="85"/>
      <c r="P218" s="85"/>
      <c r="Q218" s="85"/>
      <c r="R218" s="100">
        <v>0.32</v>
      </c>
      <c r="S218" s="75">
        <f t="shared" si="78"/>
        <v>0</v>
      </c>
      <c r="T218" s="76">
        <v>320000</v>
      </c>
      <c r="U218" s="76">
        <f t="shared" si="72"/>
        <v>0</v>
      </c>
      <c r="V218" s="85"/>
      <c r="W218" s="85"/>
      <c r="X218" s="85"/>
      <c r="Y218" s="85"/>
      <c r="Z218" s="80">
        <v>125000</v>
      </c>
      <c r="AA218" s="80">
        <v>125000</v>
      </c>
      <c r="AB218" s="80">
        <v>125000</v>
      </c>
      <c r="AC218" s="80">
        <v>125000</v>
      </c>
      <c r="AD218" s="77">
        <v>125000</v>
      </c>
      <c r="AE218" s="75"/>
      <c r="AF218" s="75"/>
      <c r="AG218" s="75"/>
      <c r="AH218" s="75"/>
      <c r="AI218" s="75"/>
      <c r="AJ218" s="75">
        <v>0</v>
      </c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 t="s">
        <v>494</v>
      </c>
      <c r="AY218" s="19" t="s">
        <v>261</v>
      </c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>
        <f t="shared" si="83"/>
        <v>40000</v>
      </c>
      <c r="BQ218" s="16">
        <f t="shared" si="79"/>
        <v>40000</v>
      </c>
      <c r="BR218" s="16">
        <f t="shared" si="80"/>
        <v>40000</v>
      </c>
      <c r="BS218" s="16">
        <f t="shared" si="81"/>
        <v>40000</v>
      </c>
      <c r="BT218" s="17">
        <f t="shared" si="82"/>
        <v>40000</v>
      </c>
      <c r="BU218" s="28">
        <f t="shared" si="73"/>
        <v>0</v>
      </c>
      <c r="BV218" s="28">
        <f t="shared" si="74"/>
        <v>0</v>
      </c>
      <c r="BW218" s="28">
        <f t="shared" si="75"/>
        <v>0</v>
      </c>
    </row>
    <row r="219" spans="1:75" ht="17.399999999999999" x14ac:dyDescent="0.25">
      <c r="A219" s="69">
        <f t="shared" si="68"/>
        <v>218</v>
      </c>
      <c r="B219" s="71" t="s">
        <v>576</v>
      </c>
      <c r="C219" s="71" t="s">
        <v>243</v>
      </c>
      <c r="D219" s="71" t="s">
        <v>487</v>
      </c>
      <c r="E219" s="71" t="s">
        <v>461</v>
      </c>
      <c r="F219" s="71" t="s">
        <v>488</v>
      </c>
      <c r="G219" s="71" t="s">
        <v>577</v>
      </c>
      <c r="H219" s="71" t="s">
        <v>578</v>
      </c>
      <c r="I219" s="71" t="str">
        <f>VLOOKUP(H219,[1]Sheet1!$C:$C,1,0)</f>
        <v>SC2242SO-Q-CH-10CR-2642</v>
      </c>
      <c r="J219" s="71"/>
      <c r="K219" s="71"/>
      <c r="L219" s="71" t="s">
        <v>579</v>
      </c>
      <c r="M219" s="85"/>
      <c r="N219" s="85"/>
      <c r="O219" s="85"/>
      <c r="P219" s="85"/>
      <c r="Q219" s="85"/>
      <c r="R219" s="100">
        <v>0.32</v>
      </c>
      <c r="S219" s="75">
        <f t="shared" si="78"/>
        <v>0</v>
      </c>
      <c r="T219" s="76">
        <v>0</v>
      </c>
      <c r="U219" s="76">
        <f t="shared" si="72"/>
        <v>0</v>
      </c>
      <c r="V219" s="85"/>
      <c r="W219" s="85"/>
      <c r="X219" s="85"/>
      <c r="Y219" s="85"/>
      <c r="Z219" s="80">
        <v>60000</v>
      </c>
      <c r="AA219" s="80"/>
      <c r="AB219" s="80"/>
      <c r="AC219" s="80">
        <v>381000</v>
      </c>
      <c r="AD219" s="77"/>
      <c r="AE219" s="75"/>
      <c r="AF219" s="75"/>
      <c r="AG219" s="75"/>
      <c r="AH219" s="75">
        <v>0</v>
      </c>
      <c r="AI219" s="75"/>
      <c r="AJ219" s="75">
        <v>0</v>
      </c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 t="s">
        <v>494</v>
      </c>
      <c r="AY219" s="19" t="s">
        <v>261</v>
      </c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>
        <f t="shared" si="83"/>
        <v>19200</v>
      </c>
      <c r="BQ219" s="16">
        <f t="shared" si="79"/>
        <v>0</v>
      </c>
      <c r="BR219" s="16">
        <f t="shared" si="80"/>
        <v>0</v>
      </c>
      <c r="BS219" s="16">
        <f t="shared" si="81"/>
        <v>121920</v>
      </c>
      <c r="BT219" s="17">
        <f t="shared" si="82"/>
        <v>0</v>
      </c>
      <c r="BU219" s="28">
        <f t="shared" si="73"/>
        <v>0</v>
      </c>
      <c r="BV219" s="28">
        <f t="shared" si="74"/>
        <v>0</v>
      </c>
      <c r="BW219" s="28">
        <f t="shared" si="75"/>
        <v>0</v>
      </c>
    </row>
    <row r="220" spans="1:75" ht="17.399999999999999" x14ac:dyDescent="0.25">
      <c r="A220" s="69">
        <f t="shared" si="68"/>
        <v>219</v>
      </c>
      <c r="B220" s="71" t="s">
        <v>580</v>
      </c>
      <c r="C220" s="71" t="s">
        <v>243</v>
      </c>
      <c r="D220" s="71" t="s">
        <v>487</v>
      </c>
      <c r="E220" s="71" t="s">
        <v>461</v>
      </c>
      <c r="F220" s="71" t="s">
        <v>488</v>
      </c>
      <c r="G220" s="93" t="s">
        <v>1909</v>
      </c>
      <c r="H220" s="71" t="s">
        <v>1911</v>
      </c>
      <c r="I220" s="71" t="str">
        <f>VLOOKUP(H220,[1]Sheet1!$C:$C,1,0)</f>
        <v>SC2430UA-CI-10AK-2430</v>
      </c>
      <c r="J220" s="71"/>
      <c r="K220" s="71"/>
      <c r="L220" s="71" t="s">
        <v>581</v>
      </c>
      <c r="M220" s="85"/>
      <c r="N220" s="85"/>
      <c r="O220" s="85"/>
      <c r="P220" s="85"/>
      <c r="Q220" s="85"/>
      <c r="R220" s="100">
        <v>0.3</v>
      </c>
      <c r="S220" s="75">
        <f t="shared" si="78"/>
        <v>27000</v>
      </c>
      <c r="T220" s="76">
        <v>0</v>
      </c>
      <c r="U220" s="76">
        <f t="shared" si="72"/>
        <v>90000</v>
      </c>
      <c r="V220" s="85"/>
      <c r="W220" s="85"/>
      <c r="X220" s="85"/>
      <c r="Y220" s="85"/>
      <c r="Z220" s="80"/>
      <c r="AA220" s="80"/>
      <c r="AB220" s="80"/>
      <c r="AC220" s="80"/>
      <c r="AD220" s="77"/>
      <c r="AE220" s="107">
        <v>30000</v>
      </c>
      <c r="AF220" s="107">
        <v>30000</v>
      </c>
      <c r="AG220" s="107">
        <v>30000</v>
      </c>
      <c r="AH220" s="107">
        <v>20000</v>
      </c>
      <c r="AI220" s="107">
        <v>20000</v>
      </c>
      <c r="AJ220" s="107">
        <v>30000</v>
      </c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 t="s">
        <v>494</v>
      </c>
      <c r="AY220" s="19" t="s">
        <v>261</v>
      </c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>
        <f t="shared" si="83"/>
        <v>0</v>
      </c>
      <c r="BQ220" s="27">
        <f t="shared" si="79"/>
        <v>0</v>
      </c>
      <c r="BR220" s="27">
        <f t="shared" si="80"/>
        <v>0</v>
      </c>
      <c r="BS220" s="27">
        <f t="shared" si="81"/>
        <v>0</v>
      </c>
      <c r="BT220" s="28">
        <f t="shared" si="82"/>
        <v>0</v>
      </c>
      <c r="BU220" s="28">
        <f t="shared" si="73"/>
        <v>9000</v>
      </c>
      <c r="BV220" s="28">
        <f t="shared" si="74"/>
        <v>9000</v>
      </c>
      <c r="BW220" s="28">
        <f t="shared" si="75"/>
        <v>9000</v>
      </c>
    </row>
    <row r="221" spans="1:75" ht="17.399999999999999" x14ac:dyDescent="0.25">
      <c r="A221" s="69">
        <f t="shared" si="68"/>
        <v>220</v>
      </c>
      <c r="B221" s="71" t="s">
        <v>582</v>
      </c>
      <c r="C221" s="71" t="s">
        <v>235</v>
      </c>
      <c r="D221" s="71" t="s">
        <v>487</v>
      </c>
      <c r="E221" s="71" t="s">
        <v>1881</v>
      </c>
      <c r="F221" s="71" t="s">
        <v>488</v>
      </c>
      <c r="G221" s="71" t="s">
        <v>477</v>
      </c>
      <c r="H221" s="71" t="s">
        <v>478</v>
      </c>
      <c r="I221" s="71" t="str">
        <f>VLOOKUP(H221,[1]Sheet1!$C:$C,1,0)</f>
        <v>SC9642TS-E-Q-AH-4XLR-9642</v>
      </c>
      <c r="J221" s="71"/>
      <c r="K221" s="71"/>
      <c r="L221" s="71" t="s">
        <v>448</v>
      </c>
      <c r="M221" s="85"/>
      <c r="N221" s="85"/>
      <c r="O221" s="85"/>
      <c r="P221" s="85"/>
      <c r="Q221" s="85"/>
      <c r="R221" s="100">
        <v>2.0699999999999998</v>
      </c>
      <c r="S221" s="75">
        <f t="shared" si="78"/>
        <v>279450</v>
      </c>
      <c r="T221" s="76">
        <v>1987199.9999999998</v>
      </c>
      <c r="U221" s="76">
        <f t="shared" si="72"/>
        <v>135000</v>
      </c>
      <c r="V221" s="85"/>
      <c r="W221" s="85"/>
      <c r="X221" s="85"/>
      <c r="Y221" s="85"/>
      <c r="Z221" s="80">
        <v>110000</v>
      </c>
      <c r="AA221" s="80">
        <v>110000</v>
      </c>
      <c r="AB221" s="80">
        <v>110000</v>
      </c>
      <c r="AC221" s="80">
        <v>110000</v>
      </c>
      <c r="AD221" s="77">
        <v>130000</v>
      </c>
      <c r="AE221" s="75">
        <v>45000</v>
      </c>
      <c r="AF221" s="75">
        <v>45000</v>
      </c>
      <c r="AG221" s="75">
        <v>45000</v>
      </c>
      <c r="AH221" s="75">
        <v>45000</v>
      </c>
      <c r="AI221" s="75">
        <v>30000</v>
      </c>
      <c r="AJ221" s="75">
        <v>45000</v>
      </c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 t="s">
        <v>494</v>
      </c>
      <c r="AY221" s="19" t="s">
        <v>386</v>
      </c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>
        <f t="shared" si="83"/>
        <v>227699.99999999997</v>
      </c>
      <c r="BQ221" s="16">
        <f t="shared" si="79"/>
        <v>227699.99999999997</v>
      </c>
      <c r="BR221" s="16">
        <f t="shared" si="80"/>
        <v>227699.99999999997</v>
      </c>
      <c r="BS221" s="16">
        <f t="shared" si="81"/>
        <v>227699.99999999997</v>
      </c>
      <c r="BT221" s="17">
        <f t="shared" si="82"/>
        <v>269100</v>
      </c>
      <c r="BU221" s="28">
        <f t="shared" si="73"/>
        <v>93150</v>
      </c>
      <c r="BV221" s="28">
        <f t="shared" si="74"/>
        <v>93150</v>
      </c>
      <c r="BW221" s="28">
        <f t="shared" si="75"/>
        <v>93150</v>
      </c>
    </row>
    <row r="222" spans="1:75" ht="17.399999999999999" x14ac:dyDescent="0.25">
      <c r="A222" s="69">
        <f t="shared" si="68"/>
        <v>221</v>
      </c>
      <c r="B222" s="73" t="s">
        <v>976</v>
      </c>
      <c r="C222" s="73" t="s">
        <v>290</v>
      </c>
      <c r="D222" s="73" t="s">
        <v>977</v>
      </c>
      <c r="E222" s="73" t="s">
        <v>978</v>
      </c>
      <c r="F222" s="73" t="s">
        <v>978</v>
      </c>
      <c r="G222" s="71" t="s">
        <v>982</v>
      </c>
      <c r="H222" s="71" t="s">
        <v>983</v>
      </c>
      <c r="I222" s="71" t="str">
        <f>VLOOKUP(H222,[1]Sheet1!$C:$C,1,0)</f>
        <v>SC4391S6-GB-00NR-4391</v>
      </c>
      <c r="J222" s="87"/>
      <c r="K222" s="87"/>
      <c r="L222" s="71" t="s">
        <v>981</v>
      </c>
      <c r="M222" s="72"/>
      <c r="N222" s="71"/>
      <c r="O222" s="71"/>
      <c r="P222" s="70"/>
      <c r="Q222" s="70"/>
      <c r="R222" s="100">
        <v>1</v>
      </c>
      <c r="S222" s="75">
        <f t="shared" si="78"/>
        <v>4000000</v>
      </c>
      <c r="T222" s="76">
        <v>14400000</v>
      </c>
      <c r="U222" s="76">
        <f t="shared" si="72"/>
        <v>4000000</v>
      </c>
      <c r="V222" s="76"/>
      <c r="W222" s="76"/>
      <c r="X222" s="76"/>
      <c r="Y222" s="76"/>
      <c r="Z222" s="76">
        <v>1000000</v>
      </c>
      <c r="AA222" s="76"/>
      <c r="AB222" s="76"/>
      <c r="AC222" s="76"/>
      <c r="AD222" s="77"/>
      <c r="AE222" s="75"/>
      <c r="AF222" s="75">
        <v>2000000</v>
      </c>
      <c r="AG222" s="75">
        <v>2000000</v>
      </c>
      <c r="AH222" s="75">
        <v>2000000</v>
      </c>
      <c r="AI222" s="75"/>
      <c r="AJ222" s="75">
        <v>0</v>
      </c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5"/>
      <c r="AX222" s="25" t="s">
        <v>689</v>
      </c>
      <c r="AY222" s="19" t="s">
        <v>261</v>
      </c>
      <c r="AZ222" s="25"/>
      <c r="BA222" s="26"/>
      <c r="BB222" s="18"/>
      <c r="BC222" s="27"/>
      <c r="BD222" s="27"/>
      <c r="BE222" s="27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>
        <f t="shared" si="83"/>
        <v>1000000</v>
      </c>
      <c r="BQ222" s="27">
        <f t="shared" si="79"/>
        <v>0</v>
      </c>
      <c r="BR222" s="27">
        <f t="shared" si="80"/>
        <v>0</v>
      </c>
      <c r="BS222" s="27">
        <f t="shared" si="81"/>
        <v>0</v>
      </c>
      <c r="BT222" s="28">
        <f t="shared" si="82"/>
        <v>0</v>
      </c>
      <c r="BU222" s="28">
        <f t="shared" si="73"/>
        <v>0</v>
      </c>
      <c r="BV222" s="28">
        <f t="shared" si="74"/>
        <v>2000000</v>
      </c>
      <c r="BW222" s="28">
        <f t="shared" si="75"/>
        <v>2000000</v>
      </c>
    </row>
    <row r="223" spans="1:75" ht="17.399999999999999" x14ac:dyDescent="0.25">
      <c r="A223" s="69">
        <f t="shared" si="68"/>
        <v>222</v>
      </c>
      <c r="B223" s="71" t="s">
        <v>582</v>
      </c>
      <c r="C223" s="71" t="s">
        <v>235</v>
      </c>
      <c r="D223" s="71" t="s">
        <v>487</v>
      </c>
      <c r="E223" s="71" t="s">
        <v>1881</v>
      </c>
      <c r="F223" s="71" t="s">
        <v>488</v>
      </c>
      <c r="G223" s="71" t="s">
        <v>545</v>
      </c>
      <c r="H223" s="71" t="s">
        <v>585</v>
      </c>
      <c r="I223" s="71" t="str">
        <f>VLOOKUP(H223,[1]Sheet1!$C:$C,1,0)</f>
        <v>SC9642TS-EC-Q-AH-4XLR-9642</v>
      </c>
      <c r="J223" s="71"/>
      <c r="K223" s="71"/>
      <c r="L223" s="71" t="s">
        <v>448</v>
      </c>
      <c r="M223" s="85"/>
      <c r="N223" s="85"/>
      <c r="O223" s="85"/>
      <c r="P223" s="85"/>
      <c r="Q223" s="85"/>
      <c r="R223" s="100">
        <v>2.2999999999999998</v>
      </c>
      <c r="S223" s="75">
        <f t="shared" si="78"/>
        <v>310500</v>
      </c>
      <c r="T223" s="76">
        <v>0</v>
      </c>
      <c r="U223" s="76">
        <f t="shared" si="72"/>
        <v>135000</v>
      </c>
      <c r="V223" s="85"/>
      <c r="W223" s="85"/>
      <c r="X223" s="85"/>
      <c r="Y223" s="85"/>
      <c r="Z223" s="80"/>
      <c r="AA223" s="80"/>
      <c r="AB223" s="80"/>
      <c r="AC223" s="80">
        <v>30000</v>
      </c>
      <c r="AD223" s="77">
        <v>39000</v>
      </c>
      <c r="AE223" s="75">
        <v>45000</v>
      </c>
      <c r="AF223" s="75">
        <v>45000</v>
      </c>
      <c r="AG223" s="75">
        <v>45000</v>
      </c>
      <c r="AH223" s="75">
        <v>45000</v>
      </c>
      <c r="AI223" s="75">
        <v>45000</v>
      </c>
      <c r="AJ223" s="75">
        <v>45000</v>
      </c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 t="s">
        <v>494</v>
      </c>
      <c r="AY223" s="19" t="s">
        <v>386</v>
      </c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>
        <f t="shared" si="83"/>
        <v>0</v>
      </c>
      <c r="BQ223" s="16">
        <f t="shared" si="79"/>
        <v>0</v>
      </c>
      <c r="BR223" s="16">
        <f t="shared" si="80"/>
        <v>0</v>
      </c>
      <c r="BS223" s="16">
        <f t="shared" si="81"/>
        <v>69000</v>
      </c>
      <c r="BT223" s="17">
        <f t="shared" si="82"/>
        <v>89700</v>
      </c>
      <c r="BU223" s="28">
        <f t="shared" si="73"/>
        <v>103499.99999999999</v>
      </c>
      <c r="BV223" s="28">
        <f t="shared" si="74"/>
        <v>103499.99999999999</v>
      </c>
      <c r="BW223" s="28">
        <f t="shared" si="75"/>
        <v>103499.99999999999</v>
      </c>
    </row>
    <row r="224" spans="1:75" ht="17.399999999999999" x14ac:dyDescent="0.25">
      <c r="A224" s="69">
        <f t="shared" si="68"/>
        <v>223</v>
      </c>
      <c r="B224" s="71" t="s">
        <v>586</v>
      </c>
      <c r="C224" s="71" t="s">
        <v>235</v>
      </c>
      <c r="D224" s="71" t="s">
        <v>487</v>
      </c>
      <c r="E224" s="71" t="s">
        <v>461</v>
      </c>
      <c r="F224" s="71" t="s">
        <v>488</v>
      </c>
      <c r="G224" s="71" t="s">
        <v>543</v>
      </c>
      <c r="H224" s="71" t="s">
        <v>544</v>
      </c>
      <c r="I224" s="71" t="str">
        <f>VLOOKUP(H224,[1]Sheet1!$C:$C,1,0)</f>
        <v>SC9641TS-PC-Q-AI-10LR-9641PC</v>
      </c>
      <c r="J224" s="71"/>
      <c r="K224" s="71"/>
      <c r="L224" s="71" t="s">
        <v>448</v>
      </c>
      <c r="M224" s="85"/>
      <c r="N224" s="85"/>
      <c r="O224" s="85"/>
      <c r="P224" s="85"/>
      <c r="Q224" s="85"/>
      <c r="R224" s="100">
        <v>2.1800000000000002</v>
      </c>
      <c r="S224" s="75">
        <f t="shared" si="78"/>
        <v>0</v>
      </c>
      <c r="T224" s="76">
        <v>1133600</v>
      </c>
      <c r="U224" s="76">
        <f t="shared" si="72"/>
        <v>0</v>
      </c>
      <c r="V224" s="85"/>
      <c r="W224" s="85"/>
      <c r="X224" s="85"/>
      <c r="Y224" s="85"/>
      <c r="Z224" s="80">
        <v>50000</v>
      </c>
      <c r="AA224" s="80">
        <v>24000</v>
      </c>
      <c r="AB224" s="80">
        <v>24000</v>
      </c>
      <c r="AC224" s="80"/>
      <c r="AD224" s="77"/>
      <c r="AE224" s="75"/>
      <c r="AF224" s="75"/>
      <c r="AG224" s="75"/>
      <c r="AH224" s="75">
        <v>0</v>
      </c>
      <c r="AI224" s="75"/>
      <c r="AJ224" s="75">
        <v>0</v>
      </c>
      <c r="AK224" s="27"/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 t="s">
        <v>494</v>
      </c>
      <c r="AY224" s="19" t="s">
        <v>386</v>
      </c>
      <c r="AZ224" s="27"/>
      <c r="BA224" s="27"/>
      <c r="BB224" s="27"/>
      <c r="BC224" s="27"/>
      <c r="BD224" s="27"/>
      <c r="BE224" s="27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>
        <f t="shared" si="83"/>
        <v>109000.00000000001</v>
      </c>
      <c r="BQ224" s="27">
        <f t="shared" si="79"/>
        <v>52320.000000000007</v>
      </c>
      <c r="BR224" s="27">
        <f t="shared" si="80"/>
        <v>52320.000000000007</v>
      </c>
      <c r="BS224" s="27">
        <f t="shared" si="81"/>
        <v>0</v>
      </c>
      <c r="BT224" s="28">
        <f t="shared" si="82"/>
        <v>0</v>
      </c>
      <c r="BU224" s="28">
        <f t="shared" si="73"/>
        <v>0</v>
      </c>
      <c r="BV224" s="28">
        <f t="shared" si="74"/>
        <v>0</v>
      </c>
      <c r="BW224" s="28">
        <f t="shared" si="75"/>
        <v>0</v>
      </c>
    </row>
    <row r="225" spans="1:75" ht="17.399999999999999" x14ac:dyDescent="0.25">
      <c r="A225" s="69">
        <f t="shared" si="68"/>
        <v>224</v>
      </c>
      <c r="B225" s="71" t="s">
        <v>586</v>
      </c>
      <c r="C225" s="71" t="s">
        <v>235</v>
      </c>
      <c r="D225" s="71" t="s">
        <v>487</v>
      </c>
      <c r="E225" s="71" t="s">
        <v>461</v>
      </c>
      <c r="F225" s="71" t="s">
        <v>488</v>
      </c>
      <c r="G225" s="71" t="s">
        <v>545</v>
      </c>
      <c r="H225" s="71" t="s">
        <v>447</v>
      </c>
      <c r="I225" s="71" t="str">
        <f>VLOOKUP(H225,[1]Sheet1!$C:$C,1,0)</f>
        <v>SC9642TS-EC-Q-AH-4XLR-9642</v>
      </c>
      <c r="J225" s="71"/>
      <c r="K225" s="71"/>
      <c r="L225" s="71" t="s">
        <v>448</v>
      </c>
      <c r="M225" s="85"/>
      <c r="N225" s="85"/>
      <c r="O225" s="85"/>
      <c r="P225" s="85"/>
      <c r="Q225" s="85"/>
      <c r="R225" s="100">
        <v>2.2999999999999998</v>
      </c>
      <c r="S225" s="75">
        <f t="shared" si="78"/>
        <v>0</v>
      </c>
      <c r="T225" s="76">
        <v>2357500</v>
      </c>
      <c r="U225" s="76">
        <f t="shared" si="72"/>
        <v>0</v>
      </c>
      <c r="V225" s="85"/>
      <c r="W225" s="85"/>
      <c r="X225" s="85"/>
      <c r="Y225" s="85"/>
      <c r="Z225" s="80">
        <v>100000</v>
      </c>
      <c r="AA225" s="80"/>
      <c r="AB225" s="80"/>
      <c r="AC225" s="80"/>
      <c r="AD225" s="77"/>
      <c r="AE225" s="75"/>
      <c r="AF225" s="75"/>
      <c r="AG225" s="75"/>
      <c r="AH225" s="75">
        <v>0</v>
      </c>
      <c r="AI225" s="75"/>
      <c r="AJ225" s="75">
        <v>0</v>
      </c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 t="s">
        <v>494</v>
      </c>
      <c r="AY225" s="19" t="s">
        <v>386</v>
      </c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>
        <f t="shared" si="83"/>
        <v>229999.99999999997</v>
      </c>
      <c r="BQ225" s="16">
        <f t="shared" si="79"/>
        <v>0</v>
      </c>
      <c r="BR225" s="16">
        <f t="shared" si="80"/>
        <v>0</v>
      </c>
      <c r="BS225" s="16">
        <f t="shared" si="81"/>
        <v>0</v>
      </c>
      <c r="BT225" s="17">
        <f t="shared" si="82"/>
        <v>0</v>
      </c>
      <c r="BU225" s="28">
        <f t="shared" si="73"/>
        <v>0</v>
      </c>
      <c r="BV225" s="28">
        <f t="shared" si="74"/>
        <v>0</v>
      </c>
      <c r="BW225" s="28">
        <f t="shared" si="75"/>
        <v>0</v>
      </c>
    </row>
    <row r="226" spans="1:75" ht="17.399999999999999" x14ac:dyDescent="0.25">
      <c r="A226" s="69">
        <f t="shared" si="68"/>
        <v>225</v>
      </c>
      <c r="B226" s="71" t="s">
        <v>587</v>
      </c>
      <c r="C226" s="71" t="s">
        <v>235</v>
      </c>
      <c r="D226" s="71" t="s">
        <v>487</v>
      </c>
      <c r="E226" s="71" t="s">
        <v>1881</v>
      </c>
      <c r="F226" s="71" t="s">
        <v>488</v>
      </c>
      <c r="G226" s="71" t="s">
        <v>553</v>
      </c>
      <c r="H226" s="71" t="s">
        <v>554</v>
      </c>
      <c r="I226" s="71" t="str">
        <f>VLOOKUP(H226,[1]Sheet1!$C:$C,1,0)</f>
        <v>SC9641TS-Q-CB-10LR-9641</v>
      </c>
      <c r="J226" s="71"/>
      <c r="K226" s="71"/>
      <c r="L226" s="71" t="s">
        <v>448</v>
      </c>
      <c r="M226" s="85"/>
      <c r="N226" s="85"/>
      <c r="O226" s="85"/>
      <c r="P226" s="85"/>
      <c r="Q226" s="85"/>
      <c r="R226" s="100">
        <v>2.02</v>
      </c>
      <c r="S226" s="75">
        <f t="shared" si="78"/>
        <v>363600</v>
      </c>
      <c r="T226" s="76">
        <v>1454400</v>
      </c>
      <c r="U226" s="76">
        <f t="shared" si="72"/>
        <v>180000</v>
      </c>
      <c r="V226" s="85">
        <v>90000</v>
      </c>
      <c r="W226" s="85">
        <v>90000</v>
      </c>
      <c r="X226" s="85">
        <v>90000</v>
      </c>
      <c r="Y226" s="85">
        <v>90000</v>
      </c>
      <c r="Z226" s="80">
        <v>90000</v>
      </c>
      <c r="AA226" s="80">
        <v>90000</v>
      </c>
      <c r="AB226" s="80">
        <v>90000</v>
      </c>
      <c r="AC226" s="80">
        <v>90000</v>
      </c>
      <c r="AD226" s="77">
        <v>90000</v>
      </c>
      <c r="AE226" s="107">
        <v>60000</v>
      </c>
      <c r="AF226" s="107">
        <v>60000</v>
      </c>
      <c r="AG226" s="107">
        <v>60000</v>
      </c>
      <c r="AH226" s="107">
        <v>60000</v>
      </c>
      <c r="AI226" s="107">
        <v>30000</v>
      </c>
      <c r="AJ226" s="107">
        <v>30000</v>
      </c>
      <c r="AK226" s="27"/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 t="s">
        <v>494</v>
      </c>
      <c r="AY226" s="19" t="s">
        <v>386</v>
      </c>
      <c r="AZ226" s="27"/>
      <c r="BA226" s="27"/>
      <c r="BB226" s="27"/>
      <c r="BC226" s="27"/>
      <c r="BD226" s="27"/>
      <c r="BE226" s="27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>
        <f t="shared" si="83"/>
        <v>181800</v>
      </c>
      <c r="BQ226" s="27">
        <f t="shared" si="79"/>
        <v>181800</v>
      </c>
      <c r="BR226" s="27">
        <f t="shared" si="80"/>
        <v>181800</v>
      </c>
      <c r="BS226" s="27">
        <f t="shared" si="81"/>
        <v>181800</v>
      </c>
      <c r="BT226" s="28">
        <f t="shared" si="82"/>
        <v>181800</v>
      </c>
      <c r="BU226" s="28">
        <f t="shared" si="73"/>
        <v>121200</v>
      </c>
      <c r="BV226" s="28">
        <f t="shared" si="74"/>
        <v>121200</v>
      </c>
      <c r="BW226" s="28">
        <f t="shared" si="75"/>
        <v>121200</v>
      </c>
    </row>
    <row r="227" spans="1:75" ht="17.399999999999999" x14ac:dyDescent="0.25">
      <c r="A227" s="69">
        <f t="shared" si="68"/>
        <v>226</v>
      </c>
      <c r="B227" s="71" t="s">
        <v>588</v>
      </c>
      <c r="C227" s="71" t="s">
        <v>235</v>
      </c>
      <c r="D227" s="71" t="s">
        <v>487</v>
      </c>
      <c r="E227" s="71" t="s">
        <v>461</v>
      </c>
      <c r="F227" s="71" t="s">
        <v>488</v>
      </c>
      <c r="G227" s="71" t="s">
        <v>543</v>
      </c>
      <c r="H227" s="71" t="s">
        <v>544</v>
      </c>
      <c r="I227" s="71" t="str">
        <f>VLOOKUP(H227,[1]Sheet1!$C:$C,1,0)</f>
        <v>SC9641TS-PC-Q-AI-10LR-9641PC</v>
      </c>
      <c r="J227" s="71"/>
      <c r="K227" s="71"/>
      <c r="L227" s="71" t="s">
        <v>448</v>
      </c>
      <c r="M227" s="85"/>
      <c r="N227" s="85"/>
      <c r="O227" s="85"/>
      <c r="P227" s="85"/>
      <c r="Q227" s="85"/>
      <c r="R227" s="100">
        <v>2.1800000000000002</v>
      </c>
      <c r="S227" s="75">
        <f t="shared" si="78"/>
        <v>981000.00000000012</v>
      </c>
      <c r="T227" s="76">
        <v>3270000.0000000005</v>
      </c>
      <c r="U227" s="76">
        <f t="shared" si="72"/>
        <v>450000</v>
      </c>
      <c r="V227" s="85"/>
      <c r="W227" s="85"/>
      <c r="X227" s="85"/>
      <c r="Y227" s="85"/>
      <c r="Z227" s="80">
        <v>180000</v>
      </c>
      <c r="AA227" s="80">
        <v>180000</v>
      </c>
      <c r="AB227" s="80">
        <v>180000</v>
      </c>
      <c r="AC227" s="80">
        <v>180000</v>
      </c>
      <c r="AD227" s="77">
        <v>100000</v>
      </c>
      <c r="AE227" s="75">
        <v>120000</v>
      </c>
      <c r="AF227" s="75">
        <v>150000</v>
      </c>
      <c r="AG227" s="75">
        <v>180000</v>
      </c>
      <c r="AH227" s="75">
        <v>120000</v>
      </c>
      <c r="AI227" s="75">
        <v>90000</v>
      </c>
      <c r="AJ227" s="75">
        <v>150000</v>
      </c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 t="s">
        <v>494</v>
      </c>
      <c r="AY227" s="19" t="s">
        <v>386</v>
      </c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>
        <f t="shared" si="83"/>
        <v>392400</v>
      </c>
      <c r="BQ227" s="16">
        <f t="shared" si="79"/>
        <v>392400</v>
      </c>
      <c r="BR227" s="16">
        <f t="shared" si="80"/>
        <v>392400</v>
      </c>
      <c r="BS227" s="16">
        <f t="shared" si="81"/>
        <v>392400</v>
      </c>
      <c r="BT227" s="17">
        <f t="shared" si="82"/>
        <v>218000.00000000003</v>
      </c>
      <c r="BU227" s="28">
        <f t="shared" si="73"/>
        <v>261600.00000000003</v>
      </c>
      <c r="BV227" s="28">
        <f t="shared" si="74"/>
        <v>327000</v>
      </c>
      <c r="BW227" s="28">
        <f t="shared" si="75"/>
        <v>392400</v>
      </c>
    </row>
    <row r="228" spans="1:75" ht="17.399999999999999" x14ac:dyDescent="0.25">
      <c r="A228" s="69">
        <f t="shared" si="68"/>
        <v>227</v>
      </c>
      <c r="B228" s="71" t="s">
        <v>589</v>
      </c>
      <c r="C228" s="71" t="s">
        <v>243</v>
      </c>
      <c r="D228" s="71" t="s">
        <v>487</v>
      </c>
      <c r="E228" s="71" t="s">
        <v>461</v>
      </c>
      <c r="F228" s="71" t="s">
        <v>488</v>
      </c>
      <c r="G228" s="71" t="s">
        <v>437</v>
      </c>
      <c r="H228" s="71" t="s">
        <v>380</v>
      </c>
      <c r="I228" s="71" t="str">
        <f>VLOOKUP(H228,[1]Sheet1!$C:$C,1,0)</f>
        <v>SC9675IM-Q-AB-4XAR-9675</v>
      </c>
      <c r="J228" s="71"/>
      <c r="K228" s="71"/>
      <c r="L228" s="71" t="s">
        <v>438</v>
      </c>
      <c r="M228" s="85"/>
      <c r="N228" s="85"/>
      <c r="O228" s="85"/>
      <c r="P228" s="85"/>
      <c r="Q228" s="85"/>
      <c r="R228" s="100">
        <v>6.5</v>
      </c>
      <c r="S228" s="75">
        <f t="shared" si="78"/>
        <v>0</v>
      </c>
      <c r="T228" s="76">
        <v>520000</v>
      </c>
      <c r="U228" s="76">
        <f t="shared" si="72"/>
        <v>0</v>
      </c>
      <c r="V228" s="85"/>
      <c r="W228" s="85"/>
      <c r="X228" s="85"/>
      <c r="Y228" s="85"/>
      <c r="Z228" s="80">
        <v>10000</v>
      </c>
      <c r="AA228" s="80">
        <v>10000</v>
      </c>
      <c r="AB228" s="80">
        <v>10000</v>
      </c>
      <c r="AC228" s="80">
        <v>10000</v>
      </c>
      <c r="AD228" s="77">
        <v>10000</v>
      </c>
      <c r="AE228" s="75"/>
      <c r="AF228" s="75"/>
      <c r="AG228" s="75"/>
      <c r="AH228" s="75"/>
      <c r="AI228" s="75"/>
      <c r="AJ228" s="75">
        <v>0</v>
      </c>
      <c r="AK228" s="27"/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 t="s">
        <v>494</v>
      </c>
      <c r="AY228" s="19" t="s">
        <v>386</v>
      </c>
      <c r="AZ228" s="27"/>
      <c r="BA228" s="27"/>
      <c r="BB228" s="27"/>
      <c r="BC228" s="27"/>
      <c r="BD228" s="27"/>
      <c r="BE228" s="27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>
        <f t="shared" si="83"/>
        <v>65000</v>
      </c>
      <c r="BQ228" s="27">
        <f t="shared" si="79"/>
        <v>65000</v>
      </c>
      <c r="BR228" s="27">
        <f t="shared" si="80"/>
        <v>65000</v>
      </c>
      <c r="BS228" s="27">
        <f t="shared" si="81"/>
        <v>65000</v>
      </c>
      <c r="BT228" s="28">
        <f t="shared" si="82"/>
        <v>65000</v>
      </c>
      <c r="BU228" s="28">
        <f t="shared" si="73"/>
        <v>0</v>
      </c>
      <c r="BV228" s="28">
        <f t="shared" si="74"/>
        <v>0</v>
      </c>
      <c r="BW228" s="28">
        <f t="shared" si="75"/>
        <v>0</v>
      </c>
    </row>
    <row r="229" spans="1:75" ht="17.399999999999999" x14ac:dyDescent="0.25">
      <c r="A229" s="69">
        <f t="shared" si="68"/>
        <v>228</v>
      </c>
      <c r="B229" s="71" t="s">
        <v>590</v>
      </c>
      <c r="C229" s="71" t="s">
        <v>243</v>
      </c>
      <c r="D229" s="71" t="s">
        <v>487</v>
      </c>
      <c r="E229" s="71" t="s">
        <v>461</v>
      </c>
      <c r="F229" s="71" t="s">
        <v>488</v>
      </c>
      <c r="G229" s="71" t="s">
        <v>591</v>
      </c>
      <c r="H229" s="71" t="s">
        <v>592</v>
      </c>
      <c r="I229" s="71" t="str">
        <f>VLOOKUP(H229,[1]Sheet1!$C:$C,1,0)</f>
        <v>SC4689SA-Q-DF-40CK-4689</v>
      </c>
      <c r="J229" s="71"/>
      <c r="K229" s="71"/>
      <c r="L229" s="71" t="s">
        <v>593</v>
      </c>
      <c r="M229" s="85"/>
      <c r="N229" s="85"/>
      <c r="O229" s="85"/>
      <c r="P229" s="85"/>
      <c r="Q229" s="85"/>
      <c r="R229" s="100">
        <v>2.7</v>
      </c>
      <c r="S229" s="75">
        <f t="shared" si="78"/>
        <v>121500.00000000001</v>
      </c>
      <c r="T229" s="76">
        <v>265950</v>
      </c>
      <c r="U229" s="76">
        <f t="shared" si="72"/>
        <v>45000</v>
      </c>
      <c r="V229" s="85"/>
      <c r="W229" s="85"/>
      <c r="X229" s="85"/>
      <c r="Y229" s="85"/>
      <c r="Z229" s="80">
        <v>8000</v>
      </c>
      <c r="AA229" s="80">
        <v>8000</v>
      </c>
      <c r="AB229" s="80">
        <v>12500</v>
      </c>
      <c r="AC229" s="80">
        <v>12500</v>
      </c>
      <c r="AD229" s="77">
        <v>12500</v>
      </c>
      <c r="AE229" s="75">
        <v>15000</v>
      </c>
      <c r="AF229" s="75">
        <v>15000</v>
      </c>
      <c r="AG229" s="75">
        <v>15000</v>
      </c>
      <c r="AH229" s="75">
        <v>15000</v>
      </c>
      <c r="AI229" s="75">
        <v>12000</v>
      </c>
      <c r="AJ229" s="75">
        <v>12000</v>
      </c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 t="s">
        <v>494</v>
      </c>
      <c r="AY229" s="19" t="s">
        <v>371</v>
      </c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>
        <f t="shared" si="83"/>
        <v>21600</v>
      </c>
      <c r="BQ229" s="16">
        <f t="shared" si="79"/>
        <v>21600</v>
      </c>
      <c r="BR229" s="16">
        <f t="shared" si="80"/>
        <v>33750</v>
      </c>
      <c r="BS229" s="16">
        <f t="shared" si="81"/>
        <v>33750</v>
      </c>
      <c r="BT229" s="17">
        <f t="shared" si="82"/>
        <v>33750</v>
      </c>
      <c r="BU229" s="28">
        <f t="shared" si="73"/>
        <v>40500</v>
      </c>
      <c r="BV229" s="28">
        <f t="shared" si="74"/>
        <v>40500</v>
      </c>
      <c r="BW229" s="28">
        <f t="shared" si="75"/>
        <v>40500</v>
      </c>
    </row>
    <row r="230" spans="1:75" ht="17.399999999999999" x14ac:dyDescent="0.25">
      <c r="A230" s="69">
        <f t="shared" si="68"/>
        <v>229</v>
      </c>
      <c r="B230" s="71" t="s">
        <v>594</v>
      </c>
      <c r="C230" s="71" t="s">
        <v>243</v>
      </c>
      <c r="D230" s="71" t="s">
        <v>487</v>
      </c>
      <c r="E230" s="71" t="s">
        <v>461</v>
      </c>
      <c r="F230" s="71" t="s">
        <v>488</v>
      </c>
      <c r="G230" s="71" t="s">
        <v>595</v>
      </c>
      <c r="H230" s="71" t="s">
        <v>596</v>
      </c>
      <c r="I230" s="71" t="str">
        <f>VLOOKUP(H230,[1]Sheet1!$C:$C,1,0)</f>
        <v>SC9648TS-AI-10AR-9648</v>
      </c>
      <c r="J230" s="71"/>
      <c r="K230" s="71"/>
      <c r="L230" s="71" t="s">
        <v>448</v>
      </c>
      <c r="M230" s="85"/>
      <c r="N230" s="85"/>
      <c r="O230" s="85"/>
      <c r="P230" s="85"/>
      <c r="Q230" s="85"/>
      <c r="R230" s="105">
        <v>1.35</v>
      </c>
      <c r="S230" s="75">
        <f t="shared" si="78"/>
        <v>0</v>
      </c>
      <c r="T230" s="76">
        <v>1040000</v>
      </c>
      <c r="U230" s="76">
        <f t="shared" si="72"/>
        <v>0</v>
      </c>
      <c r="V230" s="85"/>
      <c r="W230" s="85"/>
      <c r="X230" s="85"/>
      <c r="Y230" s="85"/>
      <c r="Z230" s="80">
        <v>100000</v>
      </c>
      <c r="AA230" s="80">
        <v>100000</v>
      </c>
      <c r="AB230" s="80">
        <v>100000</v>
      </c>
      <c r="AC230" s="80"/>
      <c r="AD230" s="77"/>
      <c r="AE230" s="75"/>
      <c r="AF230" s="75"/>
      <c r="AG230" s="75"/>
      <c r="AH230" s="75">
        <v>0</v>
      </c>
      <c r="AI230" s="75"/>
      <c r="AJ230" s="75">
        <v>0</v>
      </c>
      <c r="AK230" s="27"/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 t="s">
        <v>494</v>
      </c>
      <c r="AY230" s="19" t="s">
        <v>386</v>
      </c>
      <c r="AZ230" s="27"/>
      <c r="BA230" s="27"/>
      <c r="BB230" s="27"/>
      <c r="BC230" s="27"/>
      <c r="BD230" s="27"/>
      <c r="BE230" s="27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>
        <f t="shared" si="83"/>
        <v>135000</v>
      </c>
      <c r="BQ230" s="27">
        <f t="shared" si="79"/>
        <v>135000</v>
      </c>
      <c r="BR230" s="27">
        <f t="shared" si="80"/>
        <v>135000</v>
      </c>
      <c r="BS230" s="27">
        <f t="shared" si="81"/>
        <v>0</v>
      </c>
      <c r="BT230" s="28">
        <f t="shared" si="82"/>
        <v>0</v>
      </c>
      <c r="BU230" s="28">
        <f t="shared" si="73"/>
        <v>0</v>
      </c>
      <c r="BV230" s="28">
        <f t="shared" si="74"/>
        <v>0</v>
      </c>
      <c r="BW230" s="28">
        <f t="shared" si="75"/>
        <v>0</v>
      </c>
    </row>
    <row r="231" spans="1:75" ht="17.399999999999999" x14ac:dyDescent="0.25">
      <c r="A231" s="69">
        <f t="shared" si="68"/>
        <v>230</v>
      </c>
      <c r="B231" s="71" t="s">
        <v>597</v>
      </c>
      <c r="C231" s="71" t="s">
        <v>235</v>
      </c>
      <c r="D231" s="71" t="s">
        <v>487</v>
      </c>
      <c r="E231" s="71" t="s">
        <v>1881</v>
      </c>
      <c r="F231" s="71" t="s">
        <v>488</v>
      </c>
      <c r="G231" s="78" t="s">
        <v>222</v>
      </c>
      <c r="H231" s="71" t="s">
        <v>388</v>
      </c>
      <c r="I231" s="71" t="str">
        <f>VLOOKUP(H231,[1]Sheet1!$C:$C,1,0)</f>
        <v>SC9625VB-CE-00CK-9625L</v>
      </c>
      <c r="J231" s="71"/>
      <c r="K231" s="71"/>
      <c r="L231" s="71" t="s">
        <v>439</v>
      </c>
      <c r="M231" s="85"/>
      <c r="N231" s="85"/>
      <c r="O231" s="85"/>
      <c r="P231" s="85"/>
      <c r="Q231" s="85"/>
      <c r="R231" s="100">
        <v>1.7</v>
      </c>
      <c r="S231" s="75">
        <f t="shared" si="78"/>
        <v>153000</v>
      </c>
      <c r="T231" s="76">
        <v>1156000</v>
      </c>
      <c r="U231" s="76">
        <f t="shared" si="72"/>
        <v>90000</v>
      </c>
      <c r="V231" s="85"/>
      <c r="W231" s="85"/>
      <c r="X231" s="85"/>
      <c r="Y231" s="85"/>
      <c r="Z231" s="80">
        <v>85000</v>
      </c>
      <c r="AA231" s="80">
        <v>85000</v>
      </c>
      <c r="AB231" s="80">
        <v>85000</v>
      </c>
      <c r="AC231" s="80">
        <v>85000</v>
      </c>
      <c r="AD231" s="77">
        <v>85000</v>
      </c>
      <c r="AE231" s="75">
        <v>30000</v>
      </c>
      <c r="AF231" s="75">
        <v>30000</v>
      </c>
      <c r="AG231" s="75">
        <v>30000</v>
      </c>
      <c r="AH231" s="75">
        <v>30000</v>
      </c>
      <c r="AI231" s="75">
        <v>30000</v>
      </c>
      <c r="AJ231" s="75">
        <v>30000</v>
      </c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 t="s">
        <v>494</v>
      </c>
      <c r="AY231" s="19" t="s">
        <v>386</v>
      </c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>
        <f t="shared" si="83"/>
        <v>144500</v>
      </c>
      <c r="BQ231" s="16">
        <f t="shared" si="79"/>
        <v>144500</v>
      </c>
      <c r="BR231" s="16">
        <f t="shared" si="80"/>
        <v>144500</v>
      </c>
      <c r="BS231" s="16">
        <f t="shared" si="81"/>
        <v>144500</v>
      </c>
      <c r="BT231" s="17">
        <f t="shared" si="82"/>
        <v>144500</v>
      </c>
      <c r="BU231" s="28">
        <f t="shared" si="73"/>
        <v>51000</v>
      </c>
      <c r="BV231" s="28">
        <f t="shared" si="74"/>
        <v>51000</v>
      </c>
      <c r="BW231" s="28">
        <f t="shared" si="75"/>
        <v>51000</v>
      </c>
    </row>
    <row r="232" spans="1:75" ht="17.399999999999999" x14ac:dyDescent="0.25">
      <c r="A232" s="69">
        <f t="shared" si="68"/>
        <v>231</v>
      </c>
      <c r="B232" s="71" t="s">
        <v>598</v>
      </c>
      <c r="C232" s="71" t="s">
        <v>243</v>
      </c>
      <c r="D232" s="71" t="s">
        <v>487</v>
      </c>
      <c r="E232" s="71" t="s">
        <v>461</v>
      </c>
      <c r="F232" s="71" t="s">
        <v>488</v>
      </c>
      <c r="G232" s="71" t="s">
        <v>595</v>
      </c>
      <c r="H232" s="71" t="s">
        <v>596</v>
      </c>
      <c r="I232" s="71" t="str">
        <f>VLOOKUP(H232,[1]Sheet1!$C:$C,1,0)</f>
        <v>SC9648TS-AI-10AR-9648</v>
      </c>
      <c r="J232" s="71"/>
      <c r="K232" s="71"/>
      <c r="L232" s="71" t="s">
        <v>448</v>
      </c>
      <c r="M232" s="85"/>
      <c r="N232" s="85"/>
      <c r="O232" s="85"/>
      <c r="P232" s="85"/>
      <c r="Q232" s="85"/>
      <c r="R232" s="105">
        <v>1.35</v>
      </c>
      <c r="S232" s="75">
        <f t="shared" si="78"/>
        <v>243000.00000000003</v>
      </c>
      <c r="T232" s="76">
        <v>1300000</v>
      </c>
      <c r="U232" s="76">
        <f t="shared" si="72"/>
        <v>180000</v>
      </c>
      <c r="V232" s="85"/>
      <c r="W232" s="85"/>
      <c r="X232" s="85"/>
      <c r="Y232" s="85"/>
      <c r="Z232" s="80">
        <v>125000</v>
      </c>
      <c r="AA232" s="80">
        <v>125000</v>
      </c>
      <c r="AB232" s="80">
        <v>125000</v>
      </c>
      <c r="AC232" s="80"/>
      <c r="AD232" s="77"/>
      <c r="AE232" s="75">
        <v>60000</v>
      </c>
      <c r="AF232" s="75">
        <v>60000</v>
      </c>
      <c r="AG232" s="75">
        <v>60000</v>
      </c>
      <c r="AH232" s="75">
        <v>60000</v>
      </c>
      <c r="AI232" s="75">
        <v>60000</v>
      </c>
      <c r="AJ232" s="75">
        <v>60000</v>
      </c>
      <c r="AK232" s="27"/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 t="s">
        <v>494</v>
      </c>
      <c r="AY232" s="19" t="s">
        <v>386</v>
      </c>
      <c r="AZ232" s="27"/>
      <c r="BA232" s="27"/>
      <c r="BB232" s="27"/>
      <c r="BC232" s="27"/>
      <c r="BD232" s="27"/>
      <c r="BE232" s="27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>
        <f t="shared" si="83"/>
        <v>168750</v>
      </c>
      <c r="BQ232" s="27">
        <f t="shared" si="79"/>
        <v>168750</v>
      </c>
      <c r="BR232" s="27">
        <f t="shared" si="80"/>
        <v>168750</v>
      </c>
      <c r="BS232" s="27">
        <f t="shared" si="81"/>
        <v>0</v>
      </c>
      <c r="BT232" s="28">
        <f t="shared" si="82"/>
        <v>0</v>
      </c>
      <c r="BU232" s="28">
        <f t="shared" si="73"/>
        <v>81000</v>
      </c>
      <c r="BV232" s="28">
        <f t="shared" si="74"/>
        <v>81000</v>
      </c>
      <c r="BW232" s="28">
        <f t="shared" si="75"/>
        <v>81000</v>
      </c>
    </row>
    <row r="233" spans="1:75" ht="17.399999999999999" x14ac:dyDescent="0.25">
      <c r="A233" s="69">
        <f t="shared" ref="A233:A296" si="84">ROW()-1</f>
        <v>232</v>
      </c>
      <c r="B233" s="70" t="s">
        <v>1079</v>
      </c>
      <c r="C233" s="71" t="s">
        <v>243</v>
      </c>
      <c r="D233" s="71" t="s">
        <v>549</v>
      </c>
      <c r="E233" s="71" t="s">
        <v>1070</v>
      </c>
      <c r="F233" s="71"/>
      <c r="G233" s="71" t="s">
        <v>1080</v>
      </c>
      <c r="H233" s="71" t="s">
        <v>1081</v>
      </c>
      <c r="I233" s="71" t="str">
        <f>VLOOKUP(H233,[1]Sheet1!$C:$C,1,0)</f>
        <v>SC4616BU-4616</v>
      </c>
      <c r="J233" s="87"/>
      <c r="K233" s="87"/>
      <c r="L233" s="71"/>
      <c r="M233" s="71" t="s">
        <v>1082</v>
      </c>
      <c r="N233" s="72">
        <v>20000000</v>
      </c>
      <c r="O233" s="73" t="s">
        <v>1083</v>
      </c>
      <c r="P233" s="71" t="s">
        <v>95</v>
      </c>
      <c r="Q233" s="74" t="s">
        <v>95</v>
      </c>
      <c r="R233" s="100">
        <v>0.54</v>
      </c>
      <c r="S233" s="75">
        <f t="shared" si="78"/>
        <v>0</v>
      </c>
      <c r="T233" s="76">
        <v>1517400</v>
      </c>
      <c r="U233" s="76">
        <f t="shared" si="72"/>
        <v>0</v>
      </c>
      <c r="V233" s="72">
        <v>0</v>
      </c>
      <c r="W233" s="72">
        <v>0</v>
      </c>
      <c r="X233" s="72">
        <v>10000</v>
      </c>
      <c r="Y233" s="72">
        <v>10000</v>
      </c>
      <c r="Z233" s="72">
        <v>10000</v>
      </c>
      <c r="AA233" s="72">
        <v>400000</v>
      </c>
      <c r="AB233" s="72"/>
      <c r="AC233" s="72"/>
      <c r="AD233" s="77"/>
      <c r="AE233" s="75"/>
      <c r="AF233" s="75"/>
      <c r="AG233" s="75"/>
      <c r="AH233" s="75"/>
      <c r="AI233" s="75">
        <v>0</v>
      </c>
      <c r="AJ233" s="75">
        <v>0</v>
      </c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0" t="s">
        <v>1074</v>
      </c>
      <c r="AX233" s="10" t="s">
        <v>85</v>
      </c>
      <c r="AY233" s="19" t="s">
        <v>247</v>
      </c>
      <c r="AZ233" s="9" t="s">
        <v>167</v>
      </c>
      <c r="BA233" s="10" t="s">
        <v>1084</v>
      </c>
      <c r="BB233" s="10"/>
      <c r="BC233" s="10"/>
      <c r="BD233" s="10" t="s">
        <v>1085</v>
      </c>
      <c r="BE233" s="10"/>
      <c r="BF233" s="10" t="s">
        <v>1073</v>
      </c>
      <c r="BG233" s="13">
        <v>192</v>
      </c>
      <c r="BH233" s="14"/>
      <c r="BI233" s="14">
        <v>45165</v>
      </c>
      <c r="BJ233" s="14">
        <v>45187</v>
      </c>
      <c r="BK233" s="14">
        <v>45240</v>
      </c>
      <c r="BL233" s="14">
        <v>45290</v>
      </c>
      <c r="BM233" s="14">
        <v>45473</v>
      </c>
      <c r="BN233" s="15">
        <v>1</v>
      </c>
      <c r="BO233" s="16"/>
      <c r="BP233" s="16">
        <f t="shared" si="83"/>
        <v>5400</v>
      </c>
      <c r="BQ233" s="16">
        <f t="shared" si="79"/>
        <v>216000</v>
      </c>
      <c r="BR233" s="16">
        <f t="shared" si="80"/>
        <v>0</v>
      </c>
      <c r="BS233" s="16">
        <f t="shared" si="81"/>
        <v>0</v>
      </c>
      <c r="BT233" s="17">
        <f t="shared" si="82"/>
        <v>0</v>
      </c>
      <c r="BU233" s="28">
        <f t="shared" si="73"/>
        <v>0</v>
      </c>
      <c r="BV233" s="28">
        <f t="shared" si="74"/>
        <v>0</v>
      </c>
      <c r="BW233" s="28">
        <f t="shared" si="75"/>
        <v>0</v>
      </c>
    </row>
    <row r="234" spans="1:75" ht="17.399999999999999" x14ac:dyDescent="0.25">
      <c r="A234" s="69">
        <f t="shared" si="84"/>
        <v>233</v>
      </c>
      <c r="B234" s="87" t="s">
        <v>1889</v>
      </c>
      <c r="C234" s="71" t="s">
        <v>290</v>
      </c>
      <c r="D234" s="71" t="s">
        <v>487</v>
      </c>
      <c r="E234" s="87" t="s">
        <v>461</v>
      </c>
      <c r="F234" s="73"/>
      <c r="G234" s="71" t="s">
        <v>525</v>
      </c>
      <c r="H234" s="71" t="s">
        <v>1136</v>
      </c>
      <c r="I234" s="71" t="str">
        <f>VLOOKUP(H234,[1]Sheet1!$C:$C,1,0)</f>
        <v>SC2442SO-N-Q-CP-10CR-2662</v>
      </c>
      <c r="J234" s="87"/>
      <c r="K234" s="87"/>
      <c r="L234" s="71"/>
      <c r="M234" s="73" t="s">
        <v>1137</v>
      </c>
      <c r="N234" s="72" t="s">
        <v>1121</v>
      </c>
      <c r="O234" s="73" t="s">
        <v>1138</v>
      </c>
      <c r="P234" s="71" t="s">
        <v>95</v>
      </c>
      <c r="Q234" s="74" t="s">
        <v>1073</v>
      </c>
      <c r="R234" s="100">
        <v>0.25</v>
      </c>
      <c r="S234" s="75">
        <f t="shared" si="78"/>
        <v>67500</v>
      </c>
      <c r="T234" s="76">
        <v>175000</v>
      </c>
      <c r="U234" s="76">
        <f t="shared" si="72"/>
        <v>270000</v>
      </c>
      <c r="V234" s="72">
        <v>0</v>
      </c>
      <c r="W234" s="72">
        <v>0</v>
      </c>
      <c r="X234" s="72">
        <v>0</v>
      </c>
      <c r="Y234" s="72">
        <v>0</v>
      </c>
      <c r="Z234" s="72">
        <v>0</v>
      </c>
      <c r="AA234" s="72">
        <v>212000</v>
      </c>
      <c r="AB234" s="72">
        <v>242000</v>
      </c>
      <c r="AC234" s="72">
        <v>212000</v>
      </c>
      <c r="AD234" s="77">
        <v>212000</v>
      </c>
      <c r="AE234" s="75">
        <v>90000</v>
      </c>
      <c r="AF234" s="75">
        <v>90000</v>
      </c>
      <c r="AG234" s="75">
        <v>90000</v>
      </c>
      <c r="AH234" s="75">
        <v>90000</v>
      </c>
      <c r="AI234" s="75">
        <v>60000</v>
      </c>
      <c r="AJ234" s="75">
        <v>60000</v>
      </c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0" t="s">
        <v>1074</v>
      </c>
      <c r="AX234" s="10" t="s">
        <v>85</v>
      </c>
      <c r="AY234" s="19" t="s">
        <v>261</v>
      </c>
      <c r="AZ234" s="9" t="s">
        <v>167</v>
      </c>
      <c r="BA234" s="9" t="s">
        <v>1139</v>
      </c>
      <c r="BB234" s="9" t="s">
        <v>347</v>
      </c>
      <c r="BC234" s="10" t="s">
        <v>1134</v>
      </c>
      <c r="BD234" s="10" t="s">
        <v>1135</v>
      </c>
      <c r="BE234" s="10"/>
      <c r="BF234" s="10"/>
      <c r="BG234" s="13">
        <v>3</v>
      </c>
      <c r="BH234" s="14"/>
      <c r="BI234" s="14"/>
      <c r="BJ234" s="14"/>
      <c r="BK234" s="14"/>
      <c r="BL234" s="14"/>
      <c r="BM234" s="14"/>
      <c r="BN234" s="15" t="s">
        <v>504</v>
      </c>
      <c r="BO234" s="16"/>
      <c r="BP234" s="16">
        <f t="shared" si="83"/>
        <v>0</v>
      </c>
      <c r="BQ234" s="16">
        <f t="shared" si="79"/>
        <v>53000</v>
      </c>
      <c r="BR234" s="16">
        <f t="shared" si="80"/>
        <v>60500</v>
      </c>
      <c r="BS234" s="16">
        <f t="shared" si="81"/>
        <v>53000</v>
      </c>
      <c r="BT234" s="17">
        <f t="shared" si="82"/>
        <v>53000</v>
      </c>
      <c r="BU234" s="28">
        <f t="shared" si="73"/>
        <v>22500</v>
      </c>
      <c r="BV234" s="28">
        <f t="shared" si="74"/>
        <v>22500</v>
      </c>
      <c r="BW234" s="28">
        <f t="shared" si="75"/>
        <v>22500</v>
      </c>
    </row>
    <row r="235" spans="1:75" ht="17.399999999999999" x14ac:dyDescent="0.25">
      <c r="A235" s="69">
        <f t="shared" si="84"/>
        <v>234</v>
      </c>
      <c r="B235" s="73" t="s">
        <v>1789</v>
      </c>
      <c r="C235" s="73" t="s">
        <v>149</v>
      </c>
      <c r="D235" s="73" t="s">
        <v>460</v>
      </c>
      <c r="E235" s="73" t="s">
        <v>461</v>
      </c>
      <c r="F235" s="73" t="s">
        <v>462</v>
      </c>
      <c r="G235" s="78" t="s">
        <v>263</v>
      </c>
      <c r="H235" s="71" t="s">
        <v>264</v>
      </c>
      <c r="I235" s="71" t="str">
        <f>VLOOKUP(H235,[1]Sheet1!$C:$C,1,0)</f>
        <v>SC2442SO-Q-DB-60CR-2442</v>
      </c>
      <c r="J235" s="78"/>
      <c r="K235" s="78"/>
      <c r="L235" s="97" t="s">
        <v>1756</v>
      </c>
      <c r="M235" s="72"/>
      <c r="N235" s="78" t="s">
        <v>110</v>
      </c>
      <c r="O235" s="96" t="s">
        <v>1915</v>
      </c>
      <c r="P235" s="72"/>
      <c r="Q235" s="72"/>
      <c r="R235" s="100">
        <v>0.37</v>
      </c>
      <c r="S235" s="75">
        <f t="shared" si="78"/>
        <v>0</v>
      </c>
      <c r="T235" s="76"/>
      <c r="U235" s="76">
        <f t="shared" si="72"/>
        <v>0</v>
      </c>
      <c r="V235" s="72"/>
      <c r="W235" s="72"/>
      <c r="X235" s="72"/>
      <c r="Y235" s="72"/>
      <c r="Z235" s="72"/>
      <c r="AA235" s="72">
        <v>8000</v>
      </c>
      <c r="AB235" s="72">
        <v>8000</v>
      </c>
      <c r="AC235" s="72">
        <v>6000</v>
      </c>
      <c r="AD235" s="77">
        <v>0</v>
      </c>
      <c r="AE235" s="75">
        <v>0</v>
      </c>
      <c r="AF235" s="75">
        <v>0</v>
      </c>
      <c r="AG235" s="75">
        <v>0</v>
      </c>
      <c r="AH235" s="75">
        <v>3000</v>
      </c>
      <c r="AI235" s="75">
        <v>3000</v>
      </c>
      <c r="AJ235" s="75">
        <v>3000</v>
      </c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19" t="s">
        <v>85</v>
      </c>
      <c r="AY235" s="19" t="s">
        <v>261</v>
      </c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  <c r="BM235" s="22"/>
      <c r="BN235" s="22"/>
      <c r="BO235" s="22"/>
      <c r="BP235" s="27"/>
      <c r="BQ235" s="27">
        <f t="shared" si="79"/>
        <v>2960</v>
      </c>
      <c r="BR235" s="27">
        <f t="shared" si="80"/>
        <v>2960</v>
      </c>
      <c r="BS235" s="27">
        <f t="shared" si="81"/>
        <v>2220</v>
      </c>
      <c r="BT235" s="28">
        <f t="shared" si="82"/>
        <v>0</v>
      </c>
      <c r="BU235" s="28">
        <f t="shared" si="73"/>
        <v>0</v>
      </c>
      <c r="BV235" s="28">
        <f t="shared" si="74"/>
        <v>0</v>
      </c>
      <c r="BW235" s="28">
        <f t="shared" si="75"/>
        <v>0</v>
      </c>
    </row>
    <row r="236" spans="1:75" ht="17.399999999999999" x14ac:dyDescent="0.25">
      <c r="A236" s="69">
        <f t="shared" si="84"/>
        <v>235</v>
      </c>
      <c r="B236" s="71" t="s">
        <v>597</v>
      </c>
      <c r="C236" s="71" t="s">
        <v>235</v>
      </c>
      <c r="D236" s="71" t="s">
        <v>487</v>
      </c>
      <c r="E236" s="71" t="s">
        <v>1881</v>
      </c>
      <c r="F236" s="71" t="s">
        <v>488</v>
      </c>
      <c r="G236" s="71" t="s">
        <v>1236</v>
      </c>
      <c r="H236" s="71" t="s">
        <v>1759</v>
      </c>
      <c r="I236" s="71" t="str">
        <f>VLOOKUP(H236,[1]Sheet1!$C:$C,1,0)</f>
        <v>SC9632VB-CE-00CK-9632</v>
      </c>
      <c r="J236" s="71"/>
      <c r="K236" s="71"/>
      <c r="L236" s="71"/>
      <c r="M236" s="85"/>
      <c r="N236" s="85"/>
      <c r="O236" s="85"/>
      <c r="P236" s="85"/>
      <c r="Q236" s="85"/>
      <c r="R236" s="100">
        <v>6.5</v>
      </c>
      <c r="S236" s="75">
        <f t="shared" si="78"/>
        <v>0</v>
      </c>
      <c r="T236" s="76"/>
      <c r="U236" s="76">
        <f t="shared" si="72"/>
        <v>0</v>
      </c>
      <c r="V236" s="85"/>
      <c r="W236" s="85"/>
      <c r="X236" s="85"/>
      <c r="Y236" s="85"/>
      <c r="Z236" s="72"/>
      <c r="AA236" s="72">
        <v>10000</v>
      </c>
      <c r="AB236" s="72"/>
      <c r="AC236" s="72">
        <v>10000</v>
      </c>
      <c r="AD236" s="77"/>
      <c r="AE236" s="75"/>
      <c r="AF236" s="75"/>
      <c r="AG236" s="106"/>
      <c r="AH236" s="75">
        <v>0</v>
      </c>
      <c r="AI236" s="75"/>
      <c r="AJ236" s="75">
        <v>0</v>
      </c>
      <c r="AK236" s="27"/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 t="s">
        <v>494</v>
      </c>
      <c r="AY236" s="19" t="s">
        <v>386</v>
      </c>
      <c r="AZ236" s="27"/>
      <c r="BA236" s="27"/>
      <c r="BB236" s="27"/>
      <c r="BC236" s="27"/>
      <c r="BD236" s="27"/>
      <c r="BE236" s="27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>
        <f t="shared" si="79"/>
        <v>65000</v>
      </c>
      <c r="BR236" s="27">
        <f t="shared" si="80"/>
        <v>0</v>
      </c>
      <c r="BS236" s="27">
        <f t="shared" si="81"/>
        <v>65000</v>
      </c>
      <c r="BT236" s="28">
        <f t="shared" si="82"/>
        <v>0</v>
      </c>
      <c r="BU236" s="28">
        <f t="shared" si="73"/>
        <v>0</v>
      </c>
      <c r="BV236" s="28">
        <f t="shared" si="74"/>
        <v>0</v>
      </c>
      <c r="BW236" s="28">
        <f t="shared" si="75"/>
        <v>0</v>
      </c>
    </row>
    <row r="237" spans="1:75" ht="17.399999999999999" x14ac:dyDescent="0.25">
      <c r="A237" s="69">
        <f t="shared" si="84"/>
        <v>236</v>
      </c>
      <c r="B237" s="73" t="s">
        <v>576</v>
      </c>
      <c r="C237" s="71" t="s">
        <v>243</v>
      </c>
      <c r="D237" s="71" t="s">
        <v>487</v>
      </c>
      <c r="E237" s="71" t="s">
        <v>461</v>
      </c>
      <c r="F237" s="71" t="s">
        <v>488</v>
      </c>
      <c r="G237" s="71" t="s">
        <v>1778</v>
      </c>
      <c r="H237" s="71" t="s">
        <v>1779</v>
      </c>
      <c r="I237" s="71" t="str">
        <f>VLOOKUP(H237,[1]Sheet1!$C:$C,1,0)</f>
        <v>SC2242UA-Q-CH-10AK-2242</v>
      </c>
      <c r="J237" s="71"/>
      <c r="K237" s="71"/>
      <c r="L237" s="73" t="s">
        <v>579</v>
      </c>
      <c r="M237" s="80"/>
      <c r="N237" s="72"/>
      <c r="O237" s="73"/>
      <c r="P237" s="71"/>
      <c r="Q237" s="71"/>
      <c r="R237" s="100">
        <v>0.32</v>
      </c>
      <c r="S237" s="75">
        <f t="shared" si="78"/>
        <v>0</v>
      </c>
      <c r="T237" s="91">
        <v>0</v>
      </c>
      <c r="U237" s="76">
        <f t="shared" si="72"/>
        <v>0</v>
      </c>
      <c r="V237" s="80"/>
      <c r="W237" s="80"/>
      <c r="X237" s="80"/>
      <c r="Y237" s="72"/>
      <c r="Z237" s="72"/>
      <c r="AA237" s="72"/>
      <c r="AB237" s="72"/>
      <c r="AC237" s="72">
        <v>50000</v>
      </c>
      <c r="AD237" s="77">
        <v>50000</v>
      </c>
      <c r="AE237" s="75"/>
      <c r="AF237" s="75"/>
      <c r="AG237" s="75"/>
      <c r="AH237" s="75"/>
      <c r="AI237" s="75"/>
      <c r="AJ237" s="75">
        <v>0</v>
      </c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10"/>
      <c r="AX237" s="10" t="s">
        <v>494</v>
      </c>
      <c r="AY237" s="19" t="s">
        <v>261</v>
      </c>
      <c r="AZ237" s="10"/>
      <c r="BA237" s="10"/>
      <c r="BB237" s="10"/>
      <c r="BC237" s="10"/>
      <c r="BD237" s="10"/>
      <c r="BE237" s="10"/>
      <c r="BF237" s="10"/>
      <c r="BG237" s="13"/>
      <c r="BH237" s="10"/>
      <c r="BI237" s="14"/>
      <c r="BJ237" s="14"/>
      <c r="BK237" s="14"/>
      <c r="BL237" s="14"/>
      <c r="BM237" s="14"/>
      <c r="BN237" s="35"/>
      <c r="BO237" s="11"/>
      <c r="BP237" s="16">
        <f>$R237*Z237</f>
        <v>0</v>
      </c>
      <c r="BQ237" s="16">
        <f t="shared" si="79"/>
        <v>0</v>
      </c>
      <c r="BR237" s="16">
        <f t="shared" si="80"/>
        <v>0</v>
      </c>
      <c r="BS237" s="16">
        <f t="shared" si="81"/>
        <v>16000</v>
      </c>
      <c r="BT237" s="17">
        <f t="shared" si="82"/>
        <v>16000</v>
      </c>
      <c r="BU237" s="28">
        <f t="shared" si="73"/>
        <v>0</v>
      </c>
      <c r="BV237" s="28">
        <f t="shared" si="74"/>
        <v>0</v>
      </c>
      <c r="BW237" s="28">
        <f t="shared" si="75"/>
        <v>0</v>
      </c>
    </row>
    <row r="238" spans="1:75" ht="17.399999999999999" x14ac:dyDescent="0.25">
      <c r="A238" s="69">
        <f t="shared" si="84"/>
        <v>237</v>
      </c>
      <c r="B238" s="73" t="s">
        <v>1781</v>
      </c>
      <c r="C238" s="71" t="s">
        <v>243</v>
      </c>
      <c r="D238" s="71" t="s">
        <v>487</v>
      </c>
      <c r="E238" s="71" t="s">
        <v>461</v>
      </c>
      <c r="F238" s="71"/>
      <c r="G238" s="71" t="s">
        <v>616</v>
      </c>
      <c r="H238" s="71" t="s">
        <v>1782</v>
      </c>
      <c r="I238" s="71" t="str">
        <f>VLOOKUP(H238,[1]Sheet1!$C:$C,1,0)</f>
        <v>SC1134UA-CI-00AK-1134</v>
      </c>
      <c r="J238" s="71"/>
      <c r="K238" s="71"/>
      <c r="L238" s="73" t="s">
        <v>1783</v>
      </c>
      <c r="M238" s="80"/>
      <c r="N238" s="72"/>
      <c r="O238" s="73"/>
      <c r="P238" s="71"/>
      <c r="Q238" s="71"/>
      <c r="R238" s="100">
        <v>0.32</v>
      </c>
      <c r="S238" s="75">
        <f t="shared" si="78"/>
        <v>19200</v>
      </c>
      <c r="T238" s="91"/>
      <c r="U238" s="76">
        <f t="shared" si="72"/>
        <v>60000</v>
      </c>
      <c r="V238" s="80"/>
      <c r="W238" s="80"/>
      <c r="X238" s="80"/>
      <c r="Y238" s="72"/>
      <c r="Z238" s="72"/>
      <c r="AA238" s="72"/>
      <c r="AB238" s="72"/>
      <c r="AC238" s="72">
        <v>40000</v>
      </c>
      <c r="AD238" s="77"/>
      <c r="AE238" s="75">
        <v>20000</v>
      </c>
      <c r="AF238" s="75">
        <v>20000</v>
      </c>
      <c r="AG238" s="75">
        <v>20000</v>
      </c>
      <c r="AH238" s="75">
        <v>20000</v>
      </c>
      <c r="AI238" s="75">
        <v>20000</v>
      </c>
      <c r="AJ238" s="75">
        <v>20000</v>
      </c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10"/>
      <c r="AX238" s="10" t="s">
        <v>494</v>
      </c>
      <c r="AY238" s="19" t="s">
        <v>261</v>
      </c>
      <c r="AZ238" s="10"/>
      <c r="BA238" s="10"/>
      <c r="BB238" s="10"/>
      <c r="BC238" s="10"/>
      <c r="BD238" s="10"/>
      <c r="BE238" s="10"/>
      <c r="BF238" s="10"/>
      <c r="BG238" s="13"/>
      <c r="BH238" s="10"/>
      <c r="BI238" s="14"/>
      <c r="BJ238" s="14"/>
      <c r="BK238" s="14"/>
      <c r="BL238" s="14"/>
      <c r="BM238" s="14"/>
      <c r="BN238" s="35"/>
      <c r="BO238" s="11"/>
      <c r="BP238" s="16"/>
      <c r="BQ238" s="16"/>
      <c r="BR238" s="16"/>
      <c r="BS238" s="16">
        <f t="shared" ref="BS238:BT244" si="85">$R238*AC238</f>
        <v>12800</v>
      </c>
      <c r="BT238" s="17">
        <f t="shared" si="85"/>
        <v>0</v>
      </c>
      <c r="BU238" s="28">
        <f t="shared" si="73"/>
        <v>6400</v>
      </c>
      <c r="BV238" s="28">
        <f t="shared" si="74"/>
        <v>6400</v>
      </c>
      <c r="BW238" s="28">
        <f t="shared" si="75"/>
        <v>6400</v>
      </c>
    </row>
    <row r="239" spans="1:75" ht="17.399999999999999" x14ac:dyDescent="0.25">
      <c r="A239" s="69">
        <f t="shared" si="84"/>
        <v>238</v>
      </c>
      <c r="B239" s="73" t="s">
        <v>1784</v>
      </c>
      <c r="C239" s="71" t="s">
        <v>243</v>
      </c>
      <c r="D239" s="71" t="s">
        <v>487</v>
      </c>
      <c r="E239" s="71" t="s">
        <v>461</v>
      </c>
      <c r="F239" s="71"/>
      <c r="G239" s="71" t="s">
        <v>616</v>
      </c>
      <c r="H239" s="71" t="s">
        <v>1782</v>
      </c>
      <c r="I239" s="71" t="str">
        <f>VLOOKUP(H239,[1]Sheet1!$C:$C,1,0)</f>
        <v>SC1134UA-CI-00AK-1134</v>
      </c>
      <c r="J239" s="71"/>
      <c r="K239" s="71"/>
      <c r="L239" s="73" t="s">
        <v>830</v>
      </c>
      <c r="M239" s="80"/>
      <c r="N239" s="72"/>
      <c r="O239" s="73"/>
      <c r="P239" s="71"/>
      <c r="Q239" s="71"/>
      <c r="R239" s="100">
        <v>0.32</v>
      </c>
      <c r="S239" s="75">
        <f t="shared" si="78"/>
        <v>48000</v>
      </c>
      <c r="T239" s="91"/>
      <c r="U239" s="76">
        <f t="shared" si="72"/>
        <v>150000</v>
      </c>
      <c r="V239" s="80"/>
      <c r="W239" s="80"/>
      <c r="X239" s="80"/>
      <c r="Y239" s="72"/>
      <c r="Z239" s="72"/>
      <c r="AA239" s="72"/>
      <c r="AB239" s="72"/>
      <c r="AC239" s="72">
        <v>30000</v>
      </c>
      <c r="AD239" s="77"/>
      <c r="AE239" s="75">
        <v>50000</v>
      </c>
      <c r="AF239" s="75">
        <v>50000</v>
      </c>
      <c r="AG239" s="75">
        <v>50000</v>
      </c>
      <c r="AH239" s="75">
        <v>30000</v>
      </c>
      <c r="AI239" s="75">
        <v>30000</v>
      </c>
      <c r="AJ239" s="75">
        <v>50000</v>
      </c>
      <c r="AK239" s="33"/>
      <c r="AL239" s="33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19"/>
      <c r="AX239" s="19" t="s">
        <v>494</v>
      </c>
      <c r="AY239" s="19" t="s">
        <v>261</v>
      </c>
      <c r="AZ239" s="19"/>
      <c r="BA239" s="19"/>
      <c r="BB239" s="19"/>
      <c r="BC239" s="19"/>
      <c r="BD239" s="19"/>
      <c r="BE239" s="19"/>
      <c r="BF239" s="19"/>
      <c r="BG239" s="24"/>
      <c r="BH239" s="19"/>
      <c r="BI239" s="25"/>
      <c r="BJ239" s="25"/>
      <c r="BK239" s="25"/>
      <c r="BL239" s="25"/>
      <c r="BM239" s="25"/>
      <c r="BN239" s="37"/>
      <c r="BO239" s="21"/>
      <c r="BP239" s="27"/>
      <c r="BQ239" s="27"/>
      <c r="BR239" s="27"/>
      <c r="BS239" s="27">
        <f t="shared" si="85"/>
        <v>9600</v>
      </c>
      <c r="BT239" s="28">
        <f t="shared" si="85"/>
        <v>0</v>
      </c>
      <c r="BU239" s="28">
        <f t="shared" si="73"/>
        <v>16000</v>
      </c>
      <c r="BV239" s="28">
        <f t="shared" si="74"/>
        <v>16000</v>
      </c>
      <c r="BW239" s="28">
        <f t="shared" si="75"/>
        <v>16000</v>
      </c>
    </row>
    <row r="240" spans="1:75" ht="17.399999999999999" x14ac:dyDescent="0.25">
      <c r="A240" s="69">
        <f t="shared" si="84"/>
        <v>239</v>
      </c>
      <c r="B240" s="73" t="s">
        <v>1789</v>
      </c>
      <c r="C240" s="73" t="s">
        <v>149</v>
      </c>
      <c r="D240" s="71" t="s">
        <v>460</v>
      </c>
      <c r="E240" s="71" t="s">
        <v>461</v>
      </c>
      <c r="F240" s="71" t="s">
        <v>462</v>
      </c>
      <c r="G240" s="71" t="s">
        <v>263</v>
      </c>
      <c r="H240" s="71" t="s">
        <v>1309</v>
      </c>
      <c r="I240" s="71" t="str">
        <f>VLOOKUP(H240,[1]Sheet1!$C:$C,1,0)</f>
        <v>SC2442SO-Q-DB-60CR-2442</v>
      </c>
      <c r="J240" s="71"/>
      <c r="K240" s="71"/>
      <c r="L240" s="73" t="s">
        <v>1756</v>
      </c>
      <c r="M240" s="80"/>
      <c r="N240" s="72" t="s">
        <v>367</v>
      </c>
      <c r="O240" s="73" t="s">
        <v>1916</v>
      </c>
      <c r="P240" s="71"/>
      <c r="Q240" s="71"/>
      <c r="R240" s="100">
        <v>0.37</v>
      </c>
      <c r="S240" s="75">
        <f t="shared" si="78"/>
        <v>0</v>
      </c>
      <c r="T240" s="91"/>
      <c r="U240" s="76">
        <f t="shared" si="72"/>
        <v>0</v>
      </c>
      <c r="V240" s="80"/>
      <c r="W240" s="80"/>
      <c r="X240" s="80"/>
      <c r="Y240" s="72"/>
      <c r="Z240" s="72"/>
      <c r="AA240" s="72">
        <v>8000</v>
      </c>
      <c r="AB240" s="72">
        <v>8000</v>
      </c>
      <c r="AC240" s="72">
        <v>6000</v>
      </c>
      <c r="AD240" s="77">
        <v>0</v>
      </c>
      <c r="AE240" s="75">
        <v>0</v>
      </c>
      <c r="AF240" s="75">
        <v>0</v>
      </c>
      <c r="AG240" s="75">
        <v>0</v>
      </c>
      <c r="AH240" s="75">
        <v>3000</v>
      </c>
      <c r="AI240" s="75">
        <v>3000</v>
      </c>
      <c r="AJ240" s="75">
        <v>3000</v>
      </c>
      <c r="AK240" s="33"/>
      <c r="AL240" s="33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19"/>
      <c r="AX240" s="19" t="s">
        <v>494</v>
      </c>
      <c r="AY240" s="19" t="s">
        <v>261</v>
      </c>
      <c r="AZ240" s="19"/>
      <c r="BA240" s="19"/>
      <c r="BB240" s="19"/>
      <c r="BC240" s="19"/>
      <c r="BD240" s="19"/>
      <c r="BE240" s="19"/>
      <c r="BF240" s="19"/>
      <c r="BG240" s="24"/>
      <c r="BH240" s="19"/>
      <c r="BI240" s="25"/>
      <c r="BJ240" s="25"/>
      <c r="BK240" s="25"/>
      <c r="BL240" s="25"/>
      <c r="BM240" s="25"/>
      <c r="BN240" s="37"/>
      <c r="BO240" s="21"/>
      <c r="BP240" s="27"/>
      <c r="BQ240" s="27">
        <f>$R240*AA240</f>
        <v>2960</v>
      </c>
      <c r="BR240" s="27">
        <f>$R240*AB240</f>
        <v>2960</v>
      </c>
      <c r="BS240" s="27">
        <f t="shared" si="85"/>
        <v>2220</v>
      </c>
      <c r="BT240" s="28">
        <f t="shared" si="85"/>
        <v>0</v>
      </c>
      <c r="BU240" s="28">
        <f t="shared" si="73"/>
        <v>0</v>
      </c>
      <c r="BV240" s="28">
        <f t="shared" si="74"/>
        <v>0</v>
      </c>
      <c r="BW240" s="28">
        <f t="shared" si="75"/>
        <v>0</v>
      </c>
    </row>
    <row r="241" spans="1:75" ht="17.399999999999999" x14ac:dyDescent="0.25">
      <c r="A241" s="69">
        <f t="shared" si="84"/>
        <v>240</v>
      </c>
      <c r="B241" s="73" t="s">
        <v>1790</v>
      </c>
      <c r="C241" s="73" t="s">
        <v>56</v>
      </c>
      <c r="D241" s="71" t="s">
        <v>523</v>
      </c>
      <c r="E241" s="71" t="s">
        <v>461</v>
      </c>
      <c r="F241" s="71" t="s">
        <v>1791</v>
      </c>
      <c r="G241" s="71" t="s">
        <v>263</v>
      </c>
      <c r="H241" s="71" t="s">
        <v>1309</v>
      </c>
      <c r="I241" s="71" t="str">
        <f>VLOOKUP(H241,[1]Sheet1!$C:$C,1,0)</f>
        <v>SC2442SO-Q-DB-60CR-2442</v>
      </c>
      <c r="J241" s="71"/>
      <c r="K241" s="71"/>
      <c r="L241" s="73" t="s">
        <v>1792</v>
      </c>
      <c r="M241" s="80">
        <v>90000</v>
      </c>
      <c r="N241" s="72" t="s">
        <v>361</v>
      </c>
      <c r="O241" s="73" t="s">
        <v>1917</v>
      </c>
      <c r="P241" s="71"/>
      <c r="Q241" s="71"/>
      <c r="R241" s="100">
        <v>0.6</v>
      </c>
      <c r="S241" s="75">
        <f t="shared" si="78"/>
        <v>46800</v>
      </c>
      <c r="T241" s="91">
        <v>23400</v>
      </c>
      <c r="U241" s="76">
        <f t="shared" si="72"/>
        <v>78000</v>
      </c>
      <c r="V241" s="80">
        <v>0</v>
      </c>
      <c r="W241" s="80">
        <v>0</v>
      </c>
      <c r="X241" s="80">
        <v>0</v>
      </c>
      <c r="Y241" s="72">
        <v>0</v>
      </c>
      <c r="Z241" s="72">
        <v>0</v>
      </c>
      <c r="AA241" s="72">
        <v>39000</v>
      </c>
      <c r="AB241" s="72">
        <v>30000</v>
      </c>
      <c r="AC241" s="72">
        <v>0</v>
      </c>
      <c r="AD241" s="77">
        <v>6000</v>
      </c>
      <c r="AE241" s="75">
        <v>27000</v>
      </c>
      <c r="AF241" s="75">
        <v>39000</v>
      </c>
      <c r="AG241" s="75">
        <v>12000</v>
      </c>
      <c r="AH241" s="75">
        <v>0</v>
      </c>
      <c r="AI241" s="75">
        <v>0</v>
      </c>
      <c r="AJ241" s="75">
        <v>0</v>
      </c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10"/>
      <c r="AX241" s="10" t="s">
        <v>494</v>
      </c>
      <c r="AY241" s="19" t="s">
        <v>261</v>
      </c>
      <c r="AZ241" s="10"/>
      <c r="BA241" s="10"/>
      <c r="BB241" s="10"/>
      <c r="BC241" s="10"/>
      <c r="BD241" s="10"/>
      <c r="BE241" s="10"/>
      <c r="BF241" s="10"/>
      <c r="BG241" s="13"/>
      <c r="BH241" s="10"/>
      <c r="BI241" s="14"/>
      <c r="BJ241" s="14"/>
      <c r="BK241" s="14"/>
      <c r="BL241" s="14"/>
      <c r="BM241" s="14"/>
      <c r="BN241" s="35"/>
      <c r="BO241" s="11"/>
      <c r="BP241" s="16"/>
      <c r="BQ241" s="16"/>
      <c r="BR241" s="16"/>
      <c r="BS241" s="16">
        <f t="shared" si="85"/>
        <v>0</v>
      </c>
      <c r="BT241" s="17">
        <f t="shared" si="85"/>
        <v>3600</v>
      </c>
      <c r="BU241" s="28">
        <f t="shared" si="73"/>
        <v>16200</v>
      </c>
      <c r="BV241" s="28">
        <f t="shared" si="74"/>
        <v>23400</v>
      </c>
      <c r="BW241" s="28">
        <f t="shared" si="75"/>
        <v>7200</v>
      </c>
    </row>
    <row r="242" spans="1:75" ht="17.399999999999999" x14ac:dyDescent="0.25">
      <c r="A242" s="69">
        <f t="shared" si="84"/>
        <v>241</v>
      </c>
      <c r="B242" s="73" t="s">
        <v>573</v>
      </c>
      <c r="C242" s="71" t="s">
        <v>106</v>
      </c>
      <c r="D242" s="71" t="s">
        <v>1463</v>
      </c>
      <c r="E242" s="71" t="s">
        <v>461</v>
      </c>
      <c r="F242" s="71" t="s">
        <v>1843</v>
      </c>
      <c r="G242" s="71" t="s">
        <v>574</v>
      </c>
      <c r="H242" s="71" t="s">
        <v>575</v>
      </c>
      <c r="I242" s="71" t="str">
        <f>VLOOKUP(H242,[1]Sheet1!$C:$C,1,0)</f>
        <v>SC2443UA-Q-DB-60AK-2443</v>
      </c>
      <c r="J242" s="71"/>
      <c r="K242" s="71"/>
      <c r="L242" s="73" t="s">
        <v>1844</v>
      </c>
      <c r="M242" s="80"/>
      <c r="N242" s="72" t="s">
        <v>361</v>
      </c>
      <c r="O242" s="69" t="s">
        <v>1845</v>
      </c>
      <c r="P242" s="71"/>
      <c r="Q242" s="71"/>
      <c r="R242" s="100">
        <v>0.4</v>
      </c>
      <c r="S242" s="75">
        <f t="shared" si="78"/>
        <v>36000</v>
      </c>
      <c r="T242" s="91">
        <f>R242*SUM(AH242:AN242)</f>
        <v>36000</v>
      </c>
      <c r="U242" s="76">
        <f t="shared" si="72"/>
        <v>90000</v>
      </c>
      <c r="V242" s="80"/>
      <c r="W242" s="80"/>
      <c r="X242" s="80"/>
      <c r="Y242" s="80"/>
      <c r="Z242" s="80"/>
      <c r="AA242" s="80"/>
      <c r="AB242" s="80">
        <v>10000</v>
      </c>
      <c r="AC242" s="72">
        <v>10000</v>
      </c>
      <c r="AD242" s="77">
        <v>10000</v>
      </c>
      <c r="AE242" s="75">
        <v>30000</v>
      </c>
      <c r="AF242" s="75">
        <v>30000</v>
      </c>
      <c r="AG242" s="75">
        <v>30000</v>
      </c>
      <c r="AH242" s="75">
        <v>30000</v>
      </c>
      <c r="AI242" s="75">
        <v>30000</v>
      </c>
      <c r="AJ242" s="75">
        <v>30000</v>
      </c>
      <c r="AK242" s="33"/>
      <c r="AL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19"/>
      <c r="AX242" s="19" t="s">
        <v>494</v>
      </c>
      <c r="AY242" s="19" t="s">
        <v>261</v>
      </c>
      <c r="AZ242" s="19"/>
      <c r="BA242" s="19"/>
      <c r="BB242" s="19"/>
      <c r="BC242" s="19"/>
      <c r="BD242" s="19"/>
      <c r="BE242" s="19"/>
      <c r="BF242" s="19"/>
      <c r="BG242" s="24"/>
      <c r="BH242" s="19"/>
      <c r="BI242" s="25"/>
      <c r="BJ242" s="25"/>
      <c r="BK242" s="25"/>
      <c r="BL242" s="25"/>
      <c r="BM242" s="25"/>
      <c r="BN242" s="37"/>
      <c r="BO242" s="21"/>
      <c r="BP242" s="27"/>
      <c r="BQ242" s="27"/>
      <c r="BR242" s="27"/>
      <c r="BS242" s="27">
        <f t="shared" si="85"/>
        <v>4000</v>
      </c>
      <c r="BT242" s="28">
        <f t="shared" si="85"/>
        <v>4000</v>
      </c>
      <c r="BU242" s="28">
        <f t="shared" si="73"/>
        <v>12000</v>
      </c>
      <c r="BV242" s="28">
        <f t="shared" si="74"/>
        <v>12000</v>
      </c>
      <c r="BW242" s="28">
        <f t="shared" si="75"/>
        <v>12000</v>
      </c>
    </row>
    <row r="243" spans="1:75" ht="17.399999999999999" x14ac:dyDescent="0.25">
      <c r="A243" s="69">
        <f t="shared" si="84"/>
        <v>242</v>
      </c>
      <c r="B243" s="73" t="s">
        <v>1586</v>
      </c>
      <c r="C243" s="71" t="s">
        <v>243</v>
      </c>
      <c r="D243" s="71" t="s">
        <v>1531</v>
      </c>
      <c r="E243" s="71" t="s">
        <v>1532</v>
      </c>
      <c r="F243" s="71" t="s">
        <v>1551</v>
      </c>
      <c r="G243" s="71" t="s">
        <v>1587</v>
      </c>
      <c r="H243" s="71"/>
      <c r="I243" s="71" t="e">
        <f>VLOOKUP(H243,[1]Sheet1!$C:$C,1,0)</f>
        <v>#N/A</v>
      </c>
      <c r="J243" s="71"/>
      <c r="K243" s="71"/>
      <c r="L243" s="73" t="s">
        <v>1588</v>
      </c>
      <c r="M243" s="80">
        <v>50000</v>
      </c>
      <c r="N243" s="72" t="s">
        <v>367</v>
      </c>
      <c r="O243" s="73"/>
      <c r="P243" s="71" t="s">
        <v>1073</v>
      </c>
      <c r="Q243" s="71"/>
      <c r="R243" s="100">
        <v>2.4</v>
      </c>
      <c r="S243" s="75">
        <f t="shared" si="78"/>
        <v>36000</v>
      </c>
      <c r="T243" s="91">
        <v>0</v>
      </c>
      <c r="U243" s="76">
        <f t="shared" si="72"/>
        <v>15000</v>
      </c>
      <c r="V243" s="80">
        <v>500</v>
      </c>
      <c r="W243" s="80"/>
      <c r="X243" s="80"/>
      <c r="Y243" s="72"/>
      <c r="Z243" s="72">
        <v>3000</v>
      </c>
      <c r="AA243" s="72">
        <v>3000</v>
      </c>
      <c r="AB243" s="72">
        <v>5000</v>
      </c>
      <c r="AC243" s="72"/>
      <c r="AD243" s="77">
        <v>5000</v>
      </c>
      <c r="AE243" s="75">
        <v>5000</v>
      </c>
      <c r="AF243" s="75">
        <v>5000</v>
      </c>
      <c r="AG243" s="75">
        <v>5000</v>
      </c>
      <c r="AH243" s="75">
        <v>5000</v>
      </c>
      <c r="AI243" s="75">
        <v>5000</v>
      </c>
      <c r="AJ243" s="75">
        <v>5000</v>
      </c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10" t="s">
        <v>494</v>
      </c>
      <c r="AX243" s="10" t="s">
        <v>85</v>
      </c>
      <c r="AY243" s="19" t="s">
        <v>247</v>
      </c>
      <c r="AZ243" s="10" t="s">
        <v>167</v>
      </c>
      <c r="BA243" s="10" t="s">
        <v>317</v>
      </c>
      <c r="BB243" s="10" t="s">
        <v>330</v>
      </c>
      <c r="BC243" s="10" t="s">
        <v>1589</v>
      </c>
      <c r="BD243" s="10"/>
      <c r="BE243" s="10"/>
      <c r="BF243" s="10"/>
      <c r="BG243" s="13">
        <v>1</v>
      </c>
      <c r="BH243" s="10">
        <v>45646</v>
      </c>
      <c r="BI243" s="14">
        <v>45432</v>
      </c>
      <c r="BJ243" s="14">
        <v>45432</v>
      </c>
      <c r="BK243" s="14">
        <v>45463</v>
      </c>
      <c r="BL243" s="14">
        <v>45493</v>
      </c>
      <c r="BM243" s="14">
        <v>45585</v>
      </c>
      <c r="BN243" s="35">
        <v>1</v>
      </c>
      <c r="BO243" s="11">
        <v>5</v>
      </c>
      <c r="BP243" s="16">
        <f>$R243*Z243</f>
        <v>7200</v>
      </c>
      <c r="BQ243" s="16">
        <f>$R243*AA243</f>
        <v>7200</v>
      </c>
      <c r="BR243" s="16">
        <f>$R243*AB243</f>
        <v>12000</v>
      </c>
      <c r="BS243" s="16">
        <f t="shared" si="85"/>
        <v>0</v>
      </c>
      <c r="BT243" s="17">
        <f t="shared" si="85"/>
        <v>12000</v>
      </c>
      <c r="BU243" s="28">
        <f t="shared" si="73"/>
        <v>12000</v>
      </c>
      <c r="BV243" s="28">
        <f t="shared" si="74"/>
        <v>12000</v>
      </c>
      <c r="BW243" s="28">
        <f t="shared" si="75"/>
        <v>12000</v>
      </c>
    </row>
    <row r="244" spans="1:75" ht="17.399999999999999" x14ac:dyDescent="0.25">
      <c r="A244" s="69">
        <f t="shared" si="84"/>
        <v>243</v>
      </c>
      <c r="B244" s="71" t="s">
        <v>1848</v>
      </c>
      <c r="C244" s="71" t="s">
        <v>243</v>
      </c>
      <c r="D244" s="71" t="s">
        <v>487</v>
      </c>
      <c r="E244" s="71" t="s">
        <v>461</v>
      </c>
      <c r="F244" s="71"/>
      <c r="G244" s="71" t="s">
        <v>543</v>
      </c>
      <c r="H244" s="71" t="s">
        <v>544</v>
      </c>
      <c r="I244" s="71" t="str">
        <f>VLOOKUP(H244,[1]Sheet1!$C:$C,1,0)</f>
        <v>SC9641TS-PC-Q-AI-10LR-9641PC</v>
      </c>
      <c r="J244" s="71"/>
      <c r="K244" s="71"/>
      <c r="L244" s="71"/>
      <c r="M244" s="85"/>
      <c r="N244" s="85"/>
      <c r="O244" s="85"/>
      <c r="P244" s="85"/>
      <c r="Q244" s="85"/>
      <c r="R244" s="100">
        <v>2.1800000000000002</v>
      </c>
      <c r="S244" s="75"/>
      <c r="T244" s="76"/>
      <c r="U244" s="76">
        <f t="shared" si="72"/>
        <v>90000</v>
      </c>
      <c r="V244" s="85"/>
      <c r="W244" s="85"/>
      <c r="X244" s="85"/>
      <c r="Y244" s="85"/>
      <c r="Z244" s="80"/>
      <c r="AA244" s="80"/>
      <c r="AB244" s="80"/>
      <c r="AC244" s="80"/>
      <c r="AD244" s="77">
        <v>30000</v>
      </c>
      <c r="AE244" s="75">
        <v>30000</v>
      </c>
      <c r="AF244" s="75">
        <v>30000</v>
      </c>
      <c r="AG244" s="75">
        <v>30000</v>
      </c>
      <c r="AH244" s="75">
        <v>30000</v>
      </c>
      <c r="AI244" s="75">
        <v>24000</v>
      </c>
      <c r="AJ244" s="75">
        <v>24000</v>
      </c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 t="s">
        <v>494</v>
      </c>
      <c r="AY244" s="19" t="s">
        <v>386</v>
      </c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>
        <f t="shared" si="85"/>
        <v>0</v>
      </c>
      <c r="BT244" s="17">
        <f t="shared" si="85"/>
        <v>65400.000000000007</v>
      </c>
      <c r="BU244" s="28">
        <f t="shared" si="73"/>
        <v>65400.000000000007</v>
      </c>
      <c r="BV244" s="28">
        <f t="shared" si="74"/>
        <v>65400.000000000007</v>
      </c>
      <c r="BW244" s="28">
        <f t="shared" si="75"/>
        <v>65400.000000000007</v>
      </c>
    </row>
    <row r="245" spans="1:75" ht="17.399999999999999" x14ac:dyDescent="0.25">
      <c r="A245" s="69">
        <f t="shared" si="84"/>
        <v>244</v>
      </c>
      <c r="B245" s="71" t="s">
        <v>1885</v>
      </c>
      <c r="C245" s="71" t="s">
        <v>243</v>
      </c>
      <c r="D245" s="71" t="s">
        <v>559</v>
      </c>
      <c r="E245" s="71" t="s">
        <v>461</v>
      </c>
      <c r="F245" s="71" t="s">
        <v>488</v>
      </c>
      <c r="G245" s="71" t="s">
        <v>525</v>
      </c>
      <c r="H245" s="71" t="s">
        <v>1994</v>
      </c>
      <c r="I245" s="71" t="str">
        <f>VLOOKUP(H245,[1]Sheet1!$C:$C,1,0)</f>
        <v>SC2442SO-N-Q-CP-10CR-2442</v>
      </c>
      <c r="J245" s="71"/>
      <c r="K245" s="85"/>
      <c r="L245" s="85"/>
      <c r="M245" s="85"/>
      <c r="N245" s="85"/>
      <c r="O245" s="85"/>
      <c r="P245" s="74"/>
      <c r="Q245" s="75"/>
      <c r="R245" s="100">
        <v>0.25</v>
      </c>
      <c r="S245" s="76"/>
      <c r="T245" s="85"/>
      <c r="U245" s="76">
        <f t="shared" si="72"/>
        <v>60000</v>
      </c>
      <c r="V245" s="85"/>
      <c r="W245" s="85"/>
      <c r="X245" s="80"/>
      <c r="Y245" s="80"/>
      <c r="Z245" s="80"/>
      <c r="AA245" s="80"/>
      <c r="AB245" s="77"/>
      <c r="AC245" s="77"/>
      <c r="AD245" s="77"/>
      <c r="AE245" s="75">
        <v>15000</v>
      </c>
      <c r="AF245" s="75">
        <v>15000</v>
      </c>
      <c r="AG245" s="75">
        <v>30000</v>
      </c>
      <c r="AH245" s="75">
        <v>30000</v>
      </c>
      <c r="AI245" s="117">
        <v>15000</v>
      </c>
      <c r="AJ245" s="117">
        <v>30000</v>
      </c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9" t="s">
        <v>261</v>
      </c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28">
        <f t="shared" si="73"/>
        <v>3750</v>
      </c>
      <c r="BV245" s="28">
        <f t="shared" si="74"/>
        <v>3750</v>
      </c>
      <c r="BW245" s="28">
        <f t="shared" si="75"/>
        <v>7500</v>
      </c>
    </row>
    <row r="246" spans="1:75" ht="17.399999999999999" x14ac:dyDescent="0.25">
      <c r="A246" s="69">
        <f t="shared" si="84"/>
        <v>245</v>
      </c>
      <c r="B246" s="71" t="s">
        <v>1886</v>
      </c>
      <c r="C246" s="71" t="s">
        <v>243</v>
      </c>
      <c r="D246" s="71" t="s">
        <v>487</v>
      </c>
      <c r="E246" s="71" t="s">
        <v>461</v>
      </c>
      <c r="F246" s="71" t="s">
        <v>488</v>
      </c>
      <c r="G246" s="71" t="s">
        <v>616</v>
      </c>
      <c r="H246" s="71" t="s">
        <v>1782</v>
      </c>
      <c r="I246" s="71" t="str">
        <f>VLOOKUP(H246,[1]Sheet1!$C:$C,1,0)</f>
        <v>SC1134UA-CI-00AK-1134</v>
      </c>
      <c r="J246" s="74"/>
      <c r="K246" s="77"/>
      <c r="L246" s="77"/>
      <c r="M246" s="77"/>
      <c r="N246" s="77"/>
      <c r="O246" s="98"/>
      <c r="P246" s="98"/>
      <c r="Q246" s="98"/>
      <c r="R246" s="100">
        <v>0.32</v>
      </c>
      <c r="S246" s="98"/>
      <c r="T246" s="98"/>
      <c r="U246" s="76">
        <f t="shared" si="72"/>
        <v>60000</v>
      </c>
      <c r="V246" s="98"/>
      <c r="W246" s="98"/>
      <c r="X246" s="98"/>
      <c r="Y246" s="98"/>
      <c r="Z246" s="98"/>
      <c r="AA246" s="98"/>
      <c r="AB246" s="98"/>
      <c r="AC246" s="98"/>
      <c r="AD246" s="98"/>
      <c r="AE246" s="117">
        <v>20000</v>
      </c>
      <c r="AF246" s="117">
        <v>20000</v>
      </c>
      <c r="AG246" s="117">
        <v>20000</v>
      </c>
      <c r="AH246" s="117">
        <v>10000</v>
      </c>
      <c r="AI246" s="117">
        <v>10000</v>
      </c>
      <c r="AJ246" s="117">
        <v>20000</v>
      </c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9" t="s">
        <v>261</v>
      </c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28">
        <f t="shared" si="73"/>
        <v>6400</v>
      </c>
      <c r="BV246" s="28">
        <f t="shared" si="74"/>
        <v>6400</v>
      </c>
      <c r="BW246" s="28">
        <f t="shared" si="75"/>
        <v>6400</v>
      </c>
    </row>
    <row r="247" spans="1:75" ht="17.399999999999999" x14ac:dyDescent="0.25">
      <c r="A247" s="69">
        <f t="shared" si="84"/>
        <v>246</v>
      </c>
      <c r="B247" s="96" t="s">
        <v>1887</v>
      </c>
      <c r="C247" s="99" t="s">
        <v>56</v>
      </c>
      <c r="D247" s="96" t="s">
        <v>189</v>
      </c>
      <c r="E247" s="96" t="s">
        <v>1882</v>
      </c>
      <c r="F247" s="96" t="s">
        <v>1884</v>
      </c>
      <c r="G247" s="93" t="s">
        <v>1888</v>
      </c>
      <c r="H247" s="71" t="s">
        <v>596</v>
      </c>
      <c r="I247" s="71" t="str">
        <f>VLOOKUP(H247,[1]Sheet1!$C:$C,1,0)</f>
        <v>SC9648TS-AI-10AR-9648</v>
      </c>
      <c r="J247" s="98"/>
      <c r="K247" s="98"/>
      <c r="L247" s="98"/>
      <c r="M247" s="98"/>
      <c r="N247" s="98"/>
      <c r="O247" s="98"/>
      <c r="P247" s="98"/>
      <c r="Q247" s="98"/>
      <c r="R247" s="105">
        <v>1.35</v>
      </c>
      <c r="S247" s="98"/>
      <c r="T247" s="98"/>
      <c r="U247" s="76">
        <f t="shared" si="72"/>
        <v>45000</v>
      </c>
      <c r="V247" s="98"/>
      <c r="W247" s="98"/>
      <c r="X247" s="98"/>
      <c r="Y247" s="98"/>
      <c r="Z247" s="98"/>
      <c r="AA247" s="98"/>
      <c r="AB247" s="98"/>
      <c r="AC247" s="98"/>
      <c r="AD247" s="98"/>
      <c r="AE247" s="117">
        <v>15000</v>
      </c>
      <c r="AF247" s="117">
        <v>15000</v>
      </c>
      <c r="AG247" s="117">
        <v>15000</v>
      </c>
      <c r="AH247" s="117">
        <v>15000</v>
      </c>
      <c r="AI247" s="117">
        <v>15000</v>
      </c>
      <c r="AJ247" s="117">
        <v>15000</v>
      </c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9" t="s">
        <v>386</v>
      </c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28">
        <f t="shared" si="73"/>
        <v>20250</v>
      </c>
      <c r="BV247" s="28">
        <f t="shared" si="74"/>
        <v>20250</v>
      </c>
      <c r="BW247" s="28">
        <f t="shared" si="75"/>
        <v>20250</v>
      </c>
    </row>
    <row r="248" spans="1:75" ht="17.399999999999999" x14ac:dyDescent="0.25">
      <c r="A248" s="69">
        <f t="shared" si="84"/>
        <v>247</v>
      </c>
      <c r="B248" s="96" t="s">
        <v>1890</v>
      </c>
      <c r="C248" s="99" t="s">
        <v>56</v>
      </c>
      <c r="D248" s="96" t="s">
        <v>189</v>
      </c>
      <c r="E248" s="96" t="s">
        <v>1882</v>
      </c>
      <c r="F248" s="96" t="s">
        <v>1884</v>
      </c>
      <c r="G248" s="93" t="s">
        <v>595</v>
      </c>
      <c r="H248" s="71" t="s">
        <v>596</v>
      </c>
      <c r="I248" s="71" t="str">
        <f>VLOOKUP(H248,[1]Sheet1!$C:$C,1,0)</f>
        <v>SC9648TS-AI-10AR-9648</v>
      </c>
      <c r="J248" s="98"/>
      <c r="K248" s="98"/>
      <c r="L248" s="98"/>
      <c r="M248" s="98"/>
      <c r="N248" s="98"/>
      <c r="O248" s="98"/>
      <c r="P248" s="98"/>
      <c r="Q248" s="98"/>
      <c r="R248" s="105">
        <v>1.35</v>
      </c>
      <c r="S248" s="98"/>
      <c r="T248" s="98"/>
      <c r="U248" s="76">
        <f t="shared" si="72"/>
        <v>45000</v>
      </c>
      <c r="V248" s="98"/>
      <c r="W248" s="98"/>
      <c r="X248" s="98"/>
      <c r="Y248" s="98"/>
      <c r="Z248" s="98"/>
      <c r="AA248" s="98"/>
      <c r="AB248" s="98"/>
      <c r="AC248" s="98"/>
      <c r="AD248" s="98"/>
      <c r="AE248" s="117">
        <v>15000</v>
      </c>
      <c r="AF248" s="117">
        <v>15000</v>
      </c>
      <c r="AG248" s="117">
        <v>15000</v>
      </c>
      <c r="AH248" s="117">
        <v>15000</v>
      </c>
      <c r="AI248" s="117">
        <v>15000</v>
      </c>
      <c r="AJ248" s="117">
        <v>15000</v>
      </c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9" t="s">
        <v>386</v>
      </c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28">
        <f t="shared" si="73"/>
        <v>20250</v>
      </c>
      <c r="BV248" s="28">
        <f t="shared" si="74"/>
        <v>20250</v>
      </c>
      <c r="BW248" s="28">
        <f t="shared" si="75"/>
        <v>20250</v>
      </c>
    </row>
    <row r="249" spans="1:75" ht="17.399999999999999" x14ac:dyDescent="0.25">
      <c r="A249" s="69">
        <f t="shared" si="84"/>
        <v>248</v>
      </c>
      <c r="B249" s="96" t="s">
        <v>1891</v>
      </c>
      <c r="C249" s="99" t="s">
        <v>56</v>
      </c>
      <c r="D249" s="96" t="s">
        <v>189</v>
      </c>
      <c r="E249" s="96" t="s">
        <v>1882</v>
      </c>
      <c r="F249" s="96" t="s">
        <v>1884</v>
      </c>
      <c r="G249" s="93" t="s">
        <v>630</v>
      </c>
      <c r="H249" s="71" t="s">
        <v>388</v>
      </c>
      <c r="I249" s="71" t="str">
        <f>VLOOKUP(H249,[1]Sheet1!$C:$C,1,0)</f>
        <v>SC9625VB-CE-00CK-9625L</v>
      </c>
      <c r="J249" s="98"/>
      <c r="K249" s="98"/>
      <c r="L249" s="98"/>
      <c r="M249" s="98"/>
      <c r="N249" s="98"/>
      <c r="O249" s="98"/>
      <c r="P249" s="98"/>
      <c r="Q249" s="98"/>
      <c r="R249" s="105">
        <v>1.7</v>
      </c>
      <c r="S249" s="98"/>
      <c r="T249" s="98"/>
      <c r="U249" s="76">
        <f t="shared" si="72"/>
        <v>60000</v>
      </c>
      <c r="V249" s="98"/>
      <c r="W249" s="98"/>
      <c r="X249" s="98"/>
      <c r="Y249" s="98"/>
      <c r="Z249" s="98"/>
      <c r="AA249" s="98"/>
      <c r="AB249" s="98"/>
      <c r="AC249" s="98"/>
      <c r="AD249" s="98"/>
      <c r="AE249" s="107">
        <v>20000</v>
      </c>
      <c r="AF249" s="107">
        <v>20000</v>
      </c>
      <c r="AG249" s="107">
        <v>20000</v>
      </c>
      <c r="AH249" s="107">
        <v>20000</v>
      </c>
      <c r="AI249" s="107">
        <v>20000</v>
      </c>
      <c r="AJ249" s="107">
        <v>20000</v>
      </c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9" t="s">
        <v>386</v>
      </c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28">
        <f t="shared" si="73"/>
        <v>34000</v>
      </c>
      <c r="BV249" s="28">
        <f t="shared" si="74"/>
        <v>34000</v>
      </c>
      <c r="BW249" s="28">
        <f t="shared" si="75"/>
        <v>34000</v>
      </c>
    </row>
    <row r="250" spans="1:75" ht="17.399999999999999" x14ac:dyDescent="0.25">
      <c r="A250" s="69">
        <f t="shared" si="84"/>
        <v>249</v>
      </c>
      <c r="B250" s="96" t="s">
        <v>1892</v>
      </c>
      <c r="C250" s="99" t="s">
        <v>56</v>
      </c>
      <c r="D250" s="96" t="s">
        <v>189</v>
      </c>
      <c r="E250" s="96" t="s">
        <v>1882</v>
      </c>
      <c r="F250" s="96" t="s">
        <v>1884</v>
      </c>
      <c r="G250" s="93" t="s">
        <v>595</v>
      </c>
      <c r="H250" s="71" t="s">
        <v>596</v>
      </c>
      <c r="I250" s="71" t="str">
        <f>VLOOKUP(H250,[1]Sheet1!$C:$C,1,0)</f>
        <v>SC9648TS-AI-10AR-9648</v>
      </c>
      <c r="J250" s="98"/>
      <c r="K250" s="98"/>
      <c r="L250" s="98"/>
      <c r="M250" s="98"/>
      <c r="N250" s="98"/>
      <c r="O250" s="98"/>
      <c r="P250" s="98"/>
      <c r="Q250" s="98"/>
      <c r="R250" s="105">
        <v>1.35</v>
      </c>
      <c r="S250" s="98"/>
      <c r="T250" s="98"/>
      <c r="U250" s="76">
        <f t="shared" si="72"/>
        <v>45000</v>
      </c>
      <c r="V250" s="98"/>
      <c r="W250" s="98"/>
      <c r="X250" s="98"/>
      <c r="Y250" s="98"/>
      <c r="Z250" s="98"/>
      <c r="AA250" s="98"/>
      <c r="AB250" s="98"/>
      <c r="AC250" s="98"/>
      <c r="AD250" s="98"/>
      <c r="AE250" s="107">
        <v>15000</v>
      </c>
      <c r="AF250" s="107">
        <v>15000</v>
      </c>
      <c r="AG250" s="107">
        <v>15000</v>
      </c>
      <c r="AH250" s="107">
        <v>15000</v>
      </c>
      <c r="AI250" s="107">
        <v>15000</v>
      </c>
      <c r="AJ250" s="107">
        <v>15000</v>
      </c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9" t="s">
        <v>386</v>
      </c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28">
        <f t="shared" si="73"/>
        <v>20250</v>
      </c>
      <c r="BV250" s="28">
        <f t="shared" si="74"/>
        <v>20250</v>
      </c>
      <c r="BW250" s="28">
        <f t="shared" si="75"/>
        <v>20250</v>
      </c>
    </row>
    <row r="251" spans="1:75" ht="17.399999999999999" x14ac:dyDescent="0.25">
      <c r="A251" s="69">
        <f t="shared" si="84"/>
        <v>250</v>
      </c>
      <c r="B251" s="96" t="s">
        <v>1893</v>
      </c>
      <c r="C251" s="99" t="s">
        <v>56</v>
      </c>
      <c r="D251" s="96" t="s">
        <v>189</v>
      </c>
      <c r="E251" s="96" t="s">
        <v>1882</v>
      </c>
      <c r="F251" s="96" t="s">
        <v>1884</v>
      </c>
      <c r="G251" s="93" t="s">
        <v>630</v>
      </c>
      <c r="H251" s="71" t="s">
        <v>388</v>
      </c>
      <c r="I251" s="71" t="str">
        <f>VLOOKUP(H251,[1]Sheet1!$C:$C,1,0)</f>
        <v>SC9625VB-CE-00CK-9625L</v>
      </c>
      <c r="J251" s="98"/>
      <c r="K251" s="98"/>
      <c r="L251" s="98"/>
      <c r="M251" s="98"/>
      <c r="N251" s="98"/>
      <c r="O251" s="98"/>
      <c r="P251" s="98"/>
      <c r="Q251" s="98"/>
      <c r="R251" s="105">
        <v>1.7</v>
      </c>
      <c r="S251" s="98"/>
      <c r="T251" s="98"/>
      <c r="U251" s="76">
        <f t="shared" si="72"/>
        <v>30000</v>
      </c>
      <c r="V251" s="98"/>
      <c r="W251" s="98"/>
      <c r="X251" s="98"/>
      <c r="Y251" s="98"/>
      <c r="Z251" s="98"/>
      <c r="AA251" s="98"/>
      <c r="AB251" s="98"/>
      <c r="AC251" s="98"/>
      <c r="AD251" s="98"/>
      <c r="AE251" s="107">
        <v>10000</v>
      </c>
      <c r="AF251" s="107">
        <v>10000</v>
      </c>
      <c r="AG251" s="107">
        <v>10000</v>
      </c>
      <c r="AH251" s="107">
        <v>10000</v>
      </c>
      <c r="AI251" s="107">
        <v>10000</v>
      </c>
      <c r="AJ251" s="107">
        <v>10000</v>
      </c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9" t="s">
        <v>386</v>
      </c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28">
        <f t="shared" si="73"/>
        <v>17000</v>
      </c>
      <c r="BV251" s="28">
        <f t="shared" si="74"/>
        <v>17000</v>
      </c>
      <c r="BW251" s="28">
        <f t="shared" si="75"/>
        <v>17000</v>
      </c>
    </row>
    <row r="252" spans="1:75" ht="17.399999999999999" x14ac:dyDescent="0.25">
      <c r="A252" s="69">
        <f t="shared" si="84"/>
        <v>251</v>
      </c>
      <c r="B252" s="73" t="s">
        <v>573</v>
      </c>
      <c r="C252" s="71" t="s">
        <v>106</v>
      </c>
      <c r="D252" s="71" t="s">
        <v>1463</v>
      </c>
      <c r="E252" s="96" t="s">
        <v>1882</v>
      </c>
      <c r="F252" s="71" t="s">
        <v>1843</v>
      </c>
      <c r="G252" s="93" t="s">
        <v>337</v>
      </c>
      <c r="H252" s="71" t="s">
        <v>1995</v>
      </c>
      <c r="I252" s="71" t="str">
        <f>VLOOKUP(H252,[1]Sheet1!$C:$C,1,0)</f>
        <v>SC2443SO-Q-DB-60CR-2443</v>
      </c>
      <c r="J252" s="98"/>
      <c r="K252" s="98"/>
      <c r="L252" s="98"/>
      <c r="M252" s="98"/>
      <c r="N252" s="98"/>
      <c r="O252" s="98"/>
      <c r="P252" s="98"/>
      <c r="Q252" s="98"/>
      <c r="R252" s="105">
        <v>0.32</v>
      </c>
      <c r="S252" s="98"/>
      <c r="T252" s="98"/>
      <c r="U252" s="76">
        <f t="shared" si="72"/>
        <v>90000</v>
      </c>
      <c r="V252" s="98"/>
      <c r="W252" s="98"/>
      <c r="X252" s="98"/>
      <c r="Y252" s="98"/>
      <c r="Z252" s="98"/>
      <c r="AA252" s="98"/>
      <c r="AB252" s="98"/>
      <c r="AC252" s="98"/>
      <c r="AD252" s="98"/>
      <c r="AE252" s="117">
        <v>30000</v>
      </c>
      <c r="AF252" s="117">
        <v>30000</v>
      </c>
      <c r="AG252" s="117">
        <v>30000</v>
      </c>
      <c r="AH252" s="117">
        <v>30000</v>
      </c>
      <c r="AI252" s="117">
        <v>30000</v>
      </c>
      <c r="AJ252" s="117">
        <v>30000</v>
      </c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9" t="s">
        <v>261</v>
      </c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28">
        <f t="shared" si="73"/>
        <v>9600</v>
      </c>
      <c r="BV252" s="28">
        <f t="shared" si="74"/>
        <v>9600</v>
      </c>
      <c r="BW252" s="28">
        <f t="shared" si="75"/>
        <v>9600</v>
      </c>
    </row>
    <row r="253" spans="1:75" ht="17.399999999999999" x14ac:dyDescent="0.25">
      <c r="A253" s="69">
        <f t="shared" si="84"/>
        <v>252</v>
      </c>
      <c r="B253" s="73" t="s">
        <v>1699</v>
      </c>
      <c r="C253" s="71" t="s">
        <v>243</v>
      </c>
      <c r="D253" s="71" t="s">
        <v>1700</v>
      </c>
      <c r="E253" s="71" t="s">
        <v>1532</v>
      </c>
      <c r="F253" s="71" t="s">
        <v>1701</v>
      </c>
      <c r="G253" s="71" t="s">
        <v>1587</v>
      </c>
      <c r="H253" s="71"/>
      <c r="I253" s="71" t="e">
        <f>VLOOKUP(H253,[1]Sheet1!$C:$C,1,0)</f>
        <v>#N/A</v>
      </c>
      <c r="J253" s="71"/>
      <c r="K253" s="71"/>
      <c r="L253" s="73" t="s">
        <v>1704</v>
      </c>
      <c r="M253" s="80">
        <v>120000</v>
      </c>
      <c r="N253" s="72" t="s">
        <v>361</v>
      </c>
      <c r="O253" s="73"/>
      <c r="P253" s="71" t="s">
        <v>1705</v>
      </c>
      <c r="Q253" s="71"/>
      <c r="R253" s="100">
        <v>2.2999999999999998</v>
      </c>
      <c r="S253" s="75">
        <f>R253*U253</f>
        <v>2300</v>
      </c>
      <c r="T253" s="91">
        <v>0</v>
      </c>
      <c r="U253" s="76">
        <f t="shared" si="72"/>
        <v>1000</v>
      </c>
      <c r="V253" s="80"/>
      <c r="W253" s="80"/>
      <c r="X253" s="80"/>
      <c r="Y253" s="72"/>
      <c r="Z253" s="72"/>
      <c r="AA253" s="72">
        <v>500</v>
      </c>
      <c r="AB253" s="72">
        <v>500</v>
      </c>
      <c r="AC253" s="72"/>
      <c r="AD253" s="77"/>
      <c r="AE253" s="75">
        <v>500</v>
      </c>
      <c r="AF253" s="75"/>
      <c r="AG253" s="75">
        <v>500</v>
      </c>
      <c r="AH253" s="75">
        <v>500</v>
      </c>
      <c r="AI253" s="75">
        <v>500</v>
      </c>
      <c r="AJ253" s="75">
        <v>500</v>
      </c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10" t="s">
        <v>1706</v>
      </c>
      <c r="AX253" s="10" t="s">
        <v>85</v>
      </c>
      <c r="AY253" s="19" t="s">
        <v>247</v>
      </c>
      <c r="AZ253" s="10" t="s">
        <v>167</v>
      </c>
      <c r="BA253" s="10" t="s">
        <v>317</v>
      </c>
      <c r="BB253" s="10"/>
      <c r="BC253" s="10"/>
      <c r="BD253" s="10"/>
      <c r="BE253" s="10"/>
      <c r="BF253" s="10"/>
      <c r="BG253" s="13">
        <v>1</v>
      </c>
      <c r="BH253" s="10">
        <v>45493</v>
      </c>
      <c r="BI253" s="14">
        <v>45371</v>
      </c>
      <c r="BJ253" s="14">
        <v>45402</v>
      </c>
      <c r="BK253" s="14">
        <v>45432</v>
      </c>
      <c r="BL253" s="14">
        <v>45432</v>
      </c>
      <c r="BM253" s="14">
        <v>45432</v>
      </c>
      <c r="BN253" s="35">
        <v>1</v>
      </c>
      <c r="BO253" s="11">
        <v>5</v>
      </c>
      <c r="BP253" s="16">
        <f>$R253*Z253</f>
        <v>0</v>
      </c>
      <c r="BQ253" s="16">
        <f>$R253*AA253</f>
        <v>1150</v>
      </c>
      <c r="BR253" s="16">
        <f>$R253*AB253</f>
        <v>1150</v>
      </c>
      <c r="BS253" s="16">
        <f>$R253*AC253</f>
        <v>0</v>
      </c>
      <c r="BT253" s="17">
        <f>$R253*AD253</f>
        <v>0</v>
      </c>
      <c r="BU253" s="28">
        <f t="shared" si="73"/>
        <v>1150</v>
      </c>
      <c r="BV253" s="28">
        <f t="shared" si="74"/>
        <v>0</v>
      </c>
      <c r="BW253" s="28">
        <f t="shared" si="75"/>
        <v>1150</v>
      </c>
    </row>
    <row r="254" spans="1:75" ht="17.399999999999999" x14ac:dyDescent="0.25">
      <c r="A254" s="69">
        <f t="shared" si="84"/>
        <v>253</v>
      </c>
      <c r="B254" s="96" t="s">
        <v>1897</v>
      </c>
      <c r="C254" s="99" t="s">
        <v>56</v>
      </c>
      <c r="D254" s="96" t="s">
        <v>1883</v>
      </c>
      <c r="E254" s="96" t="s">
        <v>1882</v>
      </c>
      <c r="F254" s="96" t="s">
        <v>1884</v>
      </c>
      <c r="G254" s="93" t="s">
        <v>1898</v>
      </c>
      <c r="H254" s="71" t="s">
        <v>1284</v>
      </c>
      <c r="I254" s="71" t="str">
        <f>VLOOKUP(H254,[1]Sheet1!$C:$C,1,0)</f>
        <v>SC2462SO-CJ-10CR-2462</v>
      </c>
      <c r="J254" s="98"/>
      <c r="K254" s="98"/>
      <c r="L254" s="98"/>
      <c r="M254" s="98"/>
      <c r="N254" s="98"/>
      <c r="O254" s="98"/>
      <c r="P254" s="98"/>
      <c r="Q254" s="98"/>
      <c r="R254" s="105">
        <v>0.28999999999999998</v>
      </c>
      <c r="S254" s="98"/>
      <c r="T254" s="98"/>
      <c r="U254" s="76">
        <f t="shared" si="72"/>
        <v>90000</v>
      </c>
      <c r="V254" s="98"/>
      <c r="W254" s="98"/>
      <c r="X254" s="98"/>
      <c r="Y254" s="98"/>
      <c r="Z254" s="98"/>
      <c r="AA254" s="98"/>
      <c r="AB254" s="98"/>
      <c r="AC254" s="98"/>
      <c r="AD254" s="98"/>
      <c r="AE254" s="107">
        <v>30000</v>
      </c>
      <c r="AF254" s="107">
        <v>30000</v>
      </c>
      <c r="AG254" s="107">
        <v>30000</v>
      </c>
      <c r="AH254" s="107">
        <v>30000</v>
      </c>
      <c r="AI254" s="107">
        <v>30000</v>
      </c>
      <c r="AJ254" s="107">
        <v>30000</v>
      </c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9" t="s">
        <v>261</v>
      </c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28">
        <f t="shared" si="73"/>
        <v>8700</v>
      </c>
      <c r="BV254" s="28">
        <f t="shared" si="74"/>
        <v>8700</v>
      </c>
      <c r="BW254" s="28">
        <f t="shared" si="75"/>
        <v>8700</v>
      </c>
    </row>
    <row r="255" spans="1:75" ht="17.399999999999999" x14ac:dyDescent="0.25">
      <c r="A255" s="69">
        <f t="shared" si="84"/>
        <v>254</v>
      </c>
      <c r="B255" s="96" t="s">
        <v>1897</v>
      </c>
      <c r="C255" s="99" t="s">
        <v>56</v>
      </c>
      <c r="D255" s="96" t="s">
        <v>1883</v>
      </c>
      <c r="E255" s="96" t="s">
        <v>1882</v>
      </c>
      <c r="F255" s="96" t="s">
        <v>1884</v>
      </c>
      <c r="G255" s="93" t="s">
        <v>337</v>
      </c>
      <c r="H255" s="71" t="s">
        <v>1995</v>
      </c>
      <c r="I255" s="71" t="str">
        <f>VLOOKUP(H255,[1]Sheet1!$C:$C,1,0)</f>
        <v>SC2443SO-Q-DB-60CR-2443</v>
      </c>
      <c r="J255" s="98"/>
      <c r="K255" s="98"/>
      <c r="L255" s="98"/>
      <c r="M255" s="98"/>
      <c r="N255" s="98"/>
      <c r="O255" s="98"/>
      <c r="P255" s="98"/>
      <c r="Q255" s="98"/>
      <c r="R255" s="100">
        <v>0.42</v>
      </c>
      <c r="S255" s="98"/>
      <c r="T255" s="98"/>
      <c r="U255" s="76">
        <f t="shared" si="72"/>
        <v>0</v>
      </c>
      <c r="V255" s="98"/>
      <c r="W255" s="98"/>
      <c r="X255" s="98"/>
      <c r="Y255" s="98"/>
      <c r="Z255" s="98"/>
      <c r="AA255" s="98"/>
      <c r="AB255" s="98"/>
      <c r="AC255" s="98"/>
      <c r="AD255" s="98"/>
      <c r="AE255" s="107">
        <v>0</v>
      </c>
      <c r="AF255" s="107">
        <v>0</v>
      </c>
      <c r="AG255" s="107">
        <v>0</v>
      </c>
      <c r="AH255" s="107">
        <v>0</v>
      </c>
      <c r="AI255" s="107">
        <v>0</v>
      </c>
      <c r="AJ255" s="107">
        <v>0</v>
      </c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9" t="s">
        <v>261</v>
      </c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28">
        <f t="shared" si="73"/>
        <v>0</v>
      </c>
      <c r="BV255" s="28">
        <f t="shared" si="74"/>
        <v>0</v>
      </c>
      <c r="BW255" s="28">
        <f t="shared" si="75"/>
        <v>0</v>
      </c>
    </row>
    <row r="256" spans="1:75" ht="17.399999999999999" x14ac:dyDescent="0.25">
      <c r="A256" s="69">
        <f t="shared" si="84"/>
        <v>255</v>
      </c>
      <c r="B256" s="96" t="s">
        <v>1899</v>
      </c>
      <c r="C256" s="99" t="s">
        <v>56</v>
      </c>
      <c r="D256" s="96" t="s">
        <v>1883</v>
      </c>
      <c r="E256" s="96" t="s">
        <v>1882</v>
      </c>
      <c r="F256" s="96" t="s">
        <v>1884</v>
      </c>
      <c r="G256" s="93" t="s">
        <v>1898</v>
      </c>
      <c r="H256" s="71" t="s">
        <v>1284</v>
      </c>
      <c r="I256" s="71" t="str">
        <f>VLOOKUP(H256,[1]Sheet1!$C:$C,1,0)</f>
        <v>SC2462SO-CJ-10CR-2462</v>
      </c>
      <c r="J256" s="98"/>
      <c r="K256" s="98"/>
      <c r="L256" s="98"/>
      <c r="M256" s="98"/>
      <c r="N256" s="98"/>
      <c r="O256" s="98"/>
      <c r="P256" s="98"/>
      <c r="Q256" s="98"/>
      <c r="R256" s="105">
        <v>0.28999999999999998</v>
      </c>
      <c r="S256" s="98"/>
      <c r="T256" s="98"/>
      <c r="U256" s="76">
        <f t="shared" si="72"/>
        <v>0</v>
      </c>
      <c r="V256" s="98"/>
      <c r="W256" s="98"/>
      <c r="X256" s="98"/>
      <c r="Y256" s="98"/>
      <c r="Z256" s="98"/>
      <c r="AA256" s="98"/>
      <c r="AB256" s="98"/>
      <c r="AC256" s="98"/>
      <c r="AD256" s="98"/>
      <c r="AE256" s="117"/>
      <c r="AF256" s="117"/>
      <c r="AG256" s="117"/>
      <c r="AH256" s="117"/>
      <c r="AI256" s="117"/>
      <c r="AJ256" s="75">
        <v>0</v>
      </c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9" t="s">
        <v>261</v>
      </c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28">
        <f t="shared" si="73"/>
        <v>0</v>
      </c>
      <c r="BV256" s="28">
        <f t="shared" si="74"/>
        <v>0</v>
      </c>
      <c r="BW256" s="28">
        <f t="shared" si="75"/>
        <v>0</v>
      </c>
    </row>
    <row r="257" spans="1:75" ht="17.399999999999999" x14ac:dyDescent="0.25">
      <c r="A257" s="69">
        <f t="shared" si="84"/>
        <v>256</v>
      </c>
      <c r="B257" s="96" t="s">
        <v>1900</v>
      </c>
      <c r="C257" s="99" t="s">
        <v>56</v>
      </c>
      <c r="D257" s="96" t="s">
        <v>189</v>
      </c>
      <c r="E257" s="96" t="s">
        <v>1882</v>
      </c>
      <c r="F257" s="96" t="s">
        <v>1884</v>
      </c>
      <c r="G257" s="93" t="s">
        <v>595</v>
      </c>
      <c r="H257" s="71" t="s">
        <v>596</v>
      </c>
      <c r="I257" s="71" t="str">
        <f>VLOOKUP(H257,[1]Sheet1!$C:$C,1,0)</f>
        <v>SC9648TS-AI-10AR-9648</v>
      </c>
      <c r="J257" s="98"/>
      <c r="K257" s="98"/>
      <c r="L257" s="98"/>
      <c r="M257" s="98"/>
      <c r="N257" s="98"/>
      <c r="O257" s="98"/>
      <c r="P257" s="98"/>
      <c r="Q257" s="98"/>
      <c r="R257" s="105">
        <v>1.35</v>
      </c>
      <c r="S257" s="98"/>
      <c r="T257" s="98"/>
      <c r="U257" s="76">
        <f t="shared" ref="U257:U320" si="86">SUM(AE257:AG257)</f>
        <v>45000</v>
      </c>
      <c r="V257" s="98"/>
      <c r="W257" s="98"/>
      <c r="X257" s="98"/>
      <c r="Y257" s="98"/>
      <c r="Z257" s="98"/>
      <c r="AA257" s="98"/>
      <c r="AB257" s="98"/>
      <c r="AC257" s="98"/>
      <c r="AD257" s="98"/>
      <c r="AE257" s="107">
        <v>15000</v>
      </c>
      <c r="AF257" s="107">
        <v>15000</v>
      </c>
      <c r="AG257" s="107">
        <v>15000</v>
      </c>
      <c r="AH257" s="107">
        <v>15000</v>
      </c>
      <c r="AI257" s="107">
        <v>15000</v>
      </c>
      <c r="AJ257" s="107">
        <v>15000</v>
      </c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9" t="s">
        <v>386</v>
      </c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28">
        <f t="shared" si="73"/>
        <v>20250</v>
      </c>
      <c r="BV257" s="28">
        <f t="shared" si="74"/>
        <v>20250</v>
      </c>
      <c r="BW257" s="28">
        <f t="shared" si="75"/>
        <v>20250</v>
      </c>
    </row>
    <row r="258" spans="1:75" ht="17.399999999999999" x14ac:dyDescent="0.25">
      <c r="A258" s="69">
        <f t="shared" si="84"/>
        <v>257</v>
      </c>
      <c r="B258" s="96" t="s">
        <v>1901</v>
      </c>
      <c r="C258" s="99" t="s">
        <v>56</v>
      </c>
      <c r="D258" s="96" t="s">
        <v>189</v>
      </c>
      <c r="E258" s="96" t="s">
        <v>1882</v>
      </c>
      <c r="F258" s="96" t="s">
        <v>1884</v>
      </c>
      <c r="G258" s="93" t="s">
        <v>1902</v>
      </c>
      <c r="H258" s="71" t="s">
        <v>1652</v>
      </c>
      <c r="I258" s="71" t="str">
        <f>VLOOKUP(H258,[1]Sheet1!$C:$C,1,0)</f>
        <v>SC9641TS-PC-Q-AI-10LR-9641PC</v>
      </c>
      <c r="J258" s="98"/>
      <c r="K258" s="98"/>
      <c r="L258" s="98"/>
      <c r="M258" s="98"/>
      <c r="N258" s="98"/>
      <c r="O258" s="98"/>
      <c r="P258" s="98"/>
      <c r="Q258" s="98"/>
      <c r="R258" s="100">
        <v>2.1800000000000002</v>
      </c>
      <c r="S258" s="98"/>
      <c r="T258" s="98"/>
      <c r="U258" s="76">
        <f t="shared" si="86"/>
        <v>45000</v>
      </c>
      <c r="V258" s="98"/>
      <c r="W258" s="98"/>
      <c r="X258" s="98"/>
      <c r="Y258" s="98"/>
      <c r="Z258" s="98"/>
      <c r="AA258" s="98"/>
      <c r="AB258" s="98"/>
      <c r="AC258" s="98"/>
      <c r="AD258" s="98"/>
      <c r="AE258" s="107">
        <v>15000</v>
      </c>
      <c r="AF258" s="107">
        <v>15000</v>
      </c>
      <c r="AG258" s="107">
        <v>15000</v>
      </c>
      <c r="AH258" s="107">
        <v>15000</v>
      </c>
      <c r="AI258" s="107">
        <v>15000</v>
      </c>
      <c r="AJ258" s="107">
        <v>15000</v>
      </c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9" t="s">
        <v>386</v>
      </c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28">
        <f t="shared" si="73"/>
        <v>32700.000000000004</v>
      </c>
      <c r="BV258" s="28">
        <f t="shared" si="74"/>
        <v>32700.000000000004</v>
      </c>
      <c r="BW258" s="28">
        <f t="shared" si="75"/>
        <v>32700.000000000004</v>
      </c>
    </row>
    <row r="259" spans="1:75" ht="17.399999999999999" x14ac:dyDescent="0.25">
      <c r="A259" s="69">
        <f t="shared" si="84"/>
        <v>258</v>
      </c>
      <c r="B259" s="96" t="s">
        <v>1901</v>
      </c>
      <c r="C259" s="99" t="s">
        <v>56</v>
      </c>
      <c r="D259" s="96" t="s">
        <v>189</v>
      </c>
      <c r="E259" s="96" t="s">
        <v>1882</v>
      </c>
      <c r="F259" s="96" t="s">
        <v>1884</v>
      </c>
      <c r="G259" s="93" t="s">
        <v>446</v>
      </c>
      <c r="H259" s="71" t="s">
        <v>585</v>
      </c>
      <c r="I259" s="71" t="str">
        <f>VLOOKUP(H259,[1]Sheet1!$C:$C,1,0)</f>
        <v>SC9642TS-EC-Q-AH-4XLR-9642</v>
      </c>
      <c r="J259" s="98"/>
      <c r="K259" s="98"/>
      <c r="L259" s="98"/>
      <c r="M259" s="98"/>
      <c r="N259" s="98"/>
      <c r="O259" s="98"/>
      <c r="P259" s="98"/>
      <c r="Q259" s="98"/>
      <c r="R259" s="100">
        <v>2.2999999999999998</v>
      </c>
      <c r="S259" s="98"/>
      <c r="T259" s="98"/>
      <c r="U259" s="76">
        <f t="shared" si="86"/>
        <v>63000</v>
      </c>
      <c r="V259" s="98"/>
      <c r="W259" s="98"/>
      <c r="X259" s="98"/>
      <c r="Y259" s="98"/>
      <c r="Z259" s="98"/>
      <c r="AA259" s="98"/>
      <c r="AB259" s="98"/>
      <c r="AC259" s="98"/>
      <c r="AD259" s="98"/>
      <c r="AE259" s="107">
        <v>21000</v>
      </c>
      <c r="AF259" s="107">
        <v>21000</v>
      </c>
      <c r="AG259" s="107">
        <v>21000</v>
      </c>
      <c r="AH259" s="107">
        <v>21000</v>
      </c>
      <c r="AI259" s="107">
        <v>21000</v>
      </c>
      <c r="AJ259" s="107">
        <v>21000</v>
      </c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9" t="s">
        <v>386</v>
      </c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28">
        <f t="shared" ref="BU259:BU322" si="87">$R259*AE259</f>
        <v>48299.999999999993</v>
      </c>
      <c r="BV259" s="28">
        <f t="shared" ref="BV259:BV322" si="88">$R259*AF259</f>
        <v>48299.999999999993</v>
      </c>
      <c r="BW259" s="28">
        <f t="shared" ref="BW259:BW322" si="89">$R259*AG259</f>
        <v>48299.999999999993</v>
      </c>
    </row>
    <row r="260" spans="1:75" ht="17.399999999999999" x14ac:dyDescent="0.25">
      <c r="A260" s="69">
        <f t="shared" si="84"/>
        <v>259</v>
      </c>
      <c r="B260" s="96" t="s">
        <v>1903</v>
      </c>
      <c r="C260" s="99" t="s">
        <v>56</v>
      </c>
      <c r="D260" s="96" t="s">
        <v>189</v>
      </c>
      <c r="E260" s="96" t="s">
        <v>1882</v>
      </c>
      <c r="F260" s="96" t="s">
        <v>1884</v>
      </c>
      <c r="G260" s="93" t="s">
        <v>1904</v>
      </c>
      <c r="H260" s="71" t="s">
        <v>387</v>
      </c>
      <c r="I260" s="71" t="str">
        <f>VLOOKUP(H260,[1]Sheet1!$C:$C,1,0)</f>
        <v>SC9314UA-CF-0XAK-9201L</v>
      </c>
      <c r="J260" s="98"/>
      <c r="K260" s="98"/>
      <c r="L260" s="98"/>
      <c r="M260" s="98"/>
      <c r="N260" s="98"/>
      <c r="O260" s="98"/>
      <c r="P260" s="98"/>
      <c r="Q260" s="98"/>
      <c r="R260" s="100">
        <v>0.98</v>
      </c>
      <c r="S260" s="98"/>
      <c r="T260" s="98"/>
      <c r="U260" s="76">
        <f t="shared" si="86"/>
        <v>30000</v>
      </c>
      <c r="V260" s="98"/>
      <c r="W260" s="98"/>
      <c r="X260" s="98"/>
      <c r="Y260" s="98"/>
      <c r="Z260" s="98"/>
      <c r="AA260" s="98"/>
      <c r="AB260" s="98"/>
      <c r="AC260" s="98"/>
      <c r="AD260" s="98"/>
      <c r="AE260" s="107">
        <v>10000</v>
      </c>
      <c r="AF260" s="107">
        <v>10000</v>
      </c>
      <c r="AG260" s="107">
        <v>10000</v>
      </c>
      <c r="AH260" s="107">
        <v>10000</v>
      </c>
      <c r="AI260" s="107">
        <v>10000</v>
      </c>
      <c r="AJ260" s="107">
        <v>10000</v>
      </c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9" t="s">
        <v>386</v>
      </c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28">
        <f t="shared" si="87"/>
        <v>9800</v>
      </c>
      <c r="BV260" s="28">
        <f t="shared" si="88"/>
        <v>9800</v>
      </c>
      <c r="BW260" s="28">
        <f t="shared" si="89"/>
        <v>9800</v>
      </c>
    </row>
    <row r="261" spans="1:75" ht="17.399999999999999" x14ac:dyDescent="0.25">
      <c r="A261" s="69">
        <f t="shared" si="84"/>
        <v>260</v>
      </c>
      <c r="B261" s="96" t="s">
        <v>1905</v>
      </c>
      <c r="C261" s="99" t="s">
        <v>56</v>
      </c>
      <c r="D261" s="96" t="s">
        <v>189</v>
      </c>
      <c r="E261" s="96" t="s">
        <v>1882</v>
      </c>
      <c r="F261" s="96" t="s">
        <v>1884</v>
      </c>
      <c r="G261" s="93" t="s">
        <v>1904</v>
      </c>
      <c r="H261" s="71" t="s">
        <v>387</v>
      </c>
      <c r="I261" s="71" t="str">
        <f>VLOOKUP(H261,[1]Sheet1!$C:$C,1,0)</f>
        <v>SC9314UA-CF-0XAK-9201L</v>
      </c>
      <c r="J261" s="98"/>
      <c r="K261" s="98"/>
      <c r="L261" s="98"/>
      <c r="M261" s="98"/>
      <c r="N261" s="98"/>
      <c r="O261" s="98"/>
      <c r="P261" s="98"/>
      <c r="Q261" s="98"/>
      <c r="R261" s="100">
        <v>0.98</v>
      </c>
      <c r="S261" s="98"/>
      <c r="T261" s="98"/>
      <c r="U261" s="76">
        <f t="shared" si="86"/>
        <v>60000</v>
      </c>
      <c r="V261" s="98"/>
      <c r="W261" s="98"/>
      <c r="X261" s="98"/>
      <c r="Y261" s="98"/>
      <c r="Z261" s="98"/>
      <c r="AA261" s="98"/>
      <c r="AB261" s="98"/>
      <c r="AC261" s="98"/>
      <c r="AD261" s="98"/>
      <c r="AE261" s="107">
        <v>20000</v>
      </c>
      <c r="AF261" s="107">
        <v>20000</v>
      </c>
      <c r="AG261" s="107">
        <v>20000</v>
      </c>
      <c r="AH261" s="107">
        <v>20000</v>
      </c>
      <c r="AI261" s="107">
        <v>20000</v>
      </c>
      <c r="AJ261" s="107">
        <v>20000</v>
      </c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9" t="s">
        <v>386</v>
      </c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28">
        <f t="shared" si="87"/>
        <v>19600</v>
      </c>
      <c r="BV261" s="28">
        <f t="shared" si="88"/>
        <v>19600</v>
      </c>
      <c r="BW261" s="28">
        <f t="shared" si="89"/>
        <v>19600</v>
      </c>
    </row>
    <row r="262" spans="1:75" ht="17.399999999999999" x14ac:dyDescent="0.25">
      <c r="A262" s="69">
        <f t="shared" si="84"/>
        <v>261</v>
      </c>
      <c r="B262" s="96" t="s">
        <v>1906</v>
      </c>
      <c r="C262" s="99" t="s">
        <v>56</v>
      </c>
      <c r="D262" s="96" t="s">
        <v>189</v>
      </c>
      <c r="E262" s="96" t="s">
        <v>1882</v>
      </c>
      <c r="F262" s="96" t="s">
        <v>1884</v>
      </c>
      <c r="G262" s="93" t="s">
        <v>595</v>
      </c>
      <c r="H262" s="71" t="s">
        <v>596</v>
      </c>
      <c r="I262" s="71" t="str">
        <f>VLOOKUP(H262,[1]Sheet1!$C:$C,1,0)</f>
        <v>SC9648TS-AI-10AR-9648</v>
      </c>
      <c r="J262" s="98"/>
      <c r="K262" s="98"/>
      <c r="L262" s="98"/>
      <c r="M262" s="98"/>
      <c r="N262" s="98"/>
      <c r="O262" s="98"/>
      <c r="P262" s="98"/>
      <c r="Q262" s="98"/>
      <c r="R262" s="105">
        <v>1.35</v>
      </c>
      <c r="S262" s="98"/>
      <c r="T262" s="98"/>
      <c r="U262" s="76">
        <f t="shared" si="86"/>
        <v>45000</v>
      </c>
      <c r="V262" s="98"/>
      <c r="W262" s="98"/>
      <c r="X262" s="98"/>
      <c r="Y262" s="98"/>
      <c r="Z262" s="98"/>
      <c r="AA262" s="98"/>
      <c r="AB262" s="98"/>
      <c r="AC262" s="98"/>
      <c r="AD262" s="98"/>
      <c r="AE262" s="107">
        <v>15000</v>
      </c>
      <c r="AF262" s="107">
        <v>15000</v>
      </c>
      <c r="AG262" s="107">
        <v>15000</v>
      </c>
      <c r="AH262" s="107">
        <v>15000</v>
      </c>
      <c r="AI262" s="107">
        <v>15000</v>
      </c>
      <c r="AJ262" s="107">
        <v>15000</v>
      </c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9" t="s">
        <v>386</v>
      </c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28">
        <f t="shared" si="87"/>
        <v>20250</v>
      </c>
      <c r="BV262" s="28">
        <f t="shared" si="88"/>
        <v>20250</v>
      </c>
      <c r="BW262" s="28">
        <f t="shared" si="89"/>
        <v>20250</v>
      </c>
    </row>
    <row r="263" spans="1:75" ht="17.399999999999999" x14ac:dyDescent="0.25">
      <c r="A263" s="69">
        <f t="shared" si="84"/>
        <v>262</v>
      </c>
      <c r="B263" s="96" t="s">
        <v>1907</v>
      </c>
      <c r="C263" s="99" t="s">
        <v>56</v>
      </c>
      <c r="D263" s="96" t="s">
        <v>189</v>
      </c>
      <c r="E263" s="96" t="s">
        <v>1882</v>
      </c>
      <c r="F263" s="96" t="s">
        <v>1884</v>
      </c>
      <c r="G263" s="93" t="s">
        <v>1904</v>
      </c>
      <c r="H263" s="71" t="s">
        <v>387</v>
      </c>
      <c r="I263" s="71" t="str">
        <f>VLOOKUP(H263,[1]Sheet1!$C:$C,1,0)</f>
        <v>SC9314UA-CF-0XAK-9201L</v>
      </c>
      <c r="J263" s="98"/>
      <c r="K263" s="98"/>
      <c r="L263" s="98"/>
      <c r="M263" s="98"/>
      <c r="N263" s="98"/>
      <c r="O263" s="98"/>
      <c r="P263" s="98"/>
      <c r="Q263" s="98"/>
      <c r="R263" s="100">
        <v>0.98</v>
      </c>
      <c r="S263" s="98"/>
      <c r="T263" s="98"/>
      <c r="U263" s="76">
        <f t="shared" si="86"/>
        <v>90000</v>
      </c>
      <c r="V263" s="98"/>
      <c r="W263" s="98"/>
      <c r="X263" s="98"/>
      <c r="Y263" s="98"/>
      <c r="Z263" s="98"/>
      <c r="AA263" s="98"/>
      <c r="AB263" s="98"/>
      <c r="AC263" s="98"/>
      <c r="AD263" s="98"/>
      <c r="AE263" s="107">
        <v>30000</v>
      </c>
      <c r="AF263" s="107">
        <v>30000</v>
      </c>
      <c r="AG263" s="107">
        <v>30000</v>
      </c>
      <c r="AH263" s="107">
        <v>30000</v>
      </c>
      <c r="AI263" s="107">
        <v>30000</v>
      </c>
      <c r="AJ263" s="107">
        <v>30000</v>
      </c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9" t="s">
        <v>386</v>
      </c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28">
        <f t="shared" si="87"/>
        <v>29400</v>
      </c>
      <c r="BV263" s="28">
        <f t="shared" si="88"/>
        <v>29400</v>
      </c>
      <c r="BW263" s="28">
        <f t="shared" si="89"/>
        <v>29400</v>
      </c>
    </row>
    <row r="264" spans="1:75" ht="17.399999999999999" x14ac:dyDescent="0.25">
      <c r="A264" s="69">
        <f t="shared" si="84"/>
        <v>263</v>
      </c>
      <c r="B264" s="96" t="s">
        <v>1908</v>
      </c>
      <c r="C264" s="99" t="s">
        <v>106</v>
      </c>
      <c r="D264" s="96" t="s">
        <v>189</v>
      </c>
      <c r="E264" s="96" t="s">
        <v>1882</v>
      </c>
      <c r="F264" s="96" t="s">
        <v>1884</v>
      </c>
      <c r="G264" s="93" t="s">
        <v>1902</v>
      </c>
      <c r="H264" s="71" t="s">
        <v>1652</v>
      </c>
      <c r="I264" s="71" t="str">
        <f>VLOOKUP(H264,[1]Sheet1!$C:$C,1,0)</f>
        <v>SC9641TS-PC-Q-AI-10LR-9641PC</v>
      </c>
      <c r="J264" s="98"/>
      <c r="K264" s="98"/>
      <c r="L264" s="98"/>
      <c r="M264" s="98"/>
      <c r="N264" s="98"/>
      <c r="O264" s="98"/>
      <c r="P264" s="98"/>
      <c r="Q264" s="98"/>
      <c r="R264" s="100">
        <v>2.1800000000000002</v>
      </c>
      <c r="S264" s="98"/>
      <c r="T264" s="98"/>
      <c r="U264" s="76">
        <f t="shared" si="86"/>
        <v>21000</v>
      </c>
      <c r="V264" s="98"/>
      <c r="W264" s="98"/>
      <c r="X264" s="98"/>
      <c r="Y264" s="98"/>
      <c r="Z264" s="98"/>
      <c r="AA264" s="98"/>
      <c r="AB264" s="98"/>
      <c r="AC264" s="98"/>
      <c r="AD264" s="98"/>
      <c r="AE264" s="107">
        <v>3000</v>
      </c>
      <c r="AF264" s="107">
        <v>6000</v>
      </c>
      <c r="AG264" s="107">
        <v>12000</v>
      </c>
      <c r="AH264" s="107">
        <v>30000</v>
      </c>
      <c r="AI264" s="107">
        <v>30000</v>
      </c>
      <c r="AJ264" s="107">
        <v>30000</v>
      </c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9" t="s">
        <v>386</v>
      </c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28">
        <f t="shared" si="87"/>
        <v>6540.0000000000009</v>
      </c>
      <c r="BV264" s="28">
        <f t="shared" si="88"/>
        <v>13080.000000000002</v>
      </c>
      <c r="BW264" s="28">
        <f t="shared" si="89"/>
        <v>26160.000000000004</v>
      </c>
    </row>
    <row r="265" spans="1:75" ht="17.399999999999999" x14ac:dyDescent="0.25">
      <c r="A265" s="69">
        <f t="shared" si="84"/>
        <v>264</v>
      </c>
      <c r="B265" s="73" t="s">
        <v>1300</v>
      </c>
      <c r="C265" s="71" t="s">
        <v>106</v>
      </c>
      <c r="D265" s="71" t="s">
        <v>1301</v>
      </c>
      <c r="E265" s="71" t="s">
        <v>1302</v>
      </c>
      <c r="F265" s="71"/>
      <c r="G265" s="71" t="s">
        <v>1303</v>
      </c>
      <c r="H265" s="71" t="s">
        <v>1304</v>
      </c>
      <c r="I265" s="71" t="str">
        <f>VLOOKUP(H265,[1]Sheet1!$C:$C,1,0)</f>
        <v>SC2527S6-AB-Q-DA-40CR-2527</v>
      </c>
      <c r="J265" s="71"/>
      <c r="K265" s="71"/>
      <c r="L265" s="71" t="s">
        <v>1305</v>
      </c>
      <c r="M265" s="80">
        <v>6000000</v>
      </c>
      <c r="N265" s="72" t="s">
        <v>382</v>
      </c>
      <c r="O265" s="73" t="s">
        <v>1918</v>
      </c>
      <c r="P265" s="71"/>
      <c r="Q265" s="71"/>
      <c r="R265" s="100">
        <v>0</v>
      </c>
      <c r="S265" s="75">
        <f t="shared" ref="S265:S271" si="90">R265*U265</f>
        <v>0</v>
      </c>
      <c r="T265" s="88">
        <f>R265*SUM(AH265:AN265)</f>
        <v>0</v>
      </c>
      <c r="U265" s="76">
        <f t="shared" si="86"/>
        <v>0</v>
      </c>
      <c r="V265" s="80"/>
      <c r="W265" s="80"/>
      <c r="X265" s="80"/>
      <c r="Y265" s="80"/>
      <c r="Z265" s="80"/>
      <c r="AA265" s="80"/>
      <c r="AB265" s="80"/>
      <c r="AC265" s="80"/>
      <c r="AD265" s="77"/>
      <c r="AE265" s="75"/>
      <c r="AF265" s="75"/>
      <c r="AG265" s="75"/>
      <c r="AH265" s="75"/>
      <c r="AI265" s="75"/>
      <c r="AJ265" s="75">
        <v>0</v>
      </c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10"/>
      <c r="AX265" s="10" t="s">
        <v>494</v>
      </c>
      <c r="AY265" s="19" t="s">
        <v>261</v>
      </c>
      <c r="AZ265" s="10"/>
      <c r="BA265" s="10"/>
      <c r="BB265" s="10"/>
      <c r="BC265" s="10"/>
      <c r="BD265" s="10"/>
      <c r="BE265" s="10"/>
      <c r="BF265" s="10"/>
      <c r="BG265" s="13"/>
      <c r="BH265" s="10"/>
      <c r="BI265" s="14"/>
      <c r="BJ265" s="14"/>
      <c r="BK265" s="14"/>
      <c r="BL265" s="14"/>
      <c r="BM265" s="14"/>
      <c r="BN265" s="35"/>
      <c r="BO265" s="11"/>
      <c r="BP265" s="16"/>
      <c r="BQ265" s="16"/>
      <c r="BR265" s="16"/>
      <c r="BS265" s="16"/>
      <c r="BT265" s="17">
        <f t="shared" ref="BT265:BT271" si="91">$R265*AD265</f>
        <v>0</v>
      </c>
      <c r="BU265" s="28">
        <f t="shared" si="87"/>
        <v>0</v>
      </c>
      <c r="BV265" s="28">
        <f t="shared" si="88"/>
        <v>0</v>
      </c>
      <c r="BW265" s="28">
        <f t="shared" si="89"/>
        <v>0</v>
      </c>
    </row>
    <row r="266" spans="1:75" ht="17.399999999999999" x14ac:dyDescent="0.25">
      <c r="A266" s="69">
        <f t="shared" si="84"/>
        <v>265</v>
      </c>
      <c r="B266" s="73" t="s">
        <v>1306</v>
      </c>
      <c r="C266" s="71" t="s">
        <v>149</v>
      </c>
      <c r="D266" s="71" t="s">
        <v>1307</v>
      </c>
      <c r="E266" s="71" t="s">
        <v>1302</v>
      </c>
      <c r="F266" s="71" t="s">
        <v>1308</v>
      </c>
      <c r="G266" s="71" t="s">
        <v>263</v>
      </c>
      <c r="H266" s="71" t="s">
        <v>1309</v>
      </c>
      <c r="I266" s="71" t="str">
        <f>VLOOKUP(H266,[1]Sheet1!$C:$C,1,0)</f>
        <v>SC2442SO-Q-DB-60CR-2442</v>
      </c>
      <c r="J266" s="71"/>
      <c r="K266" s="71"/>
      <c r="L266" s="71" t="s">
        <v>1310</v>
      </c>
      <c r="M266" s="80">
        <v>2400000</v>
      </c>
      <c r="N266" s="72" t="s">
        <v>361</v>
      </c>
      <c r="O266" s="73" t="s">
        <v>1311</v>
      </c>
      <c r="P266" s="71" t="s">
        <v>1312</v>
      </c>
      <c r="Q266" s="71"/>
      <c r="R266" s="100">
        <v>0.36899999999999999</v>
      </c>
      <c r="S266" s="75">
        <f t="shared" si="90"/>
        <v>199260</v>
      </c>
      <c r="T266" s="88">
        <f>R266*SUM(AK266:AP266)</f>
        <v>0</v>
      </c>
      <c r="U266" s="76">
        <f t="shared" si="86"/>
        <v>540000</v>
      </c>
      <c r="V266" s="80">
        <v>200000</v>
      </c>
      <c r="W266" s="80">
        <v>200000</v>
      </c>
      <c r="X266" s="80">
        <v>200000</v>
      </c>
      <c r="Y266" s="80">
        <v>201000</v>
      </c>
      <c r="Z266" s="80">
        <v>201000</v>
      </c>
      <c r="AA266" s="80">
        <v>201000</v>
      </c>
      <c r="AB266" s="80">
        <v>0</v>
      </c>
      <c r="AC266" s="80">
        <v>0</v>
      </c>
      <c r="AD266" s="77">
        <v>0</v>
      </c>
      <c r="AE266" s="75">
        <v>180000</v>
      </c>
      <c r="AF266" s="75">
        <v>180000</v>
      </c>
      <c r="AG266" s="75">
        <v>180000</v>
      </c>
      <c r="AH266" s="75">
        <v>180000</v>
      </c>
      <c r="AI266" s="75">
        <v>180000</v>
      </c>
      <c r="AJ266" s="75">
        <v>180000</v>
      </c>
      <c r="AK266" s="33">
        <v>0</v>
      </c>
      <c r="AL266" s="33">
        <v>0</v>
      </c>
      <c r="AM266" s="33">
        <v>0</v>
      </c>
      <c r="AN266" s="33">
        <v>0</v>
      </c>
      <c r="AO266" s="33">
        <v>0</v>
      </c>
      <c r="AP266" s="33">
        <v>0</v>
      </c>
      <c r="AQ266" s="33">
        <v>0</v>
      </c>
      <c r="AR266" s="33">
        <v>0</v>
      </c>
      <c r="AS266" s="33">
        <v>0</v>
      </c>
      <c r="AT266" s="33">
        <v>0</v>
      </c>
      <c r="AU266" s="33">
        <v>0</v>
      </c>
      <c r="AV266" s="33">
        <v>0</v>
      </c>
      <c r="AW266" s="19" t="s">
        <v>155</v>
      </c>
      <c r="AX266" s="19" t="s">
        <v>85</v>
      </c>
      <c r="AY266" s="19" t="s">
        <v>261</v>
      </c>
      <c r="AZ266" s="19" t="s">
        <v>62</v>
      </c>
      <c r="BA266" s="19" t="s">
        <v>96</v>
      </c>
      <c r="BB266" s="19" t="s">
        <v>1313</v>
      </c>
      <c r="BC266" s="19" t="s">
        <v>1314</v>
      </c>
      <c r="BD266" s="19" t="s">
        <v>1315</v>
      </c>
      <c r="BE266" s="19"/>
      <c r="BF266" s="19"/>
      <c r="BG266" s="24">
        <v>3</v>
      </c>
      <c r="BH266" s="19"/>
      <c r="BI266" s="25"/>
      <c r="BJ266" s="25"/>
      <c r="BK266" s="25"/>
      <c r="BL266" s="25"/>
      <c r="BM266" s="25"/>
      <c r="BN266" s="37"/>
      <c r="BO266" s="21"/>
      <c r="BP266" s="27">
        <f t="shared" ref="BP266:BS271" si="92">$R266*Z266</f>
        <v>74169</v>
      </c>
      <c r="BQ266" s="27">
        <f t="shared" si="92"/>
        <v>74169</v>
      </c>
      <c r="BR266" s="27">
        <f t="shared" si="92"/>
        <v>0</v>
      </c>
      <c r="BS266" s="27">
        <f t="shared" si="92"/>
        <v>0</v>
      </c>
      <c r="BT266" s="28">
        <f t="shared" si="91"/>
        <v>0</v>
      </c>
      <c r="BU266" s="28">
        <f t="shared" si="87"/>
        <v>66420</v>
      </c>
      <c r="BV266" s="28">
        <f t="shared" si="88"/>
        <v>66420</v>
      </c>
      <c r="BW266" s="28">
        <f t="shared" si="89"/>
        <v>66420</v>
      </c>
    </row>
    <row r="267" spans="1:75" ht="17.399999999999999" x14ac:dyDescent="0.25">
      <c r="A267" s="69">
        <f t="shared" si="84"/>
        <v>266</v>
      </c>
      <c r="B267" s="73" t="s">
        <v>1346</v>
      </c>
      <c r="C267" s="71" t="s">
        <v>56</v>
      </c>
      <c r="D267" s="71" t="s">
        <v>1326</v>
      </c>
      <c r="E267" s="71" t="s">
        <v>1302</v>
      </c>
      <c r="F267" s="71" t="s">
        <v>1327</v>
      </c>
      <c r="G267" s="71" t="s">
        <v>1347</v>
      </c>
      <c r="H267" s="71" t="s">
        <v>1348</v>
      </c>
      <c r="I267" s="71" t="str">
        <f>VLOOKUP(H267,[1]Sheet1!$C:$C,1,0)</f>
        <v>SC4624SP20B5-SC4624</v>
      </c>
      <c r="J267" s="71"/>
      <c r="K267" s="71"/>
      <c r="L267" s="73" t="s">
        <v>1349</v>
      </c>
      <c r="M267" s="80">
        <v>20000</v>
      </c>
      <c r="N267" s="72" t="s">
        <v>251</v>
      </c>
      <c r="O267" s="69" t="s">
        <v>1350</v>
      </c>
      <c r="P267" s="71"/>
      <c r="Q267" s="71"/>
      <c r="R267" s="100">
        <v>5</v>
      </c>
      <c r="S267" s="75">
        <f t="shared" si="90"/>
        <v>0</v>
      </c>
      <c r="T267" s="91"/>
      <c r="U267" s="76">
        <f t="shared" si="86"/>
        <v>0</v>
      </c>
      <c r="V267" s="80"/>
      <c r="W267" s="80"/>
      <c r="X267" s="80"/>
      <c r="Y267" s="80"/>
      <c r="Z267" s="80"/>
      <c r="AA267" s="80"/>
      <c r="AB267" s="80"/>
      <c r="AC267" s="72"/>
      <c r="AD267" s="77"/>
      <c r="AE267" s="75"/>
      <c r="AF267" s="75"/>
      <c r="AG267" s="75"/>
      <c r="AH267" s="75">
        <v>0</v>
      </c>
      <c r="AI267" s="75"/>
      <c r="AJ267" s="75">
        <v>0</v>
      </c>
      <c r="AK267" s="33"/>
      <c r="AL267" s="33"/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19" t="s">
        <v>1351</v>
      </c>
      <c r="AX267" s="19" t="s">
        <v>85</v>
      </c>
      <c r="AY267" s="19" t="s">
        <v>247</v>
      </c>
      <c r="AZ267" s="19"/>
      <c r="BA267" s="19"/>
      <c r="BB267" s="19"/>
      <c r="BC267" s="19"/>
      <c r="BD267" s="19"/>
      <c r="BE267" s="19"/>
      <c r="BF267" s="19"/>
      <c r="BG267" s="24"/>
      <c r="BH267" s="19"/>
      <c r="BI267" s="25"/>
      <c r="BJ267" s="25"/>
      <c r="BK267" s="25"/>
      <c r="BL267" s="25"/>
      <c r="BM267" s="25"/>
      <c r="BN267" s="37"/>
      <c r="BO267" s="21"/>
      <c r="BP267" s="27">
        <f t="shared" si="92"/>
        <v>0</v>
      </c>
      <c r="BQ267" s="27">
        <f t="shared" si="92"/>
        <v>0</v>
      </c>
      <c r="BR267" s="27">
        <f t="shared" si="92"/>
        <v>0</v>
      </c>
      <c r="BS267" s="27">
        <f t="shared" si="92"/>
        <v>0</v>
      </c>
      <c r="BT267" s="28">
        <f t="shared" si="91"/>
        <v>0</v>
      </c>
      <c r="BU267" s="28">
        <f t="shared" si="87"/>
        <v>0</v>
      </c>
      <c r="BV267" s="28">
        <f t="shared" si="88"/>
        <v>0</v>
      </c>
      <c r="BW267" s="28">
        <f t="shared" si="89"/>
        <v>0</v>
      </c>
    </row>
    <row r="268" spans="1:75" ht="17.399999999999999" x14ac:dyDescent="0.25">
      <c r="A268" s="69">
        <f t="shared" si="84"/>
        <v>267</v>
      </c>
      <c r="B268" s="73" t="s">
        <v>1306</v>
      </c>
      <c r="C268" s="71" t="s">
        <v>149</v>
      </c>
      <c r="D268" s="71" t="s">
        <v>1307</v>
      </c>
      <c r="E268" s="71" t="s">
        <v>1302</v>
      </c>
      <c r="F268" s="71" t="s">
        <v>1308</v>
      </c>
      <c r="G268" s="71" t="s">
        <v>1318</v>
      </c>
      <c r="H268" s="71" t="s">
        <v>1319</v>
      </c>
      <c r="I268" s="71" t="str">
        <f>VLOOKUP(H268,[1]Sheet1!$C:$C,1,0)</f>
        <v>SC2527S6-SD-Q-DA-40CR-2527</v>
      </c>
      <c r="J268" s="71"/>
      <c r="K268" s="71"/>
      <c r="L268" s="73" t="s">
        <v>1320</v>
      </c>
      <c r="M268" s="80">
        <v>4000000</v>
      </c>
      <c r="N268" s="72" t="s">
        <v>251</v>
      </c>
      <c r="O268" s="73" t="s">
        <v>1321</v>
      </c>
      <c r="P268" s="71" t="s">
        <v>1322</v>
      </c>
      <c r="Q268" s="71"/>
      <c r="R268" s="100">
        <v>0.66</v>
      </c>
      <c r="S268" s="75">
        <f t="shared" si="90"/>
        <v>0</v>
      </c>
      <c r="T268" s="88">
        <f>R268*SUM(AK268:AP268)</f>
        <v>0</v>
      </c>
      <c r="U268" s="76">
        <f t="shared" si="86"/>
        <v>0</v>
      </c>
      <c r="V268" s="80">
        <v>0</v>
      </c>
      <c r="W268" s="80">
        <v>0</v>
      </c>
      <c r="X268" s="80">
        <v>0</v>
      </c>
      <c r="Y268" s="80">
        <v>0</v>
      </c>
      <c r="Z268" s="80">
        <v>30000</v>
      </c>
      <c r="AA268" s="80">
        <v>0</v>
      </c>
      <c r="AB268" s="80">
        <v>50000</v>
      </c>
      <c r="AC268" s="80">
        <v>0</v>
      </c>
      <c r="AD268" s="77">
        <v>0</v>
      </c>
      <c r="AE268" s="75">
        <v>0</v>
      </c>
      <c r="AF268" s="75"/>
      <c r="AG268" s="75"/>
      <c r="AH268" s="75">
        <v>50000</v>
      </c>
      <c r="AI268" s="75">
        <v>50000</v>
      </c>
      <c r="AJ268" s="75">
        <v>50000</v>
      </c>
      <c r="AK268" s="33">
        <v>0</v>
      </c>
      <c r="AL268" s="33">
        <v>0</v>
      </c>
      <c r="AM268" s="33">
        <v>0</v>
      </c>
      <c r="AN268" s="33">
        <v>0</v>
      </c>
      <c r="AO268" s="33">
        <v>0</v>
      </c>
      <c r="AP268" s="33">
        <v>0</v>
      </c>
      <c r="AQ268" s="33">
        <v>0</v>
      </c>
      <c r="AR268" s="33">
        <v>0</v>
      </c>
      <c r="AS268" s="33">
        <v>0</v>
      </c>
      <c r="AT268" s="33">
        <v>0</v>
      </c>
      <c r="AU268" s="33">
        <v>0</v>
      </c>
      <c r="AV268" s="33">
        <v>0</v>
      </c>
      <c r="AW268" s="19" t="s">
        <v>155</v>
      </c>
      <c r="AX268" s="19" t="s">
        <v>85</v>
      </c>
      <c r="AY268" s="19" t="s">
        <v>261</v>
      </c>
      <c r="AZ268" s="19" t="s">
        <v>62</v>
      </c>
      <c r="BA268" s="19" t="s">
        <v>96</v>
      </c>
      <c r="BB268" s="19" t="s">
        <v>1323</v>
      </c>
      <c r="BC268" s="19" t="s">
        <v>1324</v>
      </c>
      <c r="BD268" s="19" t="s">
        <v>1315</v>
      </c>
      <c r="BE268" s="19"/>
      <c r="BF268" s="19"/>
      <c r="BG268" s="24">
        <v>1</v>
      </c>
      <c r="BH268" s="19"/>
      <c r="BI268" s="25"/>
      <c r="BJ268" s="25"/>
      <c r="BK268" s="25"/>
      <c r="BL268" s="25"/>
      <c r="BM268" s="25"/>
      <c r="BN268" s="37"/>
      <c r="BO268" s="21"/>
      <c r="BP268" s="27">
        <f t="shared" si="92"/>
        <v>19800</v>
      </c>
      <c r="BQ268" s="27">
        <f t="shared" si="92"/>
        <v>0</v>
      </c>
      <c r="BR268" s="27">
        <f t="shared" si="92"/>
        <v>33000</v>
      </c>
      <c r="BS268" s="27">
        <f t="shared" si="92"/>
        <v>0</v>
      </c>
      <c r="BT268" s="28">
        <f t="shared" si="91"/>
        <v>0</v>
      </c>
      <c r="BU268" s="28">
        <f t="shared" si="87"/>
        <v>0</v>
      </c>
      <c r="BV268" s="28">
        <f t="shared" si="88"/>
        <v>0</v>
      </c>
      <c r="BW268" s="28">
        <f t="shared" si="89"/>
        <v>0</v>
      </c>
    </row>
    <row r="269" spans="1:75" ht="17.399999999999999" x14ac:dyDescent="0.25">
      <c r="A269" s="69">
        <f t="shared" si="84"/>
        <v>268</v>
      </c>
      <c r="B269" s="73" t="s">
        <v>1325</v>
      </c>
      <c r="C269" s="71" t="s">
        <v>149</v>
      </c>
      <c r="D269" s="71" t="s">
        <v>1326</v>
      </c>
      <c r="E269" s="71" t="s">
        <v>1302</v>
      </c>
      <c r="F269" s="71" t="s">
        <v>1327</v>
      </c>
      <c r="G269" s="71" t="s">
        <v>337</v>
      </c>
      <c r="H269" s="71" t="s">
        <v>338</v>
      </c>
      <c r="I269" s="71" t="str">
        <f>VLOOKUP(H269,[1]Sheet1!$C:$C,1,0)</f>
        <v>SC2443SO-Q-DB-60CR-2443</v>
      </c>
      <c r="J269" s="71"/>
      <c r="K269" s="71"/>
      <c r="L269" s="73" t="s">
        <v>876</v>
      </c>
      <c r="M269" s="80">
        <v>6000000</v>
      </c>
      <c r="N269" s="72" t="s">
        <v>361</v>
      </c>
      <c r="O269" s="93" t="s">
        <v>1328</v>
      </c>
      <c r="P269" s="71" t="s">
        <v>1157</v>
      </c>
      <c r="Q269" s="71"/>
      <c r="R269" s="100">
        <v>0.4</v>
      </c>
      <c r="S269" s="75">
        <f t="shared" si="90"/>
        <v>144000</v>
      </c>
      <c r="T269" s="88">
        <f>R269*SUM(AK269:AP269)</f>
        <v>0</v>
      </c>
      <c r="U269" s="76">
        <f t="shared" si="86"/>
        <v>360000</v>
      </c>
      <c r="V269" s="80">
        <v>140000</v>
      </c>
      <c r="W269" s="80">
        <v>140000</v>
      </c>
      <c r="X269" s="80">
        <v>150000</v>
      </c>
      <c r="Y269" s="80">
        <v>160000</v>
      </c>
      <c r="Z269" s="80">
        <v>120000</v>
      </c>
      <c r="AA269" s="80">
        <v>120000</v>
      </c>
      <c r="AB269" s="80">
        <v>120000</v>
      </c>
      <c r="AC269" s="80">
        <v>120000</v>
      </c>
      <c r="AD269" s="77">
        <v>120000</v>
      </c>
      <c r="AE269" s="75">
        <v>120000</v>
      </c>
      <c r="AF269" s="75">
        <v>120000</v>
      </c>
      <c r="AG269" s="75">
        <v>120000</v>
      </c>
      <c r="AH269" s="75">
        <v>120000</v>
      </c>
      <c r="AI269" s="75">
        <v>120000</v>
      </c>
      <c r="AJ269" s="75">
        <v>120000</v>
      </c>
      <c r="AK269" s="31">
        <v>0</v>
      </c>
      <c r="AL269" s="31">
        <v>0</v>
      </c>
      <c r="AM269" s="31">
        <v>0</v>
      </c>
      <c r="AN269" s="31">
        <v>0</v>
      </c>
      <c r="AO269" s="31">
        <v>0</v>
      </c>
      <c r="AP269" s="31">
        <v>0</v>
      </c>
      <c r="AQ269" s="31">
        <v>0</v>
      </c>
      <c r="AR269" s="31">
        <v>0</v>
      </c>
      <c r="AS269" s="31">
        <v>0</v>
      </c>
      <c r="AT269" s="31">
        <v>0</v>
      </c>
      <c r="AU269" s="31">
        <v>0</v>
      </c>
      <c r="AV269" s="31">
        <v>0</v>
      </c>
      <c r="AW269" s="10" t="s">
        <v>155</v>
      </c>
      <c r="AX269" s="10" t="s">
        <v>85</v>
      </c>
      <c r="AY269" s="19" t="s">
        <v>261</v>
      </c>
      <c r="AZ269" s="10" t="s">
        <v>62</v>
      </c>
      <c r="BA269" s="10" t="s">
        <v>96</v>
      </c>
      <c r="BB269" s="10" t="s">
        <v>1329</v>
      </c>
      <c r="BC269" s="10" t="s">
        <v>1330</v>
      </c>
      <c r="BD269" s="10" t="s">
        <v>1331</v>
      </c>
      <c r="BE269" s="10"/>
      <c r="BF269" s="10"/>
      <c r="BG269" s="13">
        <v>1</v>
      </c>
      <c r="BH269" s="10"/>
      <c r="BI269" s="14"/>
      <c r="BJ269" s="14"/>
      <c r="BK269" s="14"/>
      <c r="BL269" s="14"/>
      <c r="BM269" s="14"/>
      <c r="BN269" s="35"/>
      <c r="BO269" s="11"/>
      <c r="BP269" s="16">
        <f t="shared" si="92"/>
        <v>48000</v>
      </c>
      <c r="BQ269" s="16">
        <f t="shared" si="92"/>
        <v>48000</v>
      </c>
      <c r="BR269" s="16">
        <f t="shared" si="92"/>
        <v>48000</v>
      </c>
      <c r="BS269" s="16">
        <f t="shared" si="92"/>
        <v>48000</v>
      </c>
      <c r="BT269" s="17">
        <f t="shared" si="91"/>
        <v>48000</v>
      </c>
      <c r="BU269" s="28">
        <f t="shared" si="87"/>
        <v>48000</v>
      </c>
      <c r="BV269" s="28">
        <f t="shared" si="88"/>
        <v>48000</v>
      </c>
      <c r="BW269" s="28">
        <f t="shared" si="89"/>
        <v>48000</v>
      </c>
    </row>
    <row r="270" spans="1:75" ht="17.399999999999999" x14ac:dyDescent="0.25">
      <c r="A270" s="69">
        <f t="shared" si="84"/>
        <v>269</v>
      </c>
      <c r="B270" s="73" t="s">
        <v>1325</v>
      </c>
      <c r="C270" s="71" t="s">
        <v>149</v>
      </c>
      <c r="D270" s="71" t="s">
        <v>1326</v>
      </c>
      <c r="E270" s="71" t="s">
        <v>1302</v>
      </c>
      <c r="F270" s="71" t="s">
        <v>1327</v>
      </c>
      <c r="G270" s="71" t="s">
        <v>1332</v>
      </c>
      <c r="H270" s="71" t="s">
        <v>1333</v>
      </c>
      <c r="I270" s="71" t="str">
        <f>VLOOKUP(H270,[1]Sheet1!$C:$C,1,0)</f>
        <v>SC243XSO-Q-CM-10CR-243X</v>
      </c>
      <c r="J270" s="71"/>
      <c r="K270" s="71"/>
      <c r="L270" s="71" t="s">
        <v>1334</v>
      </c>
      <c r="M270" s="80">
        <v>400000</v>
      </c>
      <c r="N270" s="72" t="s">
        <v>361</v>
      </c>
      <c r="O270" s="93" t="s">
        <v>1335</v>
      </c>
      <c r="P270" s="71" t="s">
        <v>295</v>
      </c>
      <c r="Q270" s="71"/>
      <c r="R270" s="100">
        <v>0.4</v>
      </c>
      <c r="S270" s="75">
        <f t="shared" si="90"/>
        <v>16000</v>
      </c>
      <c r="T270" s="88">
        <f>R270*SUM(AK270:AP270)</f>
        <v>0</v>
      </c>
      <c r="U270" s="76">
        <f t="shared" si="86"/>
        <v>40000</v>
      </c>
      <c r="V270" s="80">
        <v>40000</v>
      </c>
      <c r="W270" s="80">
        <v>40000</v>
      </c>
      <c r="X270" s="80">
        <v>40000</v>
      </c>
      <c r="Y270" s="80">
        <v>40000</v>
      </c>
      <c r="Z270" s="80">
        <v>40000</v>
      </c>
      <c r="AA270" s="80">
        <v>20000</v>
      </c>
      <c r="AB270" s="80">
        <v>20000</v>
      </c>
      <c r="AC270" s="80">
        <v>20000</v>
      </c>
      <c r="AD270" s="77"/>
      <c r="AE270" s="75"/>
      <c r="AF270" s="75">
        <v>20000</v>
      </c>
      <c r="AG270" s="75">
        <v>20000</v>
      </c>
      <c r="AH270" s="75">
        <v>20000</v>
      </c>
      <c r="AI270" s="75">
        <v>20000</v>
      </c>
      <c r="AJ270" s="75">
        <v>20000</v>
      </c>
      <c r="AK270" s="33">
        <v>0</v>
      </c>
      <c r="AL270" s="33">
        <v>0</v>
      </c>
      <c r="AM270" s="33">
        <v>0</v>
      </c>
      <c r="AN270" s="33">
        <v>0</v>
      </c>
      <c r="AO270" s="33">
        <v>0</v>
      </c>
      <c r="AP270" s="33">
        <v>0</v>
      </c>
      <c r="AQ270" s="33">
        <v>0</v>
      </c>
      <c r="AR270" s="33">
        <v>0</v>
      </c>
      <c r="AS270" s="33">
        <v>0</v>
      </c>
      <c r="AT270" s="33">
        <v>0</v>
      </c>
      <c r="AU270" s="33">
        <v>0</v>
      </c>
      <c r="AV270" s="33">
        <v>0</v>
      </c>
      <c r="AW270" s="19" t="s">
        <v>155</v>
      </c>
      <c r="AX270" s="19" t="s">
        <v>85</v>
      </c>
      <c r="AY270" s="19" t="s">
        <v>261</v>
      </c>
      <c r="AZ270" s="42" t="s">
        <v>62</v>
      </c>
      <c r="BA270" s="42" t="s">
        <v>96</v>
      </c>
      <c r="BB270" s="42" t="s">
        <v>1336</v>
      </c>
      <c r="BC270" s="42" t="s">
        <v>1337</v>
      </c>
      <c r="BD270" s="19" t="s">
        <v>1338</v>
      </c>
      <c r="BE270" s="19"/>
      <c r="BF270" s="19" t="s">
        <v>1339</v>
      </c>
      <c r="BG270" s="24">
        <v>1</v>
      </c>
      <c r="BH270" s="19"/>
      <c r="BI270" s="25"/>
      <c r="BJ270" s="25"/>
      <c r="BK270" s="25"/>
      <c r="BL270" s="25"/>
      <c r="BM270" s="25"/>
      <c r="BN270" s="37"/>
      <c r="BO270" s="21"/>
      <c r="BP270" s="27">
        <f t="shared" si="92"/>
        <v>16000</v>
      </c>
      <c r="BQ270" s="27">
        <f t="shared" si="92"/>
        <v>8000</v>
      </c>
      <c r="BR270" s="27">
        <f t="shared" si="92"/>
        <v>8000</v>
      </c>
      <c r="BS270" s="27">
        <f t="shared" si="92"/>
        <v>8000</v>
      </c>
      <c r="BT270" s="28">
        <f t="shared" si="91"/>
        <v>0</v>
      </c>
      <c r="BU270" s="28">
        <f t="shared" si="87"/>
        <v>0</v>
      </c>
      <c r="BV270" s="28">
        <f t="shared" si="88"/>
        <v>8000</v>
      </c>
      <c r="BW270" s="28">
        <f t="shared" si="89"/>
        <v>8000</v>
      </c>
    </row>
    <row r="271" spans="1:75" ht="17.399999999999999" x14ac:dyDescent="0.25">
      <c r="A271" s="69">
        <f t="shared" si="84"/>
        <v>270</v>
      </c>
      <c r="B271" s="73" t="s">
        <v>1325</v>
      </c>
      <c r="C271" s="71" t="s">
        <v>149</v>
      </c>
      <c r="D271" s="71" t="s">
        <v>1326</v>
      </c>
      <c r="E271" s="71" t="s">
        <v>1302</v>
      </c>
      <c r="F271" s="71" t="s">
        <v>1327</v>
      </c>
      <c r="G271" s="71" t="s">
        <v>577</v>
      </c>
      <c r="H271" s="71" t="s">
        <v>1340</v>
      </c>
      <c r="I271" s="71" t="str">
        <f>VLOOKUP(H271,[1]Sheet1!$C:$C,1,0)</f>
        <v>SC2242SO-Q-CH-10CR-2242</v>
      </c>
      <c r="J271" s="71"/>
      <c r="K271" s="71"/>
      <c r="L271" s="71" t="s">
        <v>1341</v>
      </c>
      <c r="M271" s="80">
        <v>1000000</v>
      </c>
      <c r="N271" s="72" t="s">
        <v>361</v>
      </c>
      <c r="O271" s="93" t="s">
        <v>1342</v>
      </c>
      <c r="P271" s="71" t="s">
        <v>295</v>
      </c>
      <c r="Q271" s="71"/>
      <c r="R271" s="100">
        <v>0.4</v>
      </c>
      <c r="S271" s="75">
        <f t="shared" si="90"/>
        <v>48000</v>
      </c>
      <c r="T271" s="88">
        <f>R271*SUM(AK271:AP271)</f>
        <v>0</v>
      </c>
      <c r="U271" s="76">
        <f t="shared" si="86"/>
        <v>120000</v>
      </c>
      <c r="V271" s="80">
        <v>0</v>
      </c>
      <c r="W271" s="80">
        <v>0</v>
      </c>
      <c r="X271" s="80">
        <v>0</v>
      </c>
      <c r="Y271" s="80">
        <v>0</v>
      </c>
      <c r="Z271" s="80">
        <v>54000</v>
      </c>
      <c r="AA271" s="80">
        <v>0</v>
      </c>
      <c r="AB271" s="80">
        <v>0</v>
      </c>
      <c r="AC271" s="80">
        <v>60000</v>
      </c>
      <c r="AD271" s="77">
        <v>60000</v>
      </c>
      <c r="AE271" s="75">
        <v>0</v>
      </c>
      <c r="AF271" s="75">
        <v>60000</v>
      </c>
      <c r="AG271" s="75">
        <v>60000</v>
      </c>
      <c r="AH271" s="75">
        <v>0</v>
      </c>
      <c r="AI271" s="75">
        <v>60000</v>
      </c>
      <c r="AJ271" s="75">
        <v>0</v>
      </c>
      <c r="AK271" s="31">
        <v>0</v>
      </c>
      <c r="AL271" s="31">
        <v>0</v>
      </c>
      <c r="AM271" s="31">
        <v>0</v>
      </c>
      <c r="AN271" s="31">
        <v>0</v>
      </c>
      <c r="AO271" s="31">
        <v>0</v>
      </c>
      <c r="AP271" s="31">
        <v>0</v>
      </c>
      <c r="AQ271" s="31">
        <v>0</v>
      </c>
      <c r="AR271" s="31">
        <v>0</v>
      </c>
      <c r="AS271" s="31">
        <v>0</v>
      </c>
      <c r="AT271" s="31">
        <v>0</v>
      </c>
      <c r="AU271" s="31">
        <v>0</v>
      </c>
      <c r="AV271" s="31">
        <v>0</v>
      </c>
      <c r="AW271" s="10" t="s">
        <v>155</v>
      </c>
      <c r="AX271" s="10" t="s">
        <v>85</v>
      </c>
      <c r="AY271" s="19" t="s">
        <v>261</v>
      </c>
      <c r="AZ271" s="43" t="s">
        <v>62</v>
      </c>
      <c r="BA271" s="43" t="s">
        <v>96</v>
      </c>
      <c r="BB271" s="43" t="s">
        <v>1336</v>
      </c>
      <c r="BC271" s="43" t="s">
        <v>1343</v>
      </c>
      <c r="BD271" s="10" t="s">
        <v>1344</v>
      </c>
      <c r="BE271" s="10"/>
      <c r="BF271" s="10" t="s">
        <v>1345</v>
      </c>
      <c r="BG271" s="13">
        <v>3</v>
      </c>
      <c r="BH271" s="10"/>
      <c r="BI271" s="14"/>
      <c r="BJ271" s="14"/>
      <c r="BK271" s="14"/>
      <c r="BL271" s="14"/>
      <c r="BM271" s="14"/>
      <c r="BN271" s="35"/>
      <c r="BO271" s="11"/>
      <c r="BP271" s="16">
        <f t="shared" si="92"/>
        <v>21600</v>
      </c>
      <c r="BQ271" s="16">
        <f t="shared" si="92"/>
        <v>0</v>
      </c>
      <c r="BR271" s="16">
        <f t="shared" si="92"/>
        <v>0</v>
      </c>
      <c r="BS271" s="16">
        <f t="shared" si="92"/>
        <v>24000</v>
      </c>
      <c r="BT271" s="17">
        <f t="shared" si="91"/>
        <v>24000</v>
      </c>
      <c r="BU271" s="28">
        <f t="shared" si="87"/>
        <v>0</v>
      </c>
      <c r="BV271" s="28">
        <f t="shared" si="88"/>
        <v>24000</v>
      </c>
      <c r="BW271" s="28">
        <f t="shared" si="89"/>
        <v>24000</v>
      </c>
    </row>
    <row r="272" spans="1:75" ht="17.399999999999999" x14ac:dyDescent="0.25">
      <c r="A272" s="69">
        <f t="shared" si="84"/>
        <v>271</v>
      </c>
      <c r="B272" s="73" t="s">
        <v>1944</v>
      </c>
      <c r="C272" s="71" t="s">
        <v>243</v>
      </c>
      <c r="D272" s="71" t="s">
        <v>1811</v>
      </c>
      <c r="E272" s="71" t="s">
        <v>978</v>
      </c>
      <c r="F272" s="71" t="s">
        <v>978</v>
      </c>
      <c r="G272" s="71" t="s">
        <v>1998</v>
      </c>
      <c r="H272" s="71" t="s">
        <v>1999</v>
      </c>
      <c r="I272" s="71" t="str">
        <f>VLOOKUP(H272,[1]Sheet1!$C:$C,1,0)</f>
        <v>SC4643SA-Q-DE-40CK-4643</v>
      </c>
      <c r="J272" s="71"/>
      <c r="K272" s="71"/>
      <c r="L272" s="73"/>
      <c r="M272" s="80"/>
      <c r="N272" s="72"/>
      <c r="O272" s="73"/>
      <c r="P272" s="71"/>
      <c r="Q272" s="71"/>
      <c r="R272" s="100">
        <v>0.45</v>
      </c>
      <c r="S272" s="75"/>
      <c r="T272" s="91"/>
      <c r="U272" s="76">
        <f t="shared" si="86"/>
        <v>0</v>
      </c>
      <c r="V272" s="80"/>
      <c r="W272" s="80"/>
      <c r="X272" s="80"/>
      <c r="Y272" s="72"/>
      <c r="Z272" s="72"/>
      <c r="AA272" s="72"/>
      <c r="AB272" s="72"/>
      <c r="AC272" s="72"/>
      <c r="AD272" s="77"/>
      <c r="AE272" s="75"/>
      <c r="AF272" s="75"/>
      <c r="AG272" s="75"/>
      <c r="AH272" s="75"/>
      <c r="AI272" s="75"/>
      <c r="AJ272" s="75"/>
      <c r="AK272" s="33"/>
      <c r="AL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19"/>
      <c r="AX272" s="19"/>
      <c r="AY272" s="19" t="s">
        <v>247</v>
      </c>
      <c r="AZ272" s="19"/>
      <c r="BA272" s="19"/>
      <c r="BB272" s="19"/>
      <c r="BC272" s="19"/>
      <c r="BD272" s="19"/>
      <c r="BE272" s="19"/>
      <c r="BF272" s="19"/>
      <c r="BG272" s="24"/>
      <c r="BH272" s="19"/>
      <c r="BI272" s="25"/>
      <c r="BJ272" s="25"/>
      <c r="BK272" s="25"/>
      <c r="BL272" s="25"/>
      <c r="BM272" s="25"/>
      <c r="BN272" s="37"/>
      <c r="BO272" s="21"/>
      <c r="BP272" s="27"/>
      <c r="BQ272" s="27"/>
      <c r="BR272" s="27"/>
      <c r="BS272" s="27"/>
      <c r="BT272" s="28"/>
      <c r="BU272" s="28">
        <f t="shared" si="87"/>
        <v>0</v>
      </c>
      <c r="BV272" s="28">
        <f t="shared" si="88"/>
        <v>0</v>
      </c>
      <c r="BW272" s="28">
        <f t="shared" si="89"/>
        <v>0</v>
      </c>
    </row>
    <row r="273" spans="1:75" ht="17.399999999999999" x14ac:dyDescent="0.25">
      <c r="A273" s="69">
        <f t="shared" si="84"/>
        <v>272</v>
      </c>
      <c r="B273" s="73" t="s">
        <v>1352</v>
      </c>
      <c r="C273" s="71" t="s">
        <v>56</v>
      </c>
      <c r="D273" s="71" t="s">
        <v>1353</v>
      </c>
      <c r="E273" s="71" t="s">
        <v>1302</v>
      </c>
      <c r="F273" s="71" t="s">
        <v>1354</v>
      </c>
      <c r="G273" s="71" t="s">
        <v>259</v>
      </c>
      <c r="H273" s="71" t="s">
        <v>1280</v>
      </c>
      <c r="I273" s="71" t="str">
        <f>VLOOKUP(H273,[1]Sheet1!$C:$C,1,0)</f>
        <v>SC2498SO-Q-DB-60CR-2498</v>
      </c>
      <c r="J273" s="71"/>
      <c r="K273" s="71"/>
      <c r="L273" s="71" t="s">
        <v>1355</v>
      </c>
      <c r="M273" s="80">
        <v>2000000</v>
      </c>
      <c r="N273" s="72" t="s">
        <v>361</v>
      </c>
      <c r="O273" s="73" t="s">
        <v>1356</v>
      </c>
      <c r="P273" s="71" t="s">
        <v>295</v>
      </c>
      <c r="Q273" s="71"/>
      <c r="R273" s="100">
        <v>0.59799999999999998</v>
      </c>
      <c r="S273" s="75">
        <f t="shared" ref="S273:S284" si="93">R273*U273</f>
        <v>107640</v>
      </c>
      <c r="T273" s="88">
        <f t="shared" ref="T273:T284" si="94">R273*SUM(AK273:AP273)</f>
        <v>0</v>
      </c>
      <c r="U273" s="76">
        <f t="shared" si="86"/>
        <v>180000</v>
      </c>
      <c r="V273" s="80">
        <v>60000</v>
      </c>
      <c r="W273" s="72">
        <v>0</v>
      </c>
      <c r="X273" s="72">
        <v>0</v>
      </c>
      <c r="Y273" s="72">
        <v>0</v>
      </c>
      <c r="Z273" s="72">
        <v>0</v>
      </c>
      <c r="AA273" s="72">
        <v>60000</v>
      </c>
      <c r="AB273" s="72">
        <v>0</v>
      </c>
      <c r="AC273" s="72">
        <v>60000</v>
      </c>
      <c r="AD273" s="77">
        <v>60000</v>
      </c>
      <c r="AE273" s="75">
        <v>60000</v>
      </c>
      <c r="AF273" s="75">
        <v>60000</v>
      </c>
      <c r="AG273" s="75">
        <v>60000</v>
      </c>
      <c r="AH273" s="75">
        <v>60000</v>
      </c>
      <c r="AI273" s="75">
        <v>60000</v>
      </c>
      <c r="AJ273" s="75">
        <v>60000</v>
      </c>
      <c r="AK273" s="31">
        <v>0</v>
      </c>
      <c r="AL273" s="31">
        <v>0</v>
      </c>
      <c r="AM273" s="31">
        <v>0</v>
      </c>
      <c r="AN273" s="31">
        <v>0</v>
      </c>
      <c r="AO273" s="31">
        <v>0</v>
      </c>
      <c r="AP273" s="31">
        <v>0</v>
      </c>
      <c r="AQ273" s="31">
        <v>0</v>
      </c>
      <c r="AR273" s="31">
        <v>0</v>
      </c>
      <c r="AS273" s="31">
        <v>0</v>
      </c>
      <c r="AT273" s="31">
        <v>0</v>
      </c>
      <c r="AU273" s="31">
        <v>0</v>
      </c>
      <c r="AV273" s="31">
        <v>0</v>
      </c>
      <c r="AW273" s="10" t="s">
        <v>1357</v>
      </c>
      <c r="AX273" s="10" t="s">
        <v>85</v>
      </c>
      <c r="AY273" s="19" t="s">
        <v>261</v>
      </c>
      <c r="AZ273" s="10" t="s">
        <v>62</v>
      </c>
      <c r="BA273" s="10" t="s">
        <v>86</v>
      </c>
      <c r="BB273" s="10" t="s">
        <v>1358</v>
      </c>
      <c r="BC273" s="10" t="s">
        <v>1359</v>
      </c>
      <c r="BD273" s="10" t="s">
        <v>1360</v>
      </c>
      <c r="BE273" s="10"/>
      <c r="BF273" s="10"/>
      <c r="BG273" s="13">
        <v>1</v>
      </c>
      <c r="BH273" s="10"/>
      <c r="BI273" s="14"/>
      <c r="BJ273" s="14"/>
      <c r="BK273" s="14"/>
      <c r="BL273" s="14"/>
      <c r="BM273" s="14"/>
      <c r="BN273" s="35"/>
      <c r="BO273" s="11"/>
      <c r="BP273" s="16">
        <f t="shared" ref="BP273:BP284" si="95">$R273*Z273</f>
        <v>0</v>
      </c>
      <c r="BQ273" s="16">
        <f t="shared" ref="BQ273:BQ284" si="96">$R273*AA273</f>
        <v>35880</v>
      </c>
      <c r="BR273" s="16">
        <f t="shared" ref="BR273:BR284" si="97">$R273*AB273</f>
        <v>0</v>
      </c>
      <c r="BS273" s="16">
        <f t="shared" ref="BS273:BS284" si="98">$R273*AC273</f>
        <v>35880</v>
      </c>
      <c r="BT273" s="17">
        <f t="shared" ref="BT273:BT284" si="99">$R273*AD273</f>
        <v>35880</v>
      </c>
      <c r="BU273" s="28">
        <f t="shared" si="87"/>
        <v>35880</v>
      </c>
      <c r="BV273" s="28">
        <f t="shared" si="88"/>
        <v>35880</v>
      </c>
      <c r="BW273" s="28">
        <f t="shared" si="89"/>
        <v>35880</v>
      </c>
    </row>
    <row r="274" spans="1:75" ht="17.399999999999999" x14ac:dyDescent="0.25">
      <c r="A274" s="69">
        <f t="shared" si="84"/>
        <v>273</v>
      </c>
      <c r="B274" s="73" t="s">
        <v>1352</v>
      </c>
      <c r="C274" s="71" t="s">
        <v>56</v>
      </c>
      <c r="D274" s="71" t="s">
        <v>1353</v>
      </c>
      <c r="E274" s="71" t="s">
        <v>1302</v>
      </c>
      <c r="F274" s="71" t="s">
        <v>1354</v>
      </c>
      <c r="G274" s="71" t="s">
        <v>259</v>
      </c>
      <c r="H274" s="71" t="s">
        <v>1280</v>
      </c>
      <c r="I274" s="71" t="str">
        <f>VLOOKUP(H274,[1]Sheet1!$C:$C,1,0)</f>
        <v>SC2498SO-Q-DB-60CR-2498</v>
      </c>
      <c r="J274" s="71"/>
      <c r="K274" s="71"/>
      <c r="L274" s="71" t="s">
        <v>1361</v>
      </c>
      <c r="M274" s="80">
        <v>0</v>
      </c>
      <c r="N274" s="72" t="s">
        <v>367</v>
      </c>
      <c r="O274" s="73" t="s">
        <v>1362</v>
      </c>
      <c r="P274" s="71" t="s">
        <v>295</v>
      </c>
      <c r="Q274" s="71"/>
      <c r="R274" s="100">
        <v>0.59799999999999998</v>
      </c>
      <c r="S274" s="75">
        <f t="shared" si="93"/>
        <v>5980</v>
      </c>
      <c r="T274" s="88">
        <f t="shared" si="94"/>
        <v>0</v>
      </c>
      <c r="U274" s="76">
        <f t="shared" si="86"/>
        <v>10000</v>
      </c>
      <c r="V274" s="80">
        <v>0</v>
      </c>
      <c r="W274" s="80">
        <v>0</v>
      </c>
      <c r="X274" s="80">
        <v>0</v>
      </c>
      <c r="Y274" s="80">
        <v>0</v>
      </c>
      <c r="Z274" s="80">
        <v>0</v>
      </c>
      <c r="AA274" s="80">
        <v>0</v>
      </c>
      <c r="AB274" s="80">
        <v>0</v>
      </c>
      <c r="AC274" s="80">
        <v>0</v>
      </c>
      <c r="AD274" s="77">
        <v>0</v>
      </c>
      <c r="AE274" s="75">
        <v>0</v>
      </c>
      <c r="AF274" s="75">
        <v>0</v>
      </c>
      <c r="AG274" s="75">
        <v>10000</v>
      </c>
      <c r="AH274" s="75"/>
      <c r="AI274" s="75"/>
      <c r="AJ274" s="75">
        <v>0</v>
      </c>
      <c r="AK274" s="33">
        <v>0</v>
      </c>
      <c r="AL274" s="33">
        <v>0</v>
      </c>
      <c r="AM274" s="33">
        <v>0</v>
      </c>
      <c r="AN274" s="33">
        <v>0</v>
      </c>
      <c r="AO274" s="33">
        <v>0</v>
      </c>
      <c r="AP274" s="33">
        <v>0</v>
      </c>
      <c r="AQ274" s="33">
        <v>0</v>
      </c>
      <c r="AR274" s="33">
        <v>0</v>
      </c>
      <c r="AS274" s="33">
        <v>0</v>
      </c>
      <c r="AT274" s="33">
        <v>0</v>
      </c>
      <c r="AU274" s="33">
        <v>0</v>
      </c>
      <c r="AV274" s="33">
        <v>0</v>
      </c>
      <c r="AW274" s="19" t="s">
        <v>1357</v>
      </c>
      <c r="AX274" s="19" t="s">
        <v>85</v>
      </c>
      <c r="AY274" s="19" t="s">
        <v>261</v>
      </c>
      <c r="AZ274" s="19" t="s">
        <v>62</v>
      </c>
      <c r="BA274" s="19" t="s">
        <v>86</v>
      </c>
      <c r="BB274" s="19" t="s">
        <v>1358</v>
      </c>
      <c r="BC274" s="19" t="s">
        <v>1363</v>
      </c>
      <c r="BD274" s="19" t="s">
        <v>1360</v>
      </c>
      <c r="BE274" s="19"/>
      <c r="BF274" s="19"/>
      <c r="BG274" s="24">
        <v>1</v>
      </c>
      <c r="BH274" s="19"/>
      <c r="BI274" s="25"/>
      <c r="BJ274" s="25"/>
      <c r="BK274" s="25"/>
      <c r="BL274" s="25"/>
      <c r="BM274" s="25"/>
      <c r="BN274" s="37"/>
      <c r="BO274" s="21"/>
      <c r="BP274" s="27">
        <f t="shared" si="95"/>
        <v>0</v>
      </c>
      <c r="BQ274" s="27">
        <f t="shared" si="96"/>
        <v>0</v>
      </c>
      <c r="BR274" s="27">
        <f t="shared" si="97"/>
        <v>0</v>
      </c>
      <c r="BS274" s="27">
        <f t="shared" si="98"/>
        <v>0</v>
      </c>
      <c r="BT274" s="28">
        <f t="shared" si="99"/>
        <v>0</v>
      </c>
      <c r="BU274" s="28">
        <f t="shared" si="87"/>
        <v>0</v>
      </c>
      <c r="BV274" s="28">
        <f t="shared" si="88"/>
        <v>0</v>
      </c>
      <c r="BW274" s="28">
        <f t="shared" si="89"/>
        <v>5980</v>
      </c>
    </row>
    <row r="275" spans="1:75" ht="17.399999999999999" x14ac:dyDescent="0.25">
      <c r="A275" s="69">
        <f t="shared" si="84"/>
        <v>274</v>
      </c>
      <c r="B275" s="73" t="s">
        <v>1364</v>
      </c>
      <c r="C275" s="71" t="s">
        <v>56</v>
      </c>
      <c r="D275" s="71" t="s">
        <v>1364</v>
      </c>
      <c r="E275" s="71" t="s">
        <v>1302</v>
      </c>
      <c r="F275" s="71" t="s">
        <v>1365</v>
      </c>
      <c r="G275" s="71" t="s">
        <v>911</v>
      </c>
      <c r="H275" s="71" t="s">
        <v>1366</v>
      </c>
      <c r="I275" s="71" t="str">
        <f>VLOOKUP(H275,[1]Sheet1!$C:$C,1,0)</f>
        <v>SC2464SO-CJ-10CR-2464</v>
      </c>
      <c r="J275" s="71"/>
      <c r="K275" s="71"/>
      <c r="L275" s="73" t="s">
        <v>1367</v>
      </c>
      <c r="M275" s="80">
        <v>6000000</v>
      </c>
      <c r="N275" s="72" t="s">
        <v>361</v>
      </c>
      <c r="O275" s="93" t="s">
        <v>1368</v>
      </c>
      <c r="P275" s="71" t="s">
        <v>295</v>
      </c>
      <c r="Q275" s="71"/>
      <c r="R275" s="100">
        <v>0.28000000000000003</v>
      </c>
      <c r="S275" s="75">
        <f t="shared" si="93"/>
        <v>4200</v>
      </c>
      <c r="T275" s="88">
        <f t="shared" si="94"/>
        <v>0</v>
      </c>
      <c r="U275" s="76">
        <f t="shared" si="86"/>
        <v>15000</v>
      </c>
      <c r="V275" s="80">
        <v>0</v>
      </c>
      <c r="W275" s="80">
        <v>0</v>
      </c>
      <c r="X275" s="80">
        <v>390000</v>
      </c>
      <c r="Y275" s="80">
        <v>0</v>
      </c>
      <c r="Z275" s="80">
        <v>300000</v>
      </c>
      <c r="AA275" s="80">
        <v>690000</v>
      </c>
      <c r="AB275" s="80">
        <v>0</v>
      </c>
      <c r="AC275" s="80">
        <v>0</v>
      </c>
      <c r="AD275" s="77">
        <v>0</v>
      </c>
      <c r="AE275" s="75">
        <v>0</v>
      </c>
      <c r="AF275" s="75">
        <v>15000</v>
      </c>
      <c r="AG275" s="75">
        <v>0</v>
      </c>
      <c r="AH275" s="75">
        <v>15000</v>
      </c>
      <c r="AI275" s="75">
        <v>0</v>
      </c>
      <c r="AJ275" s="75">
        <v>15000</v>
      </c>
      <c r="AK275" s="31">
        <v>0</v>
      </c>
      <c r="AL275" s="31">
        <v>0</v>
      </c>
      <c r="AM275" s="31">
        <v>0</v>
      </c>
      <c r="AN275" s="31">
        <v>0</v>
      </c>
      <c r="AO275" s="31">
        <v>0</v>
      </c>
      <c r="AP275" s="31">
        <v>0</v>
      </c>
      <c r="AQ275" s="31">
        <v>0</v>
      </c>
      <c r="AR275" s="31">
        <v>0</v>
      </c>
      <c r="AS275" s="31">
        <v>0</v>
      </c>
      <c r="AT275" s="31">
        <v>0</v>
      </c>
      <c r="AU275" s="31">
        <v>0</v>
      </c>
      <c r="AV275" s="31">
        <v>0</v>
      </c>
      <c r="AW275" s="10" t="s">
        <v>978</v>
      </c>
      <c r="AX275" s="10" t="s">
        <v>85</v>
      </c>
      <c r="AY275" s="19" t="s">
        <v>261</v>
      </c>
      <c r="AZ275" s="10" t="s">
        <v>167</v>
      </c>
      <c r="BA275" s="10" t="s">
        <v>317</v>
      </c>
      <c r="BB275" s="10" t="s">
        <v>330</v>
      </c>
      <c r="BC275" s="10" t="s">
        <v>336</v>
      </c>
      <c r="BD275" s="10"/>
      <c r="BE275" s="10"/>
      <c r="BF275" s="10"/>
      <c r="BG275" s="13">
        <v>64</v>
      </c>
      <c r="BH275" s="10"/>
      <c r="BI275" s="14"/>
      <c r="BJ275" s="14"/>
      <c r="BK275" s="14"/>
      <c r="BL275" s="14"/>
      <c r="BM275" s="14"/>
      <c r="BN275" s="35"/>
      <c r="BO275" s="11"/>
      <c r="BP275" s="16">
        <f t="shared" si="95"/>
        <v>84000.000000000015</v>
      </c>
      <c r="BQ275" s="16">
        <f t="shared" si="96"/>
        <v>193200.00000000003</v>
      </c>
      <c r="BR275" s="16">
        <f t="shared" si="97"/>
        <v>0</v>
      </c>
      <c r="BS275" s="16">
        <f t="shared" si="98"/>
        <v>0</v>
      </c>
      <c r="BT275" s="17">
        <f t="shared" si="99"/>
        <v>0</v>
      </c>
      <c r="BU275" s="28">
        <f t="shared" si="87"/>
        <v>0</v>
      </c>
      <c r="BV275" s="28">
        <f t="shared" si="88"/>
        <v>4200</v>
      </c>
      <c r="BW275" s="28">
        <f t="shared" si="89"/>
        <v>0</v>
      </c>
    </row>
    <row r="276" spans="1:75" ht="17.399999999999999" x14ac:dyDescent="0.25">
      <c r="A276" s="69">
        <f t="shared" si="84"/>
        <v>275</v>
      </c>
      <c r="B276" s="73" t="s">
        <v>1369</v>
      </c>
      <c r="C276" s="71" t="s">
        <v>56</v>
      </c>
      <c r="D276" s="71" t="s">
        <v>1307</v>
      </c>
      <c r="E276" s="71" t="s">
        <v>1302</v>
      </c>
      <c r="F276" s="71" t="s">
        <v>1308</v>
      </c>
      <c r="G276" s="71" t="s">
        <v>1370</v>
      </c>
      <c r="H276" s="71" t="s">
        <v>1371</v>
      </c>
      <c r="I276" s="71" t="str">
        <f>VLOOKUP(H276,[1]Sheet1!$C:$C,1,0)</f>
        <v>SC9675IM-LRF00-Q-AB-4XAR-9675</v>
      </c>
      <c r="J276" s="71"/>
      <c r="K276" s="71"/>
      <c r="L276" s="71" t="s">
        <v>1372</v>
      </c>
      <c r="M276" s="80"/>
      <c r="N276" s="72" t="s">
        <v>367</v>
      </c>
      <c r="O276" s="73" t="s">
        <v>1373</v>
      </c>
      <c r="P276" s="71" t="s">
        <v>1374</v>
      </c>
      <c r="Q276" s="71"/>
      <c r="R276" s="100">
        <v>7.1</v>
      </c>
      <c r="S276" s="75">
        <f t="shared" si="93"/>
        <v>0</v>
      </c>
      <c r="T276" s="88">
        <f t="shared" si="94"/>
        <v>0</v>
      </c>
      <c r="U276" s="76">
        <f t="shared" si="86"/>
        <v>0</v>
      </c>
      <c r="V276" s="80">
        <v>0</v>
      </c>
      <c r="W276" s="80">
        <v>0</v>
      </c>
      <c r="X276" s="80">
        <v>0</v>
      </c>
      <c r="Y276" s="80">
        <v>0</v>
      </c>
      <c r="Z276" s="80">
        <v>0</v>
      </c>
      <c r="AA276" s="80">
        <v>0</v>
      </c>
      <c r="AB276" s="80">
        <v>0</v>
      </c>
      <c r="AC276" s="80">
        <v>0</v>
      </c>
      <c r="AD276" s="77">
        <v>0</v>
      </c>
      <c r="AE276" s="75">
        <v>0</v>
      </c>
      <c r="AF276" s="75">
        <v>0</v>
      </c>
      <c r="AG276" s="75">
        <v>0</v>
      </c>
      <c r="AH276" s="75">
        <v>0</v>
      </c>
      <c r="AI276" s="75"/>
      <c r="AJ276" s="75">
        <v>0</v>
      </c>
      <c r="AK276" s="33">
        <v>0</v>
      </c>
      <c r="AL276" s="33">
        <v>0</v>
      </c>
      <c r="AM276" s="33">
        <v>0</v>
      </c>
      <c r="AN276" s="33">
        <v>0</v>
      </c>
      <c r="AO276" s="33">
        <v>0</v>
      </c>
      <c r="AP276" s="33">
        <v>0</v>
      </c>
      <c r="AQ276" s="33">
        <v>0</v>
      </c>
      <c r="AR276" s="33">
        <v>0</v>
      </c>
      <c r="AS276" s="33">
        <v>0</v>
      </c>
      <c r="AT276" s="33">
        <v>0</v>
      </c>
      <c r="AU276" s="33">
        <v>0</v>
      </c>
      <c r="AV276" s="33">
        <v>0</v>
      </c>
      <c r="AW276" s="19" t="s">
        <v>1375</v>
      </c>
      <c r="AX276" s="19" t="s">
        <v>85</v>
      </c>
      <c r="AY276" s="19" t="s">
        <v>386</v>
      </c>
      <c r="AZ276" s="42" t="s">
        <v>1376</v>
      </c>
      <c r="BA276" s="42" t="s">
        <v>317</v>
      </c>
      <c r="BB276" s="42" t="s">
        <v>330</v>
      </c>
      <c r="BC276" s="42" t="s">
        <v>336</v>
      </c>
      <c r="BD276" s="19"/>
      <c r="BE276" s="19"/>
      <c r="BF276" s="19"/>
      <c r="BG276" s="24"/>
      <c r="BH276" s="19"/>
      <c r="BI276" s="25"/>
      <c r="BJ276" s="25"/>
      <c r="BK276" s="25"/>
      <c r="BL276" s="25"/>
      <c r="BM276" s="25"/>
      <c r="BN276" s="37"/>
      <c r="BO276" s="21"/>
      <c r="BP276" s="27">
        <f t="shared" si="95"/>
        <v>0</v>
      </c>
      <c r="BQ276" s="27">
        <f t="shared" si="96"/>
        <v>0</v>
      </c>
      <c r="BR276" s="27">
        <f t="shared" si="97"/>
        <v>0</v>
      </c>
      <c r="BS276" s="27">
        <f t="shared" si="98"/>
        <v>0</v>
      </c>
      <c r="BT276" s="28">
        <f t="shared" si="99"/>
        <v>0</v>
      </c>
      <c r="BU276" s="28">
        <f t="shared" si="87"/>
        <v>0</v>
      </c>
      <c r="BV276" s="28">
        <f t="shared" si="88"/>
        <v>0</v>
      </c>
      <c r="BW276" s="28">
        <f t="shared" si="89"/>
        <v>0</v>
      </c>
    </row>
    <row r="277" spans="1:75" ht="17.399999999999999" x14ac:dyDescent="0.25">
      <c r="A277" s="69">
        <f t="shared" si="84"/>
        <v>276</v>
      </c>
      <c r="B277" s="73" t="s">
        <v>1369</v>
      </c>
      <c r="C277" s="71" t="s">
        <v>56</v>
      </c>
      <c r="D277" s="71" t="s">
        <v>1307</v>
      </c>
      <c r="E277" s="71" t="s">
        <v>1302</v>
      </c>
      <c r="F277" s="71" t="s">
        <v>1308</v>
      </c>
      <c r="G277" s="71" t="s">
        <v>242</v>
      </c>
      <c r="H277" s="71" t="s">
        <v>1172</v>
      </c>
      <c r="I277" s="71" t="str">
        <f>VLOOKUP(H277,[1]Sheet1!$C:$C,1,0)</f>
        <v>SC4688DC-Q-DC-40CR-4688</v>
      </c>
      <c r="J277" s="71"/>
      <c r="K277" s="71"/>
      <c r="L277" s="71" t="s">
        <v>1377</v>
      </c>
      <c r="M277" s="80"/>
      <c r="N277" s="72" t="s">
        <v>382</v>
      </c>
      <c r="O277" s="73" t="s">
        <v>1378</v>
      </c>
      <c r="P277" s="71" t="s">
        <v>1374</v>
      </c>
      <c r="Q277" s="71"/>
      <c r="R277" s="100">
        <v>2.8</v>
      </c>
      <c r="S277" s="75">
        <f t="shared" si="93"/>
        <v>0</v>
      </c>
      <c r="T277" s="88">
        <f t="shared" si="94"/>
        <v>0</v>
      </c>
      <c r="U277" s="76">
        <f t="shared" si="86"/>
        <v>0</v>
      </c>
      <c r="V277" s="80">
        <v>0</v>
      </c>
      <c r="W277" s="80">
        <v>0</v>
      </c>
      <c r="X277" s="80">
        <v>0</v>
      </c>
      <c r="Y277" s="80">
        <v>0</v>
      </c>
      <c r="Z277" s="80">
        <v>0</v>
      </c>
      <c r="AA277" s="80">
        <v>0</v>
      </c>
      <c r="AB277" s="80">
        <v>0</v>
      </c>
      <c r="AC277" s="80">
        <v>0</v>
      </c>
      <c r="AD277" s="77">
        <v>0</v>
      </c>
      <c r="AE277" s="75">
        <v>0</v>
      </c>
      <c r="AF277" s="75">
        <v>0</v>
      </c>
      <c r="AG277" s="75">
        <v>0</v>
      </c>
      <c r="AH277" s="75">
        <v>0</v>
      </c>
      <c r="AI277" s="75"/>
      <c r="AJ277" s="75">
        <v>0</v>
      </c>
      <c r="AK277" s="31">
        <v>0</v>
      </c>
      <c r="AL277" s="31">
        <v>0</v>
      </c>
      <c r="AM277" s="31">
        <v>0</v>
      </c>
      <c r="AN277" s="31">
        <v>0</v>
      </c>
      <c r="AO277" s="31">
        <v>0</v>
      </c>
      <c r="AP277" s="31">
        <v>0</v>
      </c>
      <c r="AQ277" s="31">
        <v>0</v>
      </c>
      <c r="AR277" s="31">
        <v>0</v>
      </c>
      <c r="AS277" s="31">
        <v>0</v>
      </c>
      <c r="AT277" s="31">
        <v>0</v>
      </c>
      <c r="AU277" s="31">
        <v>0</v>
      </c>
      <c r="AV277" s="31">
        <v>0</v>
      </c>
      <c r="AW277" s="10" t="s">
        <v>1375</v>
      </c>
      <c r="AX277" s="10" t="s">
        <v>85</v>
      </c>
      <c r="AY277" s="19" t="s">
        <v>371</v>
      </c>
      <c r="AZ277" s="43" t="s">
        <v>1376</v>
      </c>
      <c r="BA277" s="43" t="s">
        <v>317</v>
      </c>
      <c r="BB277" s="43" t="s">
        <v>330</v>
      </c>
      <c r="BC277" s="43" t="s">
        <v>336</v>
      </c>
      <c r="BD277" s="10"/>
      <c r="BE277" s="10"/>
      <c r="BF277" s="10"/>
      <c r="BG277" s="13"/>
      <c r="BH277" s="10"/>
      <c r="BI277" s="14"/>
      <c r="BJ277" s="14"/>
      <c r="BK277" s="14"/>
      <c r="BL277" s="14"/>
      <c r="BM277" s="14"/>
      <c r="BN277" s="35"/>
      <c r="BO277" s="11"/>
      <c r="BP277" s="16">
        <f t="shared" si="95"/>
        <v>0</v>
      </c>
      <c r="BQ277" s="16">
        <f t="shared" si="96"/>
        <v>0</v>
      </c>
      <c r="BR277" s="16">
        <f t="shared" si="97"/>
        <v>0</v>
      </c>
      <c r="BS277" s="16">
        <f t="shared" si="98"/>
        <v>0</v>
      </c>
      <c r="BT277" s="17">
        <f t="shared" si="99"/>
        <v>0</v>
      </c>
      <c r="BU277" s="28">
        <f t="shared" si="87"/>
        <v>0</v>
      </c>
      <c r="BV277" s="28">
        <f t="shared" si="88"/>
        <v>0</v>
      </c>
      <c r="BW277" s="28">
        <f t="shared" si="89"/>
        <v>0</v>
      </c>
    </row>
    <row r="278" spans="1:75" ht="17.399999999999999" x14ac:dyDescent="0.25">
      <c r="A278" s="69">
        <f t="shared" si="84"/>
        <v>277</v>
      </c>
      <c r="B278" s="73" t="s">
        <v>1369</v>
      </c>
      <c r="C278" s="71" t="s">
        <v>56</v>
      </c>
      <c r="D278" s="71" t="s">
        <v>1307</v>
      </c>
      <c r="E278" s="71" t="s">
        <v>1302</v>
      </c>
      <c r="F278" s="71" t="s">
        <v>1308</v>
      </c>
      <c r="G278" s="71" t="s">
        <v>492</v>
      </c>
      <c r="H278" s="71" t="s">
        <v>493</v>
      </c>
      <c r="I278" s="71" t="str">
        <f>VLOOKUP(H278,[1]Sheet1!$C:$C,1,0)</f>
        <v>SC9641TS-P-Q-AI-10LR-9641P</v>
      </c>
      <c r="J278" s="71"/>
      <c r="K278" s="71"/>
      <c r="L278" s="71" t="s">
        <v>1379</v>
      </c>
      <c r="M278" s="80"/>
      <c r="N278" s="72" t="s">
        <v>382</v>
      </c>
      <c r="O278" s="73" t="s">
        <v>1380</v>
      </c>
      <c r="P278" s="71" t="s">
        <v>1374</v>
      </c>
      <c r="Q278" s="71"/>
      <c r="R278" s="100">
        <v>2.8</v>
      </c>
      <c r="S278" s="75">
        <f t="shared" si="93"/>
        <v>0</v>
      </c>
      <c r="T278" s="88">
        <f t="shared" si="94"/>
        <v>0</v>
      </c>
      <c r="U278" s="76">
        <f t="shared" si="86"/>
        <v>0</v>
      </c>
      <c r="V278" s="80">
        <v>0</v>
      </c>
      <c r="W278" s="80">
        <v>0</v>
      </c>
      <c r="X278" s="80">
        <v>0</v>
      </c>
      <c r="Y278" s="80">
        <v>0</v>
      </c>
      <c r="Z278" s="80">
        <v>0</v>
      </c>
      <c r="AA278" s="80">
        <v>0</v>
      </c>
      <c r="AB278" s="80">
        <v>0</v>
      </c>
      <c r="AC278" s="80">
        <v>0</v>
      </c>
      <c r="AD278" s="77">
        <v>0</v>
      </c>
      <c r="AE278" s="75">
        <v>0</v>
      </c>
      <c r="AF278" s="75">
        <v>0</v>
      </c>
      <c r="AG278" s="75">
        <v>0</v>
      </c>
      <c r="AH278" s="75">
        <v>0</v>
      </c>
      <c r="AI278" s="75"/>
      <c r="AJ278" s="75">
        <v>0</v>
      </c>
      <c r="AK278" s="33">
        <v>0</v>
      </c>
      <c r="AL278" s="33">
        <v>0</v>
      </c>
      <c r="AM278" s="33">
        <v>0</v>
      </c>
      <c r="AN278" s="33">
        <v>0</v>
      </c>
      <c r="AO278" s="33">
        <v>0</v>
      </c>
      <c r="AP278" s="33">
        <v>0</v>
      </c>
      <c r="AQ278" s="33">
        <v>0</v>
      </c>
      <c r="AR278" s="33">
        <v>0</v>
      </c>
      <c r="AS278" s="33">
        <v>0</v>
      </c>
      <c r="AT278" s="33">
        <v>0</v>
      </c>
      <c r="AU278" s="33">
        <v>0</v>
      </c>
      <c r="AV278" s="33">
        <v>0</v>
      </c>
      <c r="AW278" s="19" t="s">
        <v>1375</v>
      </c>
      <c r="AX278" s="19" t="s">
        <v>85</v>
      </c>
      <c r="AY278" s="19" t="s">
        <v>386</v>
      </c>
      <c r="AZ278" s="42" t="s">
        <v>1376</v>
      </c>
      <c r="BA278" s="42" t="s">
        <v>317</v>
      </c>
      <c r="BB278" s="42" t="s">
        <v>330</v>
      </c>
      <c r="BC278" s="42" t="s">
        <v>336</v>
      </c>
      <c r="BD278" s="19"/>
      <c r="BE278" s="19"/>
      <c r="BF278" s="19"/>
      <c r="BG278" s="24"/>
      <c r="BH278" s="19"/>
      <c r="BI278" s="25"/>
      <c r="BJ278" s="25"/>
      <c r="BK278" s="25"/>
      <c r="BL278" s="25"/>
      <c r="BM278" s="25"/>
      <c r="BN278" s="37"/>
      <c r="BO278" s="21"/>
      <c r="BP278" s="27">
        <f t="shared" si="95"/>
        <v>0</v>
      </c>
      <c r="BQ278" s="27">
        <f t="shared" si="96"/>
        <v>0</v>
      </c>
      <c r="BR278" s="27">
        <f t="shared" si="97"/>
        <v>0</v>
      </c>
      <c r="BS278" s="27">
        <f t="shared" si="98"/>
        <v>0</v>
      </c>
      <c r="BT278" s="28">
        <f t="shared" si="99"/>
        <v>0</v>
      </c>
      <c r="BU278" s="28">
        <f t="shared" si="87"/>
        <v>0</v>
      </c>
      <c r="BV278" s="28">
        <f t="shared" si="88"/>
        <v>0</v>
      </c>
      <c r="BW278" s="28">
        <f t="shared" si="89"/>
        <v>0</v>
      </c>
    </row>
    <row r="279" spans="1:75" ht="17.399999999999999" x14ac:dyDescent="0.25">
      <c r="A279" s="69">
        <f t="shared" si="84"/>
        <v>278</v>
      </c>
      <c r="B279" s="94" t="s">
        <v>1381</v>
      </c>
      <c r="C279" s="71" t="s">
        <v>56</v>
      </c>
      <c r="D279" s="73" t="s">
        <v>1382</v>
      </c>
      <c r="E279" s="71" t="s">
        <v>1302</v>
      </c>
      <c r="F279" s="73" t="s">
        <v>1383</v>
      </c>
      <c r="G279" s="73" t="s">
        <v>273</v>
      </c>
      <c r="H279" s="71" t="s">
        <v>274</v>
      </c>
      <c r="I279" s="71" t="str">
        <f>VLOOKUP(H279,[1]Sheet1!$C:$C,1,0)</f>
        <v>SC2402SO-N-CJ-90NR-2402</v>
      </c>
      <c r="J279" s="73"/>
      <c r="K279" s="73"/>
      <c r="L279" s="73" t="s">
        <v>1384</v>
      </c>
      <c r="M279" s="80">
        <v>2500000</v>
      </c>
      <c r="N279" s="73" t="s">
        <v>361</v>
      </c>
      <c r="O279" s="73" t="s">
        <v>1385</v>
      </c>
      <c r="P279" s="73" t="s">
        <v>1386</v>
      </c>
      <c r="Q279" s="73"/>
      <c r="R279" s="100">
        <v>0.17799999999999999</v>
      </c>
      <c r="S279" s="75">
        <f t="shared" si="93"/>
        <v>427200</v>
      </c>
      <c r="T279" s="88">
        <f t="shared" si="94"/>
        <v>0</v>
      </c>
      <c r="U279" s="76">
        <f t="shared" si="86"/>
        <v>2400000</v>
      </c>
      <c r="V279" s="73">
        <v>900000</v>
      </c>
      <c r="W279" s="80">
        <v>0</v>
      </c>
      <c r="X279" s="80">
        <v>0</v>
      </c>
      <c r="Y279" s="80">
        <v>0</v>
      </c>
      <c r="Z279" s="80">
        <v>0</v>
      </c>
      <c r="AA279" s="80">
        <v>0</v>
      </c>
      <c r="AB279" s="80">
        <v>0</v>
      </c>
      <c r="AC279" s="80">
        <v>0</v>
      </c>
      <c r="AD279" s="77">
        <v>102000</v>
      </c>
      <c r="AE279" s="75">
        <v>1500000</v>
      </c>
      <c r="AF279" s="75">
        <v>450000</v>
      </c>
      <c r="AG279" s="75">
        <v>450000</v>
      </c>
      <c r="AH279" s="75">
        <v>450000</v>
      </c>
      <c r="AI279" s="75">
        <v>450000</v>
      </c>
      <c r="AJ279" s="75">
        <v>450000</v>
      </c>
      <c r="AK279" s="31">
        <v>0</v>
      </c>
      <c r="AL279" s="31">
        <v>0</v>
      </c>
      <c r="AM279" s="31">
        <v>0</v>
      </c>
      <c r="AN279" s="31">
        <v>0</v>
      </c>
      <c r="AO279" s="31">
        <v>0</v>
      </c>
      <c r="AP279" s="31">
        <v>0</v>
      </c>
      <c r="AQ279" s="31">
        <v>0</v>
      </c>
      <c r="AR279" s="31">
        <v>0</v>
      </c>
      <c r="AS279" s="31">
        <v>0</v>
      </c>
      <c r="AT279" s="31">
        <v>0</v>
      </c>
      <c r="AU279" s="31">
        <v>0</v>
      </c>
      <c r="AV279" s="31">
        <v>0</v>
      </c>
      <c r="AW279" s="12" t="s">
        <v>1357</v>
      </c>
      <c r="AX279" s="10" t="s">
        <v>85</v>
      </c>
      <c r="AY279" s="19" t="s">
        <v>261</v>
      </c>
      <c r="AZ279" s="12" t="s">
        <v>1387</v>
      </c>
      <c r="BA279" s="12" t="s">
        <v>1388</v>
      </c>
      <c r="BB279" s="12" t="s">
        <v>1389</v>
      </c>
      <c r="BC279" s="12" t="s">
        <v>1390</v>
      </c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6">
        <f t="shared" si="95"/>
        <v>0</v>
      </c>
      <c r="BQ279" s="16">
        <f t="shared" si="96"/>
        <v>0</v>
      </c>
      <c r="BR279" s="16">
        <f t="shared" si="97"/>
        <v>0</v>
      </c>
      <c r="BS279" s="16">
        <f t="shared" si="98"/>
        <v>0</v>
      </c>
      <c r="BT279" s="17">
        <f t="shared" si="99"/>
        <v>18156</v>
      </c>
      <c r="BU279" s="28">
        <f t="shared" si="87"/>
        <v>267000</v>
      </c>
      <c r="BV279" s="28">
        <f t="shared" si="88"/>
        <v>80100</v>
      </c>
      <c r="BW279" s="28">
        <f t="shared" si="89"/>
        <v>80100</v>
      </c>
    </row>
    <row r="280" spans="1:75" ht="17.399999999999999" x14ac:dyDescent="0.25">
      <c r="A280" s="69">
        <f t="shared" si="84"/>
        <v>279</v>
      </c>
      <c r="B280" s="94" t="s">
        <v>1391</v>
      </c>
      <c r="C280" s="71" t="s">
        <v>56</v>
      </c>
      <c r="D280" s="73" t="s">
        <v>1382</v>
      </c>
      <c r="E280" s="71" t="s">
        <v>1302</v>
      </c>
      <c r="F280" s="73" t="s">
        <v>1383</v>
      </c>
      <c r="G280" s="73" t="s">
        <v>621</v>
      </c>
      <c r="H280" s="86" t="s">
        <v>622</v>
      </c>
      <c r="I280" s="71" t="str">
        <f>VLOOKUP(H280,[1]Sheet1!$C:$C,1,0)</f>
        <v>SC2442SO-CR-10CR-2442</v>
      </c>
      <c r="J280" s="73"/>
      <c r="K280" s="73"/>
      <c r="L280" s="73" t="s">
        <v>1392</v>
      </c>
      <c r="M280" s="80">
        <v>1500000</v>
      </c>
      <c r="N280" s="73" t="s">
        <v>361</v>
      </c>
      <c r="O280" s="73" t="s">
        <v>1393</v>
      </c>
      <c r="P280" s="73" t="s">
        <v>1386</v>
      </c>
      <c r="Q280" s="73"/>
      <c r="R280" s="100">
        <v>0.48</v>
      </c>
      <c r="S280" s="75">
        <f t="shared" si="93"/>
        <v>74880</v>
      </c>
      <c r="T280" s="88">
        <f t="shared" si="94"/>
        <v>0</v>
      </c>
      <c r="U280" s="76">
        <f t="shared" si="86"/>
        <v>156000</v>
      </c>
      <c r="V280" s="80">
        <v>0</v>
      </c>
      <c r="W280" s="80">
        <v>0</v>
      </c>
      <c r="X280" s="73">
        <v>120000</v>
      </c>
      <c r="Y280" s="80">
        <v>0</v>
      </c>
      <c r="Z280" s="73">
        <v>120000</v>
      </c>
      <c r="AA280" s="80">
        <v>0</v>
      </c>
      <c r="AB280" s="80">
        <v>0</v>
      </c>
      <c r="AC280" s="80">
        <v>80000</v>
      </c>
      <c r="AD280" s="77">
        <v>70000</v>
      </c>
      <c r="AE280" s="75">
        <v>0</v>
      </c>
      <c r="AF280" s="75">
        <v>78000</v>
      </c>
      <c r="AG280" s="75">
        <v>78000</v>
      </c>
      <c r="AH280" s="75">
        <v>78000</v>
      </c>
      <c r="AI280" s="75">
        <v>78000</v>
      </c>
      <c r="AJ280" s="75">
        <v>78000</v>
      </c>
      <c r="AK280" s="33">
        <v>0</v>
      </c>
      <c r="AL280" s="33">
        <v>0</v>
      </c>
      <c r="AM280" s="33">
        <v>0</v>
      </c>
      <c r="AN280" s="33">
        <v>0</v>
      </c>
      <c r="AO280" s="33">
        <v>0</v>
      </c>
      <c r="AP280" s="33">
        <v>0</v>
      </c>
      <c r="AQ280" s="33">
        <v>0</v>
      </c>
      <c r="AR280" s="33">
        <v>0</v>
      </c>
      <c r="AS280" s="33">
        <v>0</v>
      </c>
      <c r="AT280" s="33">
        <v>0</v>
      </c>
      <c r="AU280" s="33">
        <v>0</v>
      </c>
      <c r="AV280" s="33">
        <v>0</v>
      </c>
      <c r="AW280" s="22" t="s">
        <v>1357</v>
      </c>
      <c r="AX280" s="19" t="s">
        <v>85</v>
      </c>
      <c r="AY280" s="19" t="s">
        <v>261</v>
      </c>
      <c r="AZ280" s="22" t="s">
        <v>1387</v>
      </c>
      <c r="BA280" s="22" t="s">
        <v>1388</v>
      </c>
      <c r="BB280" s="22" t="s">
        <v>1394</v>
      </c>
      <c r="BC280" s="22" t="s">
        <v>1395</v>
      </c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7">
        <f t="shared" si="95"/>
        <v>57600</v>
      </c>
      <c r="BQ280" s="27">
        <f t="shared" si="96"/>
        <v>0</v>
      </c>
      <c r="BR280" s="27">
        <f t="shared" si="97"/>
        <v>0</v>
      </c>
      <c r="BS280" s="27">
        <f t="shared" si="98"/>
        <v>38400</v>
      </c>
      <c r="BT280" s="28">
        <f t="shared" si="99"/>
        <v>33600</v>
      </c>
      <c r="BU280" s="28">
        <f t="shared" si="87"/>
        <v>0</v>
      </c>
      <c r="BV280" s="28">
        <f t="shared" si="88"/>
        <v>37440</v>
      </c>
      <c r="BW280" s="28">
        <f t="shared" si="89"/>
        <v>37440</v>
      </c>
    </row>
    <row r="281" spans="1:75" ht="17.399999999999999" x14ac:dyDescent="0.25">
      <c r="A281" s="69">
        <f t="shared" si="84"/>
        <v>280</v>
      </c>
      <c r="B281" s="69" t="s">
        <v>1396</v>
      </c>
      <c r="C281" s="71" t="s">
        <v>56</v>
      </c>
      <c r="D281" s="71" t="s">
        <v>1353</v>
      </c>
      <c r="E281" s="71" t="s">
        <v>1302</v>
      </c>
      <c r="F281" s="73" t="s">
        <v>1354</v>
      </c>
      <c r="G281" s="69" t="s">
        <v>337</v>
      </c>
      <c r="H281" s="71" t="s">
        <v>338</v>
      </c>
      <c r="I281" s="71" t="str">
        <f>VLOOKUP(H281,[1]Sheet1!$C:$C,1,0)</f>
        <v>SC2443SO-Q-DB-60CR-2443</v>
      </c>
      <c r="J281" s="69"/>
      <c r="K281" s="69"/>
      <c r="L281" s="69" t="s">
        <v>1397</v>
      </c>
      <c r="M281" s="80">
        <v>500000</v>
      </c>
      <c r="N281" s="69" t="s">
        <v>367</v>
      </c>
      <c r="O281" s="69" t="s">
        <v>1398</v>
      </c>
      <c r="P281" s="69"/>
      <c r="Q281" s="69"/>
      <c r="R281" s="100">
        <v>0.52</v>
      </c>
      <c r="S281" s="75">
        <f t="shared" si="93"/>
        <v>10400</v>
      </c>
      <c r="T281" s="88">
        <f t="shared" si="94"/>
        <v>0</v>
      </c>
      <c r="U281" s="76">
        <f t="shared" si="86"/>
        <v>20000</v>
      </c>
      <c r="V281" s="80">
        <v>0</v>
      </c>
      <c r="W281" s="80">
        <v>0</v>
      </c>
      <c r="X281" s="80">
        <v>0</v>
      </c>
      <c r="Y281" s="80">
        <v>0</v>
      </c>
      <c r="Z281" s="80">
        <v>0</v>
      </c>
      <c r="AA281" s="80">
        <v>0</v>
      </c>
      <c r="AB281" s="80">
        <v>0</v>
      </c>
      <c r="AC281" s="80">
        <v>0</v>
      </c>
      <c r="AD281" s="77">
        <v>0</v>
      </c>
      <c r="AE281" s="75">
        <v>0</v>
      </c>
      <c r="AF281" s="75">
        <v>0</v>
      </c>
      <c r="AG281" s="75">
        <v>20000</v>
      </c>
      <c r="AH281" s="75">
        <v>0</v>
      </c>
      <c r="AI281" s="75">
        <v>0</v>
      </c>
      <c r="AJ281" s="75">
        <v>0</v>
      </c>
      <c r="AK281" s="31">
        <v>0</v>
      </c>
      <c r="AL281" s="31">
        <v>0</v>
      </c>
      <c r="AM281" s="31">
        <v>0</v>
      </c>
      <c r="AN281" s="31">
        <v>0</v>
      </c>
      <c r="AO281" s="31">
        <v>0</v>
      </c>
      <c r="AP281" s="31">
        <v>0</v>
      </c>
      <c r="AQ281" s="31">
        <v>0</v>
      </c>
      <c r="AR281" s="31">
        <v>0</v>
      </c>
      <c r="AS281" s="31">
        <v>0</v>
      </c>
      <c r="AT281" s="31">
        <v>0</v>
      </c>
      <c r="AU281" s="31">
        <v>0</v>
      </c>
      <c r="AV281" s="31">
        <v>0</v>
      </c>
      <c r="AW281" s="12" t="s">
        <v>1357</v>
      </c>
      <c r="AX281" s="10" t="s">
        <v>85</v>
      </c>
      <c r="AY281" s="19" t="s">
        <v>261</v>
      </c>
      <c r="AZ281" s="12" t="s">
        <v>62</v>
      </c>
      <c r="BA281" s="12" t="s">
        <v>96</v>
      </c>
      <c r="BB281" s="12" t="s">
        <v>1399</v>
      </c>
      <c r="BC281" s="12" t="s">
        <v>1400</v>
      </c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6">
        <f t="shared" si="95"/>
        <v>0</v>
      </c>
      <c r="BQ281" s="16">
        <f t="shared" si="96"/>
        <v>0</v>
      </c>
      <c r="BR281" s="16">
        <f t="shared" si="97"/>
        <v>0</v>
      </c>
      <c r="BS281" s="16">
        <f t="shared" si="98"/>
        <v>0</v>
      </c>
      <c r="BT281" s="17">
        <f t="shared" si="99"/>
        <v>0</v>
      </c>
      <c r="BU281" s="28">
        <f t="shared" si="87"/>
        <v>0</v>
      </c>
      <c r="BV281" s="28">
        <f t="shared" si="88"/>
        <v>0</v>
      </c>
      <c r="BW281" s="28">
        <f t="shared" si="89"/>
        <v>10400</v>
      </c>
    </row>
    <row r="282" spans="1:75" ht="17.399999999999999" x14ac:dyDescent="0.25">
      <c r="A282" s="69">
        <f t="shared" si="84"/>
        <v>281</v>
      </c>
      <c r="B282" s="69" t="s">
        <v>1401</v>
      </c>
      <c r="C282" s="71" t="s">
        <v>106</v>
      </c>
      <c r="D282" s="77" t="s">
        <v>1353</v>
      </c>
      <c r="E282" s="77" t="s">
        <v>1302</v>
      </c>
      <c r="F282" s="77" t="s">
        <v>1354</v>
      </c>
      <c r="G282" s="69" t="s">
        <v>257</v>
      </c>
      <c r="H282" s="71" t="s">
        <v>1986</v>
      </c>
      <c r="I282" s="71" t="str">
        <f>VLOOKUP(H282,[1]Sheet1!$C:$C,1,0)</f>
        <v>SC2498TSO-Q-DB-60CR-2498T</v>
      </c>
      <c r="J282" s="77"/>
      <c r="K282" s="77"/>
      <c r="L282" s="77" t="s">
        <v>1402</v>
      </c>
      <c r="M282" s="77">
        <v>2500000</v>
      </c>
      <c r="N282" s="77" t="s">
        <v>251</v>
      </c>
      <c r="O282" s="77" t="s">
        <v>1403</v>
      </c>
      <c r="P282" s="77"/>
      <c r="Q282" s="77"/>
      <c r="R282" s="100">
        <v>0.71</v>
      </c>
      <c r="S282" s="77">
        <f t="shared" si="93"/>
        <v>823600</v>
      </c>
      <c r="T282" s="77">
        <f t="shared" si="94"/>
        <v>0</v>
      </c>
      <c r="U282" s="76">
        <f t="shared" si="86"/>
        <v>1160000</v>
      </c>
      <c r="V282" s="77">
        <v>0</v>
      </c>
      <c r="W282" s="77">
        <v>0</v>
      </c>
      <c r="X282" s="77">
        <v>0</v>
      </c>
      <c r="Y282" s="77">
        <v>0</v>
      </c>
      <c r="Z282" s="77">
        <v>0</v>
      </c>
      <c r="AA282" s="77">
        <v>0</v>
      </c>
      <c r="AB282" s="77">
        <v>0</v>
      </c>
      <c r="AC282" s="77">
        <v>12000</v>
      </c>
      <c r="AD282" s="77">
        <v>120000</v>
      </c>
      <c r="AE282" s="75">
        <v>260000</v>
      </c>
      <c r="AF282" s="75">
        <v>400000</v>
      </c>
      <c r="AG282" s="75">
        <v>500000</v>
      </c>
      <c r="AH282" s="75">
        <v>500000</v>
      </c>
      <c r="AI282" s="75">
        <v>100000</v>
      </c>
      <c r="AJ282" s="75">
        <v>100000</v>
      </c>
      <c r="AK282" s="23">
        <v>0</v>
      </c>
      <c r="AL282" s="23">
        <v>0</v>
      </c>
      <c r="AM282" s="23">
        <v>0</v>
      </c>
      <c r="AN282" s="23">
        <v>0</v>
      </c>
      <c r="AO282" s="23">
        <v>0</v>
      </c>
      <c r="AP282" s="23">
        <v>0</v>
      </c>
      <c r="AQ282" s="23">
        <v>0</v>
      </c>
      <c r="AR282" s="23">
        <v>0</v>
      </c>
      <c r="AS282" s="23">
        <v>0</v>
      </c>
      <c r="AT282" s="23">
        <v>0</v>
      </c>
      <c r="AU282" s="23">
        <v>0</v>
      </c>
      <c r="AV282" s="23">
        <v>0</v>
      </c>
      <c r="AW282" s="23" t="s">
        <v>1357</v>
      </c>
      <c r="AX282" s="23" t="s">
        <v>85</v>
      </c>
      <c r="AY282" s="19" t="s">
        <v>261</v>
      </c>
      <c r="AZ282" s="23" t="s">
        <v>62</v>
      </c>
      <c r="BA282" s="23" t="s">
        <v>1404</v>
      </c>
      <c r="BB282" s="23" t="s">
        <v>1405</v>
      </c>
      <c r="BC282" s="23" t="s">
        <v>1406</v>
      </c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8">
        <f t="shared" si="95"/>
        <v>0</v>
      </c>
      <c r="BQ282" s="28">
        <f t="shared" si="96"/>
        <v>0</v>
      </c>
      <c r="BR282" s="28">
        <f t="shared" si="97"/>
        <v>0</v>
      </c>
      <c r="BS282" s="28">
        <f t="shared" si="98"/>
        <v>8520</v>
      </c>
      <c r="BT282" s="28">
        <f t="shared" si="99"/>
        <v>85200</v>
      </c>
      <c r="BU282" s="28">
        <f t="shared" si="87"/>
        <v>184600</v>
      </c>
      <c r="BV282" s="28">
        <f t="shared" si="88"/>
        <v>284000</v>
      </c>
      <c r="BW282" s="28">
        <f t="shared" si="89"/>
        <v>355000</v>
      </c>
    </row>
    <row r="283" spans="1:75" ht="17.399999999999999" x14ac:dyDescent="0.25">
      <c r="A283" s="69">
        <f t="shared" si="84"/>
        <v>282</v>
      </c>
      <c r="B283" s="69" t="s">
        <v>1401</v>
      </c>
      <c r="C283" s="71" t="s">
        <v>106</v>
      </c>
      <c r="D283" s="71" t="s">
        <v>1353</v>
      </c>
      <c r="E283" s="71" t="s">
        <v>1302</v>
      </c>
      <c r="F283" s="73" t="s">
        <v>1354</v>
      </c>
      <c r="G283" s="69" t="s">
        <v>257</v>
      </c>
      <c r="H283" s="71" t="s">
        <v>1986</v>
      </c>
      <c r="I283" s="71" t="str">
        <f>VLOOKUP(H283,[1]Sheet1!$C:$C,1,0)</f>
        <v>SC2498TSO-Q-DB-60CR-2498T</v>
      </c>
      <c r="J283" s="69"/>
      <c r="K283" s="69"/>
      <c r="L283" s="69" t="s">
        <v>1407</v>
      </c>
      <c r="M283" s="80">
        <v>2500000</v>
      </c>
      <c r="N283" s="72" t="s">
        <v>251</v>
      </c>
      <c r="O283" s="69" t="s">
        <v>1403</v>
      </c>
      <c r="P283" s="69"/>
      <c r="Q283" s="69"/>
      <c r="R283" s="100">
        <v>0.71</v>
      </c>
      <c r="S283" s="75">
        <f t="shared" si="93"/>
        <v>0</v>
      </c>
      <c r="T283" s="88">
        <f t="shared" si="94"/>
        <v>0</v>
      </c>
      <c r="U283" s="76">
        <f t="shared" si="86"/>
        <v>0</v>
      </c>
      <c r="V283" s="80">
        <v>0</v>
      </c>
      <c r="W283" s="80">
        <v>0</v>
      </c>
      <c r="X283" s="80">
        <v>0</v>
      </c>
      <c r="Y283" s="80">
        <v>0</v>
      </c>
      <c r="Z283" s="80">
        <v>0</v>
      </c>
      <c r="AA283" s="80">
        <v>0</v>
      </c>
      <c r="AB283" s="80">
        <v>0</v>
      </c>
      <c r="AC283" s="80">
        <v>0</v>
      </c>
      <c r="AD283" s="77">
        <v>0</v>
      </c>
      <c r="AE283" s="75">
        <v>0</v>
      </c>
      <c r="AF283" s="75">
        <v>0</v>
      </c>
      <c r="AG283" s="75">
        <v>0</v>
      </c>
      <c r="AH283" s="75">
        <v>0</v>
      </c>
      <c r="AI283" s="75"/>
      <c r="AJ283" s="75">
        <v>0</v>
      </c>
      <c r="AK283" s="31">
        <v>0</v>
      </c>
      <c r="AL283" s="31">
        <v>0</v>
      </c>
      <c r="AM283" s="31">
        <v>0</v>
      </c>
      <c r="AN283" s="31">
        <v>0</v>
      </c>
      <c r="AO283" s="31">
        <v>0</v>
      </c>
      <c r="AP283" s="31">
        <v>0</v>
      </c>
      <c r="AQ283" s="31">
        <v>0</v>
      </c>
      <c r="AR283" s="31">
        <v>0</v>
      </c>
      <c r="AS283" s="31">
        <v>0</v>
      </c>
      <c r="AT283" s="31">
        <v>0</v>
      </c>
      <c r="AU283" s="31">
        <v>0</v>
      </c>
      <c r="AV283" s="31">
        <v>0</v>
      </c>
      <c r="AW283" s="12" t="s">
        <v>1357</v>
      </c>
      <c r="AX283" s="10" t="s">
        <v>85</v>
      </c>
      <c r="AY283" s="19" t="s">
        <v>261</v>
      </c>
      <c r="AZ283" s="12" t="s">
        <v>62</v>
      </c>
      <c r="BA283" s="12" t="s">
        <v>1404</v>
      </c>
      <c r="BB283" s="12" t="s">
        <v>1405</v>
      </c>
      <c r="BC283" s="12" t="s">
        <v>1406</v>
      </c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6">
        <f t="shared" si="95"/>
        <v>0</v>
      </c>
      <c r="BQ283" s="16">
        <f t="shared" si="96"/>
        <v>0</v>
      </c>
      <c r="BR283" s="16">
        <f t="shared" si="97"/>
        <v>0</v>
      </c>
      <c r="BS283" s="16">
        <f t="shared" si="98"/>
        <v>0</v>
      </c>
      <c r="BT283" s="17">
        <f t="shared" si="99"/>
        <v>0</v>
      </c>
      <c r="BU283" s="28">
        <f t="shared" si="87"/>
        <v>0</v>
      </c>
      <c r="BV283" s="28">
        <f t="shared" si="88"/>
        <v>0</v>
      </c>
      <c r="BW283" s="28">
        <f t="shared" si="89"/>
        <v>0</v>
      </c>
    </row>
    <row r="284" spans="1:75" ht="17.399999999999999" x14ac:dyDescent="0.25">
      <c r="A284" s="69">
        <f t="shared" si="84"/>
        <v>283</v>
      </c>
      <c r="B284" s="69" t="s">
        <v>1401</v>
      </c>
      <c r="C284" s="71" t="s">
        <v>106</v>
      </c>
      <c r="D284" s="71" t="s">
        <v>1353</v>
      </c>
      <c r="E284" s="71" t="s">
        <v>1302</v>
      </c>
      <c r="F284" s="73" t="s">
        <v>1354</v>
      </c>
      <c r="G284" s="69" t="s">
        <v>1303</v>
      </c>
      <c r="H284" s="69" t="s">
        <v>1408</v>
      </c>
      <c r="I284" s="71" t="str">
        <f>VLOOKUP(H284,[1]Sheet1!$C:$C,1,0)</f>
        <v>SC2527S6-AB-Q-DA-40CR-2527</v>
      </c>
      <c r="J284" s="69"/>
      <c r="K284" s="69"/>
      <c r="L284" s="69" t="s">
        <v>1409</v>
      </c>
      <c r="M284" s="80"/>
      <c r="N284" s="72" t="s">
        <v>382</v>
      </c>
      <c r="O284" s="69" t="s">
        <v>1410</v>
      </c>
      <c r="P284" s="69"/>
      <c r="Q284" s="69"/>
      <c r="R284" s="100">
        <v>0.72</v>
      </c>
      <c r="S284" s="75">
        <f t="shared" si="93"/>
        <v>7200</v>
      </c>
      <c r="T284" s="88">
        <f t="shared" si="94"/>
        <v>0</v>
      </c>
      <c r="U284" s="76">
        <f t="shared" si="86"/>
        <v>10000</v>
      </c>
      <c r="V284" s="80">
        <v>0</v>
      </c>
      <c r="W284" s="80">
        <v>0</v>
      </c>
      <c r="X284" s="80">
        <v>0</v>
      </c>
      <c r="Y284" s="80">
        <v>0</v>
      </c>
      <c r="Z284" s="80">
        <v>0</v>
      </c>
      <c r="AA284" s="80">
        <v>0</v>
      </c>
      <c r="AB284" s="80">
        <v>0</v>
      </c>
      <c r="AC284" s="80">
        <v>0</v>
      </c>
      <c r="AD284" s="77">
        <v>0</v>
      </c>
      <c r="AE284" s="75">
        <v>0</v>
      </c>
      <c r="AF284" s="75">
        <v>0</v>
      </c>
      <c r="AG284" s="75">
        <v>10000</v>
      </c>
      <c r="AH284" s="75">
        <v>0</v>
      </c>
      <c r="AI284" s="75">
        <v>0</v>
      </c>
      <c r="AJ284" s="75">
        <v>0</v>
      </c>
      <c r="AK284" s="33">
        <v>0</v>
      </c>
      <c r="AL284" s="33">
        <v>0</v>
      </c>
      <c r="AM284" s="33">
        <v>0</v>
      </c>
      <c r="AN284" s="33">
        <v>0</v>
      </c>
      <c r="AO284" s="33">
        <v>0</v>
      </c>
      <c r="AP284" s="33">
        <v>0</v>
      </c>
      <c r="AQ284" s="33">
        <v>0</v>
      </c>
      <c r="AR284" s="33">
        <v>0</v>
      </c>
      <c r="AS284" s="33">
        <v>0</v>
      </c>
      <c r="AT284" s="33">
        <v>0</v>
      </c>
      <c r="AU284" s="33">
        <v>0</v>
      </c>
      <c r="AV284" s="33">
        <v>0</v>
      </c>
      <c r="AW284" s="22" t="s">
        <v>1357</v>
      </c>
      <c r="AX284" s="19" t="s">
        <v>85</v>
      </c>
      <c r="AY284" s="19" t="s">
        <v>261</v>
      </c>
      <c r="AZ284" s="22" t="s">
        <v>62</v>
      </c>
      <c r="BA284" s="22" t="s">
        <v>1404</v>
      </c>
      <c r="BB284" s="22" t="s">
        <v>1405</v>
      </c>
      <c r="BC284" s="22" t="s">
        <v>1406</v>
      </c>
      <c r="BD284" s="22"/>
      <c r="BE284" s="22"/>
      <c r="BF284" s="22"/>
      <c r="BG284" s="22"/>
      <c r="BH284" s="22"/>
      <c r="BI284" s="22"/>
      <c r="BJ284" s="22"/>
      <c r="BK284" s="22"/>
      <c r="BL284" s="22"/>
      <c r="BM284" s="22"/>
      <c r="BN284" s="22"/>
      <c r="BO284" s="22"/>
      <c r="BP284" s="27">
        <f t="shared" si="95"/>
        <v>0</v>
      </c>
      <c r="BQ284" s="27">
        <f t="shared" si="96"/>
        <v>0</v>
      </c>
      <c r="BR284" s="27">
        <f t="shared" si="97"/>
        <v>0</v>
      </c>
      <c r="BS284" s="27">
        <f t="shared" si="98"/>
        <v>0</v>
      </c>
      <c r="BT284" s="28">
        <f t="shared" si="99"/>
        <v>0</v>
      </c>
      <c r="BU284" s="28">
        <f t="shared" si="87"/>
        <v>0</v>
      </c>
      <c r="BV284" s="28">
        <f t="shared" si="88"/>
        <v>0</v>
      </c>
      <c r="BW284" s="28">
        <f t="shared" si="89"/>
        <v>7200</v>
      </c>
    </row>
    <row r="285" spans="1:75" ht="17.399999999999999" x14ac:dyDescent="0.25">
      <c r="A285" s="69">
        <f t="shared" si="84"/>
        <v>284</v>
      </c>
      <c r="B285" s="73" t="s">
        <v>1947</v>
      </c>
      <c r="C285" s="71" t="s">
        <v>149</v>
      </c>
      <c r="D285" s="71" t="s">
        <v>1947</v>
      </c>
      <c r="E285" s="71" t="s">
        <v>1948</v>
      </c>
      <c r="F285" s="71" t="s">
        <v>1948</v>
      </c>
      <c r="G285" s="71" t="s">
        <v>714</v>
      </c>
      <c r="H285" s="71" t="s">
        <v>1956</v>
      </c>
      <c r="I285" s="71" t="str">
        <f>VLOOKUP(H285,[1]Sheet1!$C:$C,1,0)</f>
        <v>SC4703SO-GB-00NR-4703</v>
      </c>
      <c r="J285" s="71"/>
      <c r="K285" s="71"/>
      <c r="L285" s="73"/>
      <c r="M285" s="80"/>
      <c r="N285" s="72"/>
      <c r="O285" s="73"/>
      <c r="P285" s="71"/>
      <c r="Q285" s="71"/>
      <c r="R285" s="121">
        <v>0.06</v>
      </c>
      <c r="S285" s="75"/>
      <c r="T285" s="91"/>
      <c r="U285" s="76">
        <f t="shared" si="86"/>
        <v>600000</v>
      </c>
      <c r="V285" s="80"/>
      <c r="W285" s="80"/>
      <c r="X285" s="80"/>
      <c r="Y285" s="72"/>
      <c r="Z285" s="72"/>
      <c r="AA285" s="72"/>
      <c r="AB285" s="72"/>
      <c r="AC285" s="72"/>
      <c r="AD285" s="77"/>
      <c r="AE285" s="75">
        <v>0</v>
      </c>
      <c r="AF285" s="75">
        <v>300000</v>
      </c>
      <c r="AG285" s="75">
        <v>300000</v>
      </c>
      <c r="AH285" s="75">
        <v>300000</v>
      </c>
      <c r="AI285" s="75">
        <v>300000</v>
      </c>
      <c r="AJ285" s="75">
        <v>300000</v>
      </c>
      <c r="AK285" s="33"/>
      <c r="AL285" s="33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19"/>
      <c r="AX285" s="19"/>
      <c r="AY285" s="19" t="s">
        <v>261</v>
      </c>
      <c r="AZ285" s="19"/>
      <c r="BA285" s="19"/>
      <c r="BB285" s="19"/>
      <c r="BC285" s="19"/>
      <c r="BD285" s="19"/>
      <c r="BE285" s="19"/>
      <c r="BF285" s="19"/>
      <c r="BG285" s="24"/>
      <c r="BH285" s="19"/>
      <c r="BI285" s="25"/>
      <c r="BJ285" s="25"/>
      <c r="BK285" s="25"/>
      <c r="BL285" s="25"/>
      <c r="BM285" s="25"/>
      <c r="BN285" s="37"/>
      <c r="BO285" s="21"/>
      <c r="BP285" s="27"/>
      <c r="BQ285" s="27"/>
      <c r="BR285" s="27"/>
      <c r="BS285" s="27"/>
      <c r="BT285" s="28"/>
      <c r="BU285" s="28">
        <f t="shared" si="87"/>
        <v>0</v>
      </c>
      <c r="BV285" s="28">
        <f t="shared" si="88"/>
        <v>18000</v>
      </c>
      <c r="BW285" s="28">
        <f t="shared" si="89"/>
        <v>18000</v>
      </c>
    </row>
    <row r="286" spans="1:75" ht="17.399999999999999" x14ac:dyDescent="0.25">
      <c r="A286" s="69">
        <f t="shared" si="84"/>
        <v>285</v>
      </c>
      <c r="B286" s="73" t="s">
        <v>976</v>
      </c>
      <c r="C286" s="73" t="s">
        <v>290</v>
      </c>
      <c r="D286" s="73" t="s">
        <v>977</v>
      </c>
      <c r="E286" s="73" t="s">
        <v>978</v>
      </c>
      <c r="F286" s="73" t="s">
        <v>978</v>
      </c>
      <c r="G286" s="71" t="s">
        <v>984</v>
      </c>
      <c r="H286" s="71" t="s">
        <v>985</v>
      </c>
      <c r="I286" s="71" t="str">
        <f>VLOOKUP(H286,[1]Sheet1!$C:$C,1,0)</f>
        <v>SC4823S6-GA-00NR-4823</v>
      </c>
      <c r="J286" s="87"/>
      <c r="K286" s="87"/>
      <c r="L286" s="71" t="s">
        <v>981</v>
      </c>
      <c r="M286" s="72"/>
      <c r="N286" s="71"/>
      <c r="O286" s="71"/>
      <c r="P286" s="70"/>
      <c r="Q286" s="70"/>
      <c r="R286" s="100">
        <v>1</v>
      </c>
      <c r="S286" s="75">
        <f t="shared" ref="S286:S293" si="100">R286*U286</f>
        <v>0</v>
      </c>
      <c r="T286" s="76">
        <v>0</v>
      </c>
      <c r="U286" s="76">
        <f t="shared" si="86"/>
        <v>0</v>
      </c>
      <c r="V286" s="76"/>
      <c r="W286" s="76"/>
      <c r="X286" s="76"/>
      <c r="Y286" s="76"/>
      <c r="Z286" s="76"/>
      <c r="AA286" s="76"/>
      <c r="AB286" s="76"/>
      <c r="AC286" s="76"/>
      <c r="AD286" s="77"/>
      <c r="AE286" s="75"/>
      <c r="AF286" s="75"/>
      <c r="AG286" s="75"/>
      <c r="AH286" s="75">
        <v>0</v>
      </c>
      <c r="AI286" s="75"/>
      <c r="AJ286" s="75">
        <v>0</v>
      </c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4"/>
      <c r="AX286" s="14" t="s">
        <v>689</v>
      </c>
      <c r="AY286" s="19" t="s">
        <v>261</v>
      </c>
      <c r="AZ286" s="14"/>
      <c r="BA286" s="15"/>
      <c r="BB286" s="9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>
        <f t="shared" ref="BP286:BT292" si="101">$R286*Z286</f>
        <v>0</v>
      </c>
      <c r="BQ286" s="16">
        <f t="shared" si="101"/>
        <v>0</v>
      </c>
      <c r="BR286" s="16">
        <f t="shared" si="101"/>
        <v>0</v>
      </c>
      <c r="BS286" s="16">
        <f t="shared" si="101"/>
        <v>0</v>
      </c>
      <c r="BT286" s="17">
        <f t="shared" si="101"/>
        <v>0</v>
      </c>
      <c r="BU286" s="28">
        <f t="shared" si="87"/>
        <v>0</v>
      </c>
      <c r="BV286" s="28">
        <f t="shared" si="88"/>
        <v>0</v>
      </c>
      <c r="BW286" s="28">
        <f t="shared" si="89"/>
        <v>0</v>
      </c>
    </row>
    <row r="287" spans="1:75" ht="17.399999999999999" x14ac:dyDescent="0.25">
      <c r="A287" s="69">
        <f t="shared" si="84"/>
        <v>286</v>
      </c>
      <c r="B287" s="69" t="s">
        <v>640</v>
      </c>
      <c r="C287" s="71" t="s">
        <v>56</v>
      </c>
      <c r="D287" s="71" t="s">
        <v>1307</v>
      </c>
      <c r="E287" s="71" t="s">
        <v>1302</v>
      </c>
      <c r="F287" s="73" t="s">
        <v>1411</v>
      </c>
      <c r="G287" s="69" t="s">
        <v>384</v>
      </c>
      <c r="H287" s="71" t="s">
        <v>483</v>
      </c>
      <c r="I287" s="71" t="str">
        <f>VLOOKUP(H287,[1]Sheet1!$C:$C,1,0)</f>
        <v>SC9314UA-CF-0XAK-94M</v>
      </c>
      <c r="J287" s="69"/>
      <c r="K287" s="69"/>
      <c r="L287" s="69" t="s">
        <v>381</v>
      </c>
      <c r="M287" s="80"/>
      <c r="N287" s="72" t="s">
        <v>382</v>
      </c>
      <c r="O287" s="69" t="s">
        <v>1419</v>
      </c>
      <c r="P287" s="69"/>
      <c r="Q287" s="69"/>
      <c r="R287" s="100">
        <v>0.7</v>
      </c>
      <c r="S287" s="75">
        <f t="shared" si="100"/>
        <v>0</v>
      </c>
      <c r="T287" s="88">
        <f t="shared" ref="T287:T292" si="102">R287*SUM(AK287:AP287)</f>
        <v>0</v>
      </c>
      <c r="U287" s="76">
        <f t="shared" si="86"/>
        <v>0</v>
      </c>
      <c r="V287" s="80">
        <v>0</v>
      </c>
      <c r="W287" s="80">
        <v>0</v>
      </c>
      <c r="X287" s="80">
        <v>0</v>
      </c>
      <c r="Y287" s="80">
        <v>0</v>
      </c>
      <c r="Z287" s="80">
        <v>0</v>
      </c>
      <c r="AA287" s="80">
        <v>0</v>
      </c>
      <c r="AB287" s="80">
        <v>0</v>
      </c>
      <c r="AC287" s="80">
        <v>0</v>
      </c>
      <c r="AD287" s="77">
        <v>0</v>
      </c>
      <c r="AE287" s="75">
        <v>0</v>
      </c>
      <c r="AF287" s="75">
        <v>0</v>
      </c>
      <c r="AG287" s="75">
        <v>0</v>
      </c>
      <c r="AH287" s="75">
        <v>0</v>
      </c>
      <c r="AI287" s="75"/>
      <c r="AJ287" s="75">
        <v>0</v>
      </c>
      <c r="AK287" s="31">
        <v>0</v>
      </c>
      <c r="AL287" s="31">
        <v>0</v>
      </c>
      <c r="AM287" s="31">
        <v>0</v>
      </c>
      <c r="AN287" s="31">
        <v>0</v>
      </c>
      <c r="AO287" s="31">
        <v>0</v>
      </c>
      <c r="AP287" s="31">
        <v>0</v>
      </c>
      <c r="AQ287" s="31">
        <v>0</v>
      </c>
      <c r="AR287" s="31">
        <v>0</v>
      </c>
      <c r="AS287" s="31">
        <v>0</v>
      </c>
      <c r="AT287" s="31">
        <v>0</v>
      </c>
      <c r="AU287" s="31">
        <v>0</v>
      </c>
      <c r="AV287" s="31">
        <v>0</v>
      </c>
      <c r="AW287" s="12" t="s">
        <v>1375</v>
      </c>
      <c r="AX287" s="10" t="s">
        <v>85</v>
      </c>
      <c r="AY287" s="19" t="s">
        <v>386</v>
      </c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6">
        <f t="shared" si="101"/>
        <v>0</v>
      </c>
      <c r="BQ287" s="16">
        <f t="shared" si="101"/>
        <v>0</v>
      </c>
      <c r="BR287" s="16">
        <f t="shared" si="101"/>
        <v>0</v>
      </c>
      <c r="BS287" s="16">
        <f t="shared" si="101"/>
        <v>0</v>
      </c>
      <c r="BT287" s="17">
        <f t="shared" si="101"/>
        <v>0</v>
      </c>
      <c r="BU287" s="28">
        <f t="shared" si="87"/>
        <v>0</v>
      </c>
      <c r="BV287" s="28">
        <f t="shared" si="88"/>
        <v>0</v>
      </c>
      <c r="BW287" s="28">
        <f t="shared" si="89"/>
        <v>0</v>
      </c>
    </row>
    <row r="288" spans="1:75" ht="17.399999999999999" x14ac:dyDescent="0.25">
      <c r="A288" s="69">
        <f t="shared" si="84"/>
        <v>287</v>
      </c>
      <c r="B288" s="69" t="s">
        <v>640</v>
      </c>
      <c r="C288" s="71" t="s">
        <v>56</v>
      </c>
      <c r="D288" s="71" t="s">
        <v>1307</v>
      </c>
      <c r="E288" s="71" t="s">
        <v>1302</v>
      </c>
      <c r="F288" s="73" t="s">
        <v>1411</v>
      </c>
      <c r="G288" s="69" t="s">
        <v>1065</v>
      </c>
      <c r="H288" s="69" t="s">
        <v>1985</v>
      </c>
      <c r="I288" s="71" t="str">
        <f>VLOOKUP(H288,[1]Sheet1!$C:$C,1,0)</f>
        <v>SC2432UA-CI-10AK-2432</v>
      </c>
      <c r="J288" s="69"/>
      <c r="K288" s="69"/>
      <c r="L288" s="69" t="s">
        <v>1420</v>
      </c>
      <c r="M288" s="80"/>
      <c r="N288" s="72" t="s">
        <v>251</v>
      </c>
      <c r="O288" s="69" t="s">
        <v>1421</v>
      </c>
      <c r="P288" s="69"/>
      <c r="Q288" s="69"/>
      <c r="R288" s="100">
        <v>0.7</v>
      </c>
      <c r="S288" s="75">
        <f t="shared" si="100"/>
        <v>0</v>
      </c>
      <c r="T288" s="88">
        <f t="shared" si="102"/>
        <v>0</v>
      </c>
      <c r="U288" s="76">
        <f t="shared" si="86"/>
        <v>0</v>
      </c>
      <c r="V288" s="80">
        <v>0</v>
      </c>
      <c r="W288" s="80">
        <v>0</v>
      </c>
      <c r="X288" s="80">
        <v>0</v>
      </c>
      <c r="Y288" s="80">
        <v>0</v>
      </c>
      <c r="Z288" s="80">
        <v>0</v>
      </c>
      <c r="AA288" s="80">
        <v>0</v>
      </c>
      <c r="AB288" s="80">
        <v>0</v>
      </c>
      <c r="AC288" s="80">
        <v>0</v>
      </c>
      <c r="AD288" s="77">
        <v>0</v>
      </c>
      <c r="AE288" s="75">
        <v>0</v>
      </c>
      <c r="AF288" s="75">
        <v>0</v>
      </c>
      <c r="AG288" s="75">
        <v>0</v>
      </c>
      <c r="AH288" s="75">
        <v>0</v>
      </c>
      <c r="AI288" s="75"/>
      <c r="AJ288" s="75">
        <v>0</v>
      </c>
      <c r="AK288" s="33">
        <v>0</v>
      </c>
      <c r="AL288" s="33">
        <v>0</v>
      </c>
      <c r="AM288" s="33">
        <v>0</v>
      </c>
      <c r="AN288" s="33">
        <v>0</v>
      </c>
      <c r="AO288" s="33">
        <v>0</v>
      </c>
      <c r="AP288" s="33">
        <v>0</v>
      </c>
      <c r="AQ288" s="33">
        <v>0</v>
      </c>
      <c r="AR288" s="33">
        <v>0</v>
      </c>
      <c r="AS288" s="33">
        <v>0</v>
      </c>
      <c r="AT288" s="33">
        <v>0</v>
      </c>
      <c r="AU288" s="33">
        <v>0</v>
      </c>
      <c r="AV288" s="33">
        <v>0</v>
      </c>
      <c r="AW288" s="22" t="s">
        <v>1357</v>
      </c>
      <c r="AX288" s="19" t="s">
        <v>85</v>
      </c>
      <c r="AY288" s="19" t="s">
        <v>261</v>
      </c>
      <c r="AZ288" s="22" t="s">
        <v>62</v>
      </c>
      <c r="BA288" s="22" t="s">
        <v>466</v>
      </c>
      <c r="BB288" s="22" t="s">
        <v>1422</v>
      </c>
      <c r="BC288" s="22" t="s">
        <v>1423</v>
      </c>
      <c r="BD288" s="22"/>
      <c r="BE288" s="22"/>
      <c r="BF288" s="22"/>
      <c r="BG288" s="22"/>
      <c r="BH288" s="22"/>
      <c r="BI288" s="22"/>
      <c r="BJ288" s="22"/>
      <c r="BK288" s="22"/>
      <c r="BL288" s="22"/>
      <c r="BM288" s="22"/>
      <c r="BN288" s="22"/>
      <c r="BO288" s="22"/>
      <c r="BP288" s="27">
        <f t="shared" si="101"/>
        <v>0</v>
      </c>
      <c r="BQ288" s="27">
        <f t="shared" si="101"/>
        <v>0</v>
      </c>
      <c r="BR288" s="27">
        <f t="shared" si="101"/>
        <v>0</v>
      </c>
      <c r="BS288" s="27">
        <f t="shared" si="101"/>
        <v>0</v>
      </c>
      <c r="BT288" s="28">
        <f t="shared" si="101"/>
        <v>0</v>
      </c>
      <c r="BU288" s="28">
        <f t="shared" si="87"/>
        <v>0</v>
      </c>
      <c r="BV288" s="28">
        <f t="shared" si="88"/>
        <v>0</v>
      </c>
      <c r="BW288" s="28">
        <f t="shared" si="89"/>
        <v>0</v>
      </c>
    </row>
    <row r="289" spans="1:75" ht="17.399999999999999" x14ac:dyDescent="0.25">
      <c r="A289" s="69">
        <f t="shared" si="84"/>
        <v>288</v>
      </c>
      <c r="B289" s="69" t="s">
        <v>1424</v>
      </c>
      <c r="C289" s="71" t="s">
        <v>56</v>
      </c>
      <c r="D289" s="71" t="s">
        <v>1353</v>
      </c>
      <c r="E289" s="71" t="s">
        <v>1302</v>
      </c>
      <c r="F289" s="73" t="s">
        <v>1354</v>
      </c>
      <c r="G289" s="69" t="s">
        <v>337</v>
      </c>
      <c r="H289" s="71" t="s">
        <v>338</v>
      </c>
      <c r="I289" s="71" t="str">
        <f>VLOOKUP(H289,[1]Sheet1!$C:$C,1,0)</f>
        <v>SC2443SO-Q-DB-60CR-2443</v>
      </c>
      <c r="J289" s="69"/>
      <c r="K289" s="69"/>
      <c r="L289" s="69" t="s">
        <v>1425</v>
      </c>
      <c r="M289" s="80">
        <v>100000</v>
      </c>
      <c r="N289" s="72" t="s">
        <v>367</v>
      </c>
      <c r="O289" s="69" t="s">
        <v>1426</v>
      </c>
      <c r="P289" s="69"/>
      <c r="Q289" s="69"/>
      <c r="R289" s="100">
        <v>0.52</v>
      </c>
      <c r="S289" s="75">
        <f t="shared" si="100"/>
        <v>8320</v>
      </c>
      <c r="T289" s="88">
        <f t="shared" si="102"/>
        <v>0</v>
      </c>
      <c r="U289" s="76">
        <f t="shared" si="86"/>
        <v>16000</v>
      </c>
      <c r="V289" s="80">
        <v>0</v>
      </c>
      <c r="W289" s="80">
        <v>0</v>
      </c>
      <c r="X289" s="80">
        <v>0</v>
      </c>
      <c r="Y289" s="80">
        <v>0</v>
      </c>
      <c r="Z289" s="72">
        <v>4000</v>
      </c>
      <c r="AA289" s="72">
        <v>4000</v>
      </c>
      <c r="AB289" s="72">
        <v>4000</v>
      </c>
      <c r="AC289" s="72">
        <v>4000</v>
      </c>
      <c r="AD289" s="77">
        <v>8000</v>
      </c>
      <c r="AE289" s="75">
        <v>0</v>
      </c>
      <c r="AF289" s="75">
        <v>8000</v>
      </c>
      <c r="AG289" s="75">
        <v>8000</v>
      </c>
      <c r="AH289" s="75">
        <v>8000</v>
      </c>
      <c r="AI289" s="75">
        <v>8000</v>
      </c>
      <c r="AJ289" s="75">
        <v>8000</v>
      </c>
      <c r="AK289" s="31">
        <v>0</v>
      </c>
      <c r="AL289" s="31">
        <v>0</v>
      </c>
      <c r="AM289" s="31">
        <v>0</v>
      </c>
      <c r="AN289" s="31">
        <v>0</v>
      </c>
      <c r="AO289" s="31">
        <v>0</v>
      </c>
      <c r="AP289" s="31">
        <v>0</v>
      </c>
      <c r="AQ289" s="31">
        <v>0</v>
      </c>
      <c r="AR289" s="31">
        <v>0</v>
      </c>
      <c r="AS289" s="31">
        <v>0</v>
      </c>
      <c r="AT289" s="31">
        <v>0</v>
      </c>
      <c r="AU289" s="31">
        <v>0</v>
      </c>
      <c r="AV289" s="31">
        <v>0</v>
      </c>
      <c r="AW289" s="12" t="s">
        <v>1357</v>
      </c>
      <c r="AX289" s="10" t="s">
        <v>85</v>
      </c>
      <c r="AY289" s="19" t="s">
        <v>261</v>
      </c>
      <c r="AZ289" s="12" t="s">
        <v>62</v>
      </c>
      <c r="BA289" s="12" t="s">
        <v>96</v>
      </c>
      <c r="BB289" s="12" t="s">
        <v>141</v>
      </c>
      <c r="BC289" s="12" t="s">
        <v>140</v>
      </c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6">
        <f t="shared" si="101"/>
        <v>2080</v>
      </c>
      <c r="BQ289" s="16">
        <f t="shared" si="101"/>
        <v>2080</v>
      </c>
      <c r="BR289" s="16">
        <f t="shared" si="101"/>
        <v>2080</v>
      </c>
      <c r="BS289" s="16">
        <f t="shared" si="101"/>
        <v>2080</v>
      </c>
      <c r="BT289" s="17">
        <f t="shared" si="101"/>
        <v>4160</v>
      </c>
      <c r="BU289" s="28">
        <f t="shared" si="87"/>
        <v>0</v>
      </c>
      <c r="BV289" s="28">
        <f t="shared" si="88"/>
        <v>4160</v>
      </c>
      <c r="BW289" s="28">
        <f t="shared" si="89"/>
        <v>4160</v>
      </c>
    </row>
    <row r="290" spans="1:75" ht="17.399999999999999" x14ac:dyDescent="0.25">
      <c r="A290" s="69">
        <f t="shared" si="84"/>
        <v>289</v>
      </c>
      <c r="B290" s="69" t="s">
        <v>1427</v>
      </c>
      <c r="C290" s="71" t="s">
        <v>56</v>
      </c>
      <c r="D290" s="71" t="s">
        <v>1353</v>
      </c>
      <c r="E290" s="71" t="s">
        <v>1302</v>
      </c>
      <c r="F290" s="73" t="s">
        <v>1354</v>
      </c>
      <c r="G290" s="69" t="s">
        <v>1428</v>
      </c>
      <c r="H290" s="69" t="s">
        <v>1429</v>
      </c>
      <c r="I290" s="71" t="str">
        <f>VLOOKUP(H290,[1]Sheet1!$C:$C,1,0)</f>
        <v>SC4002BU-CA-00CR-4002</v>
      </c>
      <c r="J290" s="69"/>
      <c r="K290" s="69"/>
      <c r="L290" s="69" t="s">
        <v>1430</v>
      </c>
      <c r="M290" s="80">
        <v>320000</v>
      </c>
      <c r="N290" s="72" t="s">
        <v>361</v>
      </c>
      <c r="O290" s="95" t="s">
        <v>1431</v>
      </c>
      <c r="P290" s="69"/>
      <c r="Q290" s="69"/>
      <c r="R290" s="100">
        <v>0.749</v>
      </c>
      <c r="S290" s="75">
        <f t="shared" si="100"/>
        <v>29960</v>
      </c>
      <c r="T290" s="88">
        <f t="shared" si="102"/>
        <v>0</v>
      </c>
      <c r="U290" s="76">
        <f t="shared" si="86"/>
        <v>40000</v>
      </c>
      <c r="V290" s="69">
        <v>4000</v>
      </c>
      <c r="W290" s="80">
        <v>0</v>
      </c>
      <c r="X290" s="69">
        <v>20000</v>
      </c>
      <c r="Y290" s="80">
        <v>0</v>
      </c>
      <c r="Z290" s="80">
        <v>0</v>
      </c>
      <c r="AA290" s="72">
        <v>20000</v>
      </c>
      <c r="AB290" s="80">
        <v>0</v>
      </c>
      <c r="AC290" s="80">
        <v>0</v>
      </c>
      <c r="AD290" s="77">
        <v>0</v>
      </c>
      <c r="AE290" s="75">
        <v>0</v>
      </c>
      <c r="AF290" s="75">
        <v>20000</v>
      </c>
      <c r="AG290" s="75">
        <v>20000</v>
      </c>
      <c r="AH290" s="75">
        <v>0</v>
      </c>
      <c r="AI290" s="75">
        <v>0</v>
      </c>
      <c r="AJ290" s="75">
        <v>0</v>
      </c>
      <c r="AK290" s="33">
        <v>0</v>
      </c>
      <c r="AL290" s="33">
        <v>0</v>
      </c>
      <c r="AM290" s="33">
        <v>0</v>
      </c>
      <c r="AN290" s="33">
        <v>0</v>
      </c>
      <c r="AO290" s="33">
        <v>0</v>
      </c>
      <c r="AP290" s="33">
        <v>0</v>
      </c>
      <c r="AQ290" s="33">
        <v>0</v>
      </c>
      <c r="AR290" s="33">
        <v>0</v>
      </c>
      <c r="AS290" s="33">
        <v>0</v>
      </c>
      <c r="AT290" s="33">
        <v>0</v>
      </c>
      <c r="AU290" s="33">
        <v>0</v>
      </c>
      <c r="AV290" s="33">
        <v>0</v>
      </c>
      <c r="AW290" s="22" t="s">
        <v>1432</v>
      </c>
      <c r="AX290" s="19" t="s">
        <v>85</v>
      </c>
      <c r="AY290" s="19" t="s">
        <v>261</v>
      </c>
      <c r="AZ290" s="22" t="s">
        <v>1433</v>
      </c>
      <c r="BA290" s="22" t="s">
        <v>1434</v>
      </c>
      <c r="BB290" s="22" t="s">
        <v>1435</v>
      </c>
      <c r="BC290" s="22" t="s">
        <v>1436</v>
      </c>
      <c r="BD290" s="22"/>
      <c r="BE290" s="22"/>
      <c r="BF290" s="22"/>
      <c r="BG290" s="22"/>
      <c r="BH290" s="22"/>
      <c r="BI290" s="22"/>
      <c r="BJ290" s="22"/>
      <c r="BK290" s="22"/>
      <c r="BL290" s="22"/>
      <c r="BM290" s="22"/>
      <c r="BN290" s="22"/>
      <c r="BO290" s="22"/>
      <c r="BP290" s="27">
        <f t="shared" si="101"/>
        <v>0</v>
      </c>
      <c r="BQ290" s="27">
        <f t="shared" si="101"/>
        <v>14980</v>
      </c>
      <c r="BR290" s="27">
        <f t="shared" si="101"/>
        <v>0</v>
      </c>
      <c r="BS290" s="27">
        <f t="shared" si="101"/>
        <v>0</v>
      </c>
      <c r="BT290" s="28">
        <f t="shared" si="101"/>
        <v>0</v>
      </c>
      <c r="BU290" s="28">
        <f t="shared" si="87"/>
        <v>0</v>
      </c>
      <c r="BV290" s="28">
        <f t="shared" si="88"/>
        <v>14980</v>
      </c>
      <c r="BW290" s="28">
        <f t="shared" si="89"/>
        <v>14980</v>
      </c>
    </row>
    <row r="291" spans="1:75" ht="17.399999999999999" x14ac:dyDescent="0.25">
      <c r="A291" s="69">
        <f t="shared" si="84"/>
        <v>290</v>
      </c>
      <c r="B291" s="69" t="s">
        <v>1437</v>
      </c>
      <c r="C291" s="71" t="s">
        <v>106</v>
      </c>
      <c r="D291" s="71" t="s">
        <v>1353</v>
      </c>
      <c r="E291" s="71" t="s">
        <v>1302</v>
      </c>
      <c r="F291" s="73" t="s">
        <v>1354</v>
      </c>
      <c r="G291" s="69" t="s">
        <v>1428</v>
      </c>
      <c r="H291" s="69" t="s">
        <v>1429</v>
      </c>
      <c r="I291" s="71" t="str">
        <f>VLOOKUP(H291,[1]Sheet1!$C:$C,1,0)</f>
        <v>SC4002BU-CA-00CR-4002</v>
      </c>
      <c r="J291" s="69"/>
      <c r="K291" s="69"/>
      <c r="L291" s="69" t="s">
        <v>1438</v>
      </c>
      <c r="M291" s="69"/>
      <c r="N291" s="72" t="s">
        <v>367</v>
      </c>
      <c r="O291" s="69" t="s">
        <v>1439</v>
      </c>
      <c r="P291" s="69"/>
      <c r="Q291" s="69"/>
      <c r="R291" s="100">
        <v>0.75</v>
      </c>
      <c r="S291" s="75">
        <f t="shared" si="100"/>
        <v>37500</v>
      </c>
      <c r="T291" s="88">
        <f t="shared" si="102"/>
        <v>0</v>
      </c>
      <c r="U291" s="76">
        <f t="shared" si="86"/>
        <v>50000</v>
      </c>
      <c r="V291" s="80">
        <v>0</v>
      </c>
      <c r="W291" s="80">
        <v>0</v>
      </c>
      <c r="X291" s="80">
        <v>0</v>
      </c>
      <c r="Y291" s="72">
        <v>500</v>
      </c>
      <c r="Z291" s="80">
        <v>0</v>
      </c>
      <c r="AA291" s="72">
        <v>500</v>
      </c>
      <c r="AB291" s="72">
        <v>6000</v>
      </c>
      <c r="AC291" s="72"/>
      <c r="AD291" s="77">
        <v>15000</v>
      </c>
      <c r="AE291" s="75">
        <v>0</v>
      </c>
      <c r="AF291" s="75">
        <v>50000</v>
      </c>
      <c r="AG291" s="75">
        <v>0</v>
      </c>
      <c r="AH291" s="75">
        <v>0</v>
      </c>
      <c r="AI291" s="75"/>
      <c r="AJ291" s="75">
        <v>50000</v>
      </c>
      <c r="AK291" s="31">
        <v>0</v>
      </c>
      <c r="AL291" s="31">
        <v>0</v>
      </c>
      <c r="AM291" s="31">
        <v>0</v>
      </c>
      <c r="AN291" s="31">
        <v>0</v>
      </c>
      <c r="AO291" s="31">
        <v>0</v>
      </c>
      <c r="AP291" s="31">
        <v>0</v>
      </c>
      <c r="AQ291" s="31">
        <v>0</v>
      </c>
      <c r="AR291" s="31">
        <v>0</v>
      </c>
      <c r="AS291" s="31">
        <v>0</v>
      </c>
      <c r="AT291" s="31">
        <v>0</v>
      </c>
      <c r="AU291" s="31">
        <v>0</v>
      </c>
      <c r="AV291" s="31">
        <v>0</v>
      </c>
      <c r="AW291" s="12" t="s">
        <v>1432</v>
      </c>
      <c r="AX291" s="10" t="s">
        <v>85</v>
      </c>
      <c r="AY291" s="19" t="s">
        <v>261</v>
      </c>
      <c r="AZ291" s="12" t="s">
        <v>1433</v>
      </c>
      <c r="BA291" s="12" t="s">
        <v>1434</v>
      </c>
      <c r="BB291" s="12" t="s">
        <v>1435</v>
      </c>
      <c r="BC291" s="12" t="s">
        <v>1436</v>
      </c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6">
        <f t="shared" si="101"/>
        <v>0</v>
      </c>
      <c r="BQ291" s="16">
        <f t="shared" si="101"/>
        <v>375</v>
      </c>
      <c r="BR291" s="16">
        <f t="shared" si="101"/>
        <v>4500</v>
      </c>
      <c r="BS291" s="16">
        <f t="shared" si="101"/>
        <v>0</v>
      </c>
      <c r="BT291" s="17">
        <f t="shared" si="101"/>
        <v>11250</v>
      </c>
      <c r="BU291" s="28">
        <f t="shared" si="87"/>
        <v>0</v>
      </c>
      <c r="BV291" s="28">
        <f t="shared" si="88"/>
        <v>37500</v>
      </c>
      <c r="BW291" s="28">
        <f t="shared" si="89"/>
        <v>0</v>
      </c>
    </row>
    <row r="292" spans="1:75" ht="17.399999999999999" x14ac:dyDescent="0.25">
      <c r="A292" s="69">
        <f t="shared" si="84"/>
        <v>291</v>
      </c>
      <c r="B292" s="69" t="s">
        <v>1440</v>
      </c>
      <c r="C292" s="71" t="s">
        <v>56</v>
      </c>
      <c r="D292" s="71" t="s">
        <v>1353</v>
      </c>
      <c r="E292" s="71" t="s">
        <v>1302</v>
      </c>
      <c r="F292" s="73" t="s">
        <v>1354</v>
      </c>
      <c r="G292" s="69" t="s">
        <v>840</v>
      </c>
      <c r="H292" s="71" t="s">
        <v>1441</v>
      </c>
      <c r="I292" s="71" t="str">
        <f>VLOOKUP(H292,[1]Sheet1!$C:$C,1,0)</f>
        <v>SC2462SO-Q-CJ-10CR-2462</v>
      </c>
      <c r="J292" s="69"/>
      <c r="K292" s="69"/>
      <c r="L292" s="69" t="s">
        <v>1442</v>
      </c>
      <c r="M292" s="80">
        <v>100000</v>
      </c>
      <c r="N292" s="72" t="s">
        <v>251</v>
      </c>
      <c r="O292" s="69"/>
      <c r="P292" s="69"/>
      <c r="Q292" s="69"/>
      <c r="R292" s="100">
        <v>0</v>
      </c>
      <c r="S292" s="75">
        <f t="shared" si="100"/>
        <v>0</v>
      </c>
      <c r="T292" s="88">
        <f t="shared" si="102"/>
        <v>0</v>
      </c>
      <c r="U292" s="76">
        <f t="shared" si="86"/>
        <v>0</v>
      </c>
      <c r="V292" s="80">
        <v>0</v>
      </c>
      <c r="W292" s="80">
        <v>0</v>
      </c>
      <c r="X292" s="80">
        <v>0</v>
      </c>
      <c r="Y292" s="80">
        <v>0</v>
      </c>
      <c r="Z292" s="80">
        <v>0</v>
      </c>
      <c r="AA292" s="80">
        <v>0</v>
      </c>
      <c r="AB292" s="80">
        <v>0</v>
      </c>
      <c r="AC292" s="80">
        <v>0</v>
      </c>
      <c r="AD292" s="77">
        <v>0</v>
      </c>
      <c r="AE292" s="75">
        <v>0</v>
      </c>
      <c r="AF292" s="75">
        <v>0</v>
      </c>
      <c r="AG292" s="75">
        <v>0</v>
      </c>
      <c r="AH292" s="75">
        <v>0</v>
      </c>
      <c r="AI292" s="75"/>
      <c r="AJ292" s="75">
        <v>0</v>
      </c>
      <c r="AK292" s="33">
        <v>0</v>
      </c>
      <c r="AL292" s="33">
        <v>0</v>
      </c>
      <c r="AM292" s="33">
        <v>0</v>
      </c>
      <c r="AN292" s="33">
        <v>0</v>
      </c>
      <c r="AO292" s="33">
        <v>0</v>
      </c>
      <c r="AP292" s="33">
        <v>0</v>
      </c>
      <c r="AQ292" s="33">
        <v>0</v>
      </c>
      <c r="AR292" s="33">
        <v>0</v>
      </c>
      <c r="AS292" s="33">
        <v>0</v>
      </c>
      <c r="AT292" s="33">
        <v>0</v>
      </c>
      <c r="AU292" s="33">
        <v>0</v>
      </c>
      <c r="AV292" s="33">
        <v>0</v>
      </c>
      <c r="AW292" s="22" t="s">
        <v>1357</v>
      </c>
      <c r="AX292" s="19" t="s">
        <v>85</v>
      </c>
      <c r="AY292" s="19" t="s">
        <v>261</v>
      </c>
      <c r="AZ292" s="22" t="s">
        <v>62</v>
      </c>
      <c r="BA292" s="22" t="s">
        <v>77</v>
      </c>
      <c r="BB292" s="22" t="s">
        <v>78</v>
      </c>
      <c r="BC292" s="22" t="s">
        <v>191</v>
      </c>
      <c r="BD292" s="22"/>
      <c r="BE292" s="22"/>
      <c r="BF292" s="22"/>
      <c r="BG292" s="22"/>
      <c r="BH292" s="22"/>
      <c r="BI292" s="22"/>
      <c r="BJ292" s="22"/>
      <c r="BK292" s="22"/>
      <c r="BL292" s="22"/>
      <c r="BM292" s="22"/>
      <c r="BN292" s="22"/>
      <c r="BO292" s="22"/>
      <c r="BP292" s="27">
        <f t="shared" si="101"/>
        <v>0</v>
      </c>
      <c r="BQ292" s="27">
        <f t="shared" si="101"/>
        <v>0</v>
      </c>
      <c r="BR292" s="27">
        <f t="shared" si="101"/>
        <v>0</v>
      </c>
      <c r="BS292" s="27">
        <f t="shared" si="101"/>
        <v>0</v>
      </c>
      <c r="BT292" s="28">
        <f t="shared" si="101"/>
        <v>0</v>
      </c>
      <c r="BU292" s="28">
        <f t="shared" si="87"/>
        <v>0</v>
      </c>
      <c r="BV292" s="28">
        <f t="shared" si="88"/>
        <v>0</v>
      </c>
      <c r="BW292" s="28">
        <f t="shared" si="89"/>
        <v>0</v>
      </c>
    </row>
    <row r="293" spans="1:75" ht="17.399999999999999" x14ac:dyDescent="0.25">
      <c r="A293" s="69">
        <f t="shared" si="84"/>
        <v>292</v>
      </c>
      <c r="B293" s="73" t="s">
        <v>976</v>
      </c>
      <c r="C293" s="73" t="s">
        <v>235</v>
      </c>
      <c r="D293" s="73" t="s">
        <v>977</v>
      </c>
      <c r="E293" s="73" t="s">
        <v>978</v>
      </c>
      <c r="F293" s="73" t="s">
        <v>978</v>
      </c>
      <c r="G293" s="71" t="s">
        <v>984</v>
      </c>
      <c r="H293" s="71" t="s">
        <v>985</v>
      </c>
      <c r="I293" s="71" t="str">
        <f>VLOOKUP(H293,[1]Sheet1!$C:$C,1,0)</f>
        <v>SC4823S6-GA-00NR-4823</v>
      </c>
      <c r="J293" s="87"/>
      <c r="K293" s="85"/>
      <c r="L293" s="71"/>
      <c r="M293" s="85"/>
      <c r="N293" s="85"/>
      <c r="O293" s="85"/>
      <c r="P293" s="85"/>
      <c r="Q293" s="85"/>
      <c r="R293" s="100">
        <v>0.26500000000000001</v>
      </c>
      <c r="S293" s="75">
        <f t="shared" si="100"/>
        <v>0</v>
      </c>
      <c r="T293" s="76"/>
      <c r="U293" s="76">
        <f t="shared" si="86"/>
        <v>0</v>
      </c>
      <c r="V293" s="85"/>
      <c r="W293" s="85"/>
      <c r="X293" s="85"/>
      <c r="Y293" s="85"/>
      <c r="Z293" s="76"/>
      <c r="AA293" s="76"/>
      <c r="AB293" s="76"/>
      <c r="AC293" s="76">
        <v>1000000</v>
      </c>
      <c r="AD293" s="77">
        <v>1000000</v>
      </c>
      <c r="AE293" s="75"/>
      <c r="AF293" s="75"/>
      <c r="AG293" s="75"/>
      <c r="AH293" s="75"/>
      <c r="AI293" s="75"/>
      <c r="AJ293" s="75">
        <v>0</v>
      </c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 t="s">
        <v>689</v>
      </c>
      <c r="AY293" s="19" t="s">
        <v>261</v>
      </c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>
        <f>$R293*AA293</f>
        <v>0</v>
      </c>
      <c r="BR293" s="16">
        <f>$R293*AB293</f>
        <v>0</v>
      </c>
      <c r="BS293" s="16">
        <f>$R293*AC293</f>
        <v>265000</v>
      </c>
      <c r="BT293" s="17">
        <f>$R293*AD293</f>
        <v>265000</v>
      </c>
      <c r="BU293" s="28">
        <f t="shared" si="87"/>
        <v>0</v>
      </c>
      <c r="BV293" s="28">
        <f t="shared" si="88"/>
        <v>0</v>
      </c>
      <c r="BW293" s="28">
        <f t="shared" si="89"/>
        <v>0</v>
      </c>
    </row>
    <row r="294" spans="1:75" ht="17.399999999999999" x14ac:dyDescent="0.25">
      <c r="A294" s="69">
        <f t="shared" si="84"/>
        <v>293</v>
      </c>
      <c r="B294" s="73" t="s">
        <v>1947</v>
      </c>
      <c r="C294" s="71" t="s">
        <v>149</v>
      </c>
      <c r="D294" s="71" t="s">
        <v>1947</v>
      </c>
      <c r="E294" s="71" t="s">
        <v>1948</v>
      </c>
      <c r="F294" s="71" t="s">
        <v>1948</v>
      </c>
      <c r="G294" s="71" t="s">
        <v>1953</v>
      </c>
      <c r="H294" s="71" t="s">
        <v>1954</v>
      </c>
      <c r="I294" s="71" t="str">
        <f>VLOOKUP(H294,[1]Sheet1!$C:$C,1,0)</f>
        <v>SC4823S6-GB-00NR-4823</v>
      </c>
      <c r="J294" s="71"/>
      <c r="K294" s="71"/>
      <c r="L294" s="73"/>
      <c r="M294" s="80"/>
      <c r="N294" s="72"/>
      <c r="O294" s="73"/>
      <c r="P294" s="71"/>
      <c r="Q294" s="71"/>
      <c r="R294" s="100">
        <v>0.06</v>
      </c>
      <c r="S294" s="75"/>
      <c r="T294" s="91"/>
      <c r="U294" s="76">
        <f t="shared" si="86"/>
        <v>4000000</v>
      </c>
      <c r="V294" s="80"/>
      <c r="W294" s="80"/>
      <c r="X294" s="80"/>
      <c r="Y294" s="72"/>
      <c r="Z294" s="72"/>
      <c r="AA294" s="72"/>
      <c r="AB294" s="72"/>
      <c r="AC294" s="72"/>
      <c r="AD294" s="77"/>
      <c r="AE294" s="75">
        <v>1000000</v>
      </c>
      <c r="AF294" s="75">
        <v>1500000</v>
      </c>
      <c r="AG294" s="75">
        <v>1500000</v>
      </c>
      <c r="AH294" s="75">
        <v>2000000</v>
      </c>
      <c r="AI294" s="75">
        <v>2000000</v>
      </c>
      <c r="AJ294" s="75">
        <v>2000000</v>
      </c>
      <c r="AK294" s="33"/>
      <c r="AL294" s="33"/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19"/>
      <c r="AX294" s="19"/>
      <c r="AY294" s="19" t="s">
        <v>261</v>
      </c>
      <c r="AZ294" s="19"/>
      <c r="BA294" s="19"/>
      <c r="BB294" s="19"/>
      <c r="BC294" s="19"/>
      <c r="BD294" s="19"/>
      <c r="BE294" s="19"/>
      <c r="BF294" s="19"/>
      <c r="BG294" s="24"/>
      <c r="BH294" s="19"/>
      <c r="BI294" s="25"/>
      <c r="BJ294" s="25"/>
      <c r="BK294" s="25"/>
      <c r="BL294" s="25"/>
      <c r="BM294" s="25"/>
      <c r="BN294" s="37"/>
      <c r="BO294" s="21"/>
      <c r="BP294" s="27"/>
      <c r="BQ294" s="27"/>
      <c r="BR294" s="27"/>
      <c r="BS294" s="27"/>
      <c r="BT294" s="28"/>
      <c r="BU294" s="28">
        <f t="shared" si="87"/>
        <v>60000</v>
      </c>
      <c r="BV294" s="28">
        <f t="shared" si="88"/>
        <v>90000</v>
      </c>
      <c r="BW294" s="28">
        <f t="shared" si="89"/>
        <v>90000</v>
      </c>
    </row>
    <row r="295" spans="1:75" ht="17.399999999999999" x14ac:dyDescent="0.25">
      <c r="A295" s="69">
        <f t="shared" si="84"/>
        <v>294</v>
      </c>
      <c r="B295" s="73" t="s">
        <v>1456</v>
      </c>
      <c r="C295" s="71" t="s">
        <v>56</v>
      </c>
      <c r="D295" s="71" t="s">
        <v>1353</v>
      </c>
      <c r="E295" s="71" t="s">
        <v>1302</v>
      </c>
      <c r="F295" s="71" t="s">
        <v>1354</v>
      </c>
      <c r="G295" s="71" t="s">
        <v>1006</v>
      </c>
      <c r="H295" s="71" t="s">
        <v>1007</v>
      </c>
      <c r="I295" s="71" t="str">
        <f>VLOOKUP(H295,[1]Sheet1!$C:$C,1,0)</f>
        <v>SC1245A3-CD-00CK-41F</v>
      </c>
      <c r="J295" s="71"/>
      <c r="K295" s="71"/>
      <c r="L295" s="73" t="s">
        <v>1457</v>
      </c>
      <c r="M295" s="80"/>
      <c r="N295" s="72" t="s">
        <v>251</v>
      </c>
      <c r="O295" s="69" t="s">
        <v>1458</v>
      </c>
      <c r="P295" s="71"/>
      <c r="Q295" s="71"/>
      <c r="R295" s="100">
        <v>0.35</v>
      </c>
      <c r="S295" s="75">
        <f t="shared" ref="S295:S303" si="103">R295*U295</f>
        <v>0</v>
      </c>
      <c r="T295" s="91"/>
      <c r="U295" s="76">
        <f t="shared" si="86"/>
        <v>0</v>
      </c>
      <c r="V295" s="80"/>
      <c r="W295" s="80"/>
      <c r="X295" s="80"/>
      <c r="Y295" s="80"/>
      <c r="Z295" s="80"/>
      <c r="AA295" s="80"/>
      <c r="AB295" s="80"/>
      <c r="AC295" s="72"/>
      <c r="AD295" s="77"/>
      <c r="AE295" s="75"/>
      <c r="AF295" s="75"/>
      <c r="AG295" s="75"/>
      <c r="AH295" s="75">
        <v>0</v>
      </c>
      <c r="AI295" s="75"/>
      <c r="AJ295" s="75">
        <v>0</v>
      </c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10"/>
      <c r="AX295" s="10" t="s">
        <v>85</v>
      </c>
      <c r="AY295" s="19" t="s">
        <v>261</v>
      </c>
      <c r="AZ295" s="10"/>
      <c r="BA295" s="10"/>
      <c r="BB295" s="10"/>
      <c r="BC295" s="10"/>
      <c r="BD295" s="10"/>
      <c r="BE295" s="10"/>
      <c r="BF295" s="10"/>
      <c r="BG295" s="13"/>
      <c r="BH295" s="10"/>
      <c r="BI295" s="14"/>
      <c r="BJ295" s="14"/>
      <c r="BK295" s="14"/>
      <c r="BL295" s="14"/>
      <c r="BM295" s="14"/>
      <c r="BN295" s="35"/>
      <c r="BO295" s="11"/>
      <c r="BP295" s="16">
        <f t="shared" ref="BP295:BP303" si="104">$R295*Z295</f>
        <v>0</v>
      </c>
      <c r="BQ295" s="16">
        <f t="shared" ref="BQ295:BQ303" si="105">$R295*AA295</f>
        <v>0</v>
      </c>
      <c r="BR295" s="16">
        <f t="shared" ref="BR295:BR303" si="106">$R295*AB295</f>
        <v>0</v>
      </c>
      <c r="BS295" s="16">
        <f t="shared" ref="BS295:BS303" si="107">$R295*AC295</f>
        <v>0</v>
      </c>
      <c r="BT295" s="17">
        <f t="shared" ref="BT295:BT303" si="108">$R295*AD295</f>
        <v>0</v>
      </c>
      <c r="BU295" s="28">
        <f t="shared" si="87"/>
        <v>0</v>
      </c>
      <c r="BV295" s="28">
        <f t="shared" si="88"/>
        <v>0</v>
      </c>
      <c r="BW295" s="28">
        <f t="shared" si="89"/>
        <v>0</v>
      </c>
    </row>
    <row r="296" spans="1:75" ht="17.399999999999999" x14ac:dyDescent="0.25">
      <c r="A296" s="69">
        <f t="shared" si="84"/>
        <v>295</v>
      </c>
      <c r="B296" s="73" t="s">
        <v>1459</v>
      </c>
      <c r="C296" s="71" t="s">
        <v>56</v>
      </c>
      <c r="D296" s="71" t="s">
        <v>1353</v>
      </c>
      <c r="E296" s="71" t="s">
        <v>1302</v>
      </c>
      <c r="F296" s="71" t="s">
        <v>1354</v>
      </c>
      <c r="G296" s="71" t="s">
        <v>269</v>
      </c>
      <c r="H296" s="71" t="s">
        <v>270</v>
      </c>
      <c r="I296" s="71" t="str">
        <f>VLOOKUP(H296,[1]Sheet1!$C:$C,1,0)</f>
        <v>SC2438SO-CM-10CR-2438</v>
      </c>
      <c r="J296" s="71"/>
      <c r="K296" s="71"/>
      <c r="L296" s="73" t="s">
        <v>1460</v>
      </c>
      <c r="M296" s="80"/>
      <c r="N296" s="72" t="s">
        <v>251</v>
      </c>
      <c r="O296" s="69" t="s">
        <v>1461</v>
      </c>
      <c r="P296" s="71"/>
      <c r="Q296" s="71"/>
      <c r="R296" s="100">
        <v>0.55000000000000004</v>
      </c>
      <c r="S296" s="75">
        <f t="shared" si="103"/>
        <v>0</v>
      </c>
      <c r="T296" s="91"/>
      <c r="U296" s="76">
        <f t="shared" si="86"/>
        <v>0</v>
      </c>
      <c r="V296" s="80"/>
      <c r="W296" s="80"/>
      <c r="X296" s="80"/>
      <c r="Y296" s="80"/>
      <c r="Z296" s="80"/>
      <c r="AA296" s="80"/>
      <c r="AB296" s="80"/>
      <c r="AC296" s="72"/>
      <c r="AD296" s="77"/>
      <c r="AE296" s="75"/>
      <c r="AF296" s="75"/>
      <c r="AG296" s="75"/>
      <c r="AH296" s="75">
        <v>0</v>
      </c>
      <c r="AI296" s="75"/>
      <c r="AJ296" s="75">
        <v>0</v>
      </c>
      <c r="AK296" s="33"/>
      <c r="AL296" s="33"/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19"/>
      <c r="AX296" s="19" t="s">
        <v>85</v>
      </c>
      <c r="AY296" s="19" t="s">
        <v>261</v>
      </c>
      <c r="AZ296" s="19"/>
      <c r="BA296" s="19"/>
      <c r="BB296" s="19"/>
      <c r="BC296" s="19"/>
      <c r="BD296" s="19"/>
      <c r="BE296" s="19"/>
      <c r="BF296" s="19"/>
      <c r="BG296" s="24"/>
      <c r="BH296" s="19"/>
      <c r="BI296" s="25"/>
      <c r="BJ296" s="25"/>
      <c r="BK296" s="25"/>
      <c r="BL296" s="25"/>
      <c r="BM296" s="25"/>
      <c r="BN296" s="37"/>
      <c r="BO296" s="21"/>
      <c r="BP296" s="27">
        <f t="shared" si="104"/>
        <v>0</v>
      </c>
      <c r="BQ296" s="27">
        <f t="shared" si="105"/>
        <v>0</v>
      </c>
      <c r="BR296" s="27">
        <f t="shared" si="106"/>
        <v>0</v>
      </c>
      <c r="BS296" s="27">
        <f t="shared" si="107"/>
        <v>0</v>
      </c>
      <c r="BT296" s="28">
        <f t="shared" si="108"/>
        <v>0</v>
      </c>
      <c r="BU296" s="28">
        <f t="shared" si="87"/>
        <v>0</v>
      </c>
      <c r="BV296" s="28">
        <f t="shared" si="88"/>
        <v>0</v>
      </c>
      <c r="BW296" s="28">
        <f t="shared" si="89"/>
        <v>0</v>
      </c>
    </row>
    <row r="297" spans="1:75" ht="17.399999999999999" x14ac:dyDescent="0.25">
      <c r="A297" s="69">
        <f t="shared" ref="A297:A360" si="109">ROW()-1</f>
        <v>296</v>
      </c>
      <c r="B297" s="73" t="s">
        <v>1462</v>
      </c>
      <c r="C297" s="71" t="s">
        <v>56</v>
      </c>
      <c r="D297" s="71" t="s">
        <v>1463</v>
      </c>
      <c r="E297" s="71" t="s">
        <v>1302</v>
      </c>
      <c r="F297" s="71" t="s">
        <v>1464</v>
      </c>
      <c r="G297" s="71" t="s">
        <v>255</v>
      </c>
      <c r="H297" s="71" t="s">
        <v>1465</v>
      </c>
      <c r="I297" s="71" t="str">
        <f>VLOOKUP(H297,[1]Sheet1!$C:$C,1,0)</f>
        <v>SC69401DC-Q-HD-4XCR-69401</v>
      </c>
      <c r="J297" s="71"/>
      <c r="K297" s="71"/>
      <c r="L297" s="71" t="s">
        <v>1466</v>
      </c>
      <c r="M297" s="80">
        <v>200000</v>
      </c>
      <c r="N297" s="72" t="s">
        <v>361</v>
      </c>
      <c r="O297" s="73" t="s">
        <v>1467</v>
      </c>
      <c r="P297" s="71" t="s">
        <v>1099</v>
      </c>
      <c r="Q297" s="71"/>
      <c r="R297" s="100">
        <v>3.8</v>
      </c>
      <c r="S297" s="75">
        <f t="shared" si="103"/>
        <v>45600</v>
      </c>
      <c r="T297" s="91">
        <f t="shared" ref="T297:T303" si="110">R297*SUM(AK297:AP297)</f>
        <v>0</v>
      </c>
      <c r="U297" s="76">
        <f t="shared" si="86"/>
        <v>12000</v>
      </c>
      <c r="V297" s="80">
        <v>0</v>
      </c>
      <c r="W297" s="80">
        <v>0</v>
      </c>
      <c r="X297" s="72">
        <v>4000</v>
      </c>
      <c r="Y297" s="80">
        <v>0</v>
      </c>
      <c r="Z297" s="80">
        <v>4000</v>
      </c>
      <c r="AA297" s="80">
        <v>0</v>
      </c>
      <c r="AB297" s="80">
        <v>0</v>
      </c>
      <c r="AC297" s="80">
        <v>0</v>
      </c>
      <c r="AD297" s="77">
        <v>4000</v>
      </c>
      <c r="AE297" s="75">
        <v>4000</v>
      </c>
      <c r="AF297" s="75">
        <v>4000</v>
      </c>
      <c r="AG297" s="75">
        <v>4000</v>
      </c>
      <c r="AH297" s="75">
        <v>4000</v>
      </c>
      <c r="AI297" s="75">
        <v>4000</v>
      </c>
      <c r="AJ297" s="75">
        <v>4000</v>
      </c>
      <c r="AK297" s="31">
        <v>0</v>
      </c>
      <c r="AL297" s="31">
        <v>0</v>
      </c>
      <c r="AM297" s="31">
        <v>0</v>
      </c>
      <c r="AN297" s="31">
        <v>0</v>
      </c>
      <c r="AO297" s="31">
        <v>0</v>
      </c>
      <c r="AP297" s="31">
        <v>0</v>
      </c>
      <c r="AQ297" s="31">
        <v>0</v>
      </c>
      <c r="AR297" s="31">
        <v>0</v>
      </c>
      <c r="AS297" s="31">
        <v>0</v>
      </c>
      <c r="AT297" s="31">
        <v>0</v>
      </c>
      <c r="AU297" s="31">
        <v>0</v>
      </c>
      <c r="AV297" s="31">
        <v>0</v>
      </c>
      <c r="AW297" s="10" t="s">
        <v>1468</v>
      </c>
      <c r="AX297" s="10" t="s">
        <v>85</v>
      </c>
      <c r="AY297" s="19" t="s">
        <v>371</v>
      </c>
      <c r="AZ297" s="10" t="s">
        <v>507</v>
      </c>
      <c r="BA297" s="10" t="s">
        <v>508</v>
      </c>
      <c r="BB297" s="10" t="s">
        <v>1469</v>
      </c>
      <c r="BC297" s="10" t="s">
        <v>1470</v>
      </c>
      <c r="BD297" s="10" t="s">
        <v>1471</v>
      </c>
      <c r="BE297" s="10"/>
      <c r="BF297" s="10"/>
      <c r="BG297" s="13">
        <v>1</v>
      </c>
      <c r="BH297" s="10"/>
      <c r="BI297" s="14"/>
      <c r="BJ297" s="14"/>
      <c r="BK297" s="14"/>
      <c r="BL297" s="14"/>
      <c r="BM297" s="14"/>
      <c r="BN297" s="35"/>
      <c r="BO297" s="11"/>
      <c r="BP297" s="16">
        <f t="shared" si="104"/>
        <v>15200</v>
      </c>
      <c r="BQ297" s="16">
        <f t="shared" si="105"/>
        <v>0</v>
      </c>
      <c r="BR297" s="16">
        <f t="shared" si="106"/>
        <v>0</v>
      </c>
      <c r="BS297" s="16">
        <f t="shared" si="107"/>
        <v>0</v>
      </c>
      <c r="BT297" s="17">
        <f t="shared" si="108"/>
        <v>15200</v>
      </c>
      <c r="BU297" s="28">
        <f t="shared" si="87"/>
        <v>15200</v>
      </c>
      <c r="BV297" s="28">
        <f t="shared" si="88"/>
        <v>15200</v>
      </c>
      <c r="BW297" s="28">
        <f t="shared" si="89"/>
        <v>15200</v>
      </c>
    </row>
    <row r="298" spans="1:75" ht="17.399999999999999" x14ac:dyDescent="0.25">
      <c r="A298" s="69">
        <f t="shared" si="109"/>
        <v>297</v>
      </c>
      <c r="B298" s="73" t="s">
        <v>1462</v>
      </c>
      <c r="C298" s="71" t="s">
        <v>56</v>
      </c>
      <c r="D298" s="71" t="s">
        <v>1463</v>
      </c>
      <c r="E298" s="71" t="s">
        <v>1302</v>
      </c>
      <c r="F298" s="71" t="s">
        <v>1464</v>
      </c>
      <c r="G298" s="71" t="s">
        <v>242</v>
      </c>
      <c r="H298" s="71" t="s">
        <v>1172</v>
      </c>
      <c r="I298" s="71" t="str">
        <f>VLOOKUP(H298,[1]Sheet1!$C:$C,1,0)</f>
        <v>SC4688DC-Q-DC-40CR-4688</v>
      </c>
      <c r="J298" s="71"/>
      <c r="K298" s="71"/>
      <c r="L298" s="71" t="s">
        <v>1472</v>
      </c>
      <c r="M298" s="80">
        <v>150000</v>
      </c>
      <c r="N298" s="72" t="s">
        <v>361</v>
      </c>
      <c r="O298" s="73" t="s">
        <v>1473</v>
      </c>
      <c r="P298" s="71" t="s">
        <v>1072</v>
      </c>
      <c r="Q298" s="71"/>
      <c r="R298" s="100">
        <v>2.73</v>
      </c>
      <c r="S298" s="75">
        <f t="shared" si="103"/>
        <v>65520</v>
      </c>
      <c r="T298" s="91">
        <f t="shared" si="110"/>
        <v>0</v>
      </c>
      <c r="U298" s="76">
        <f t="shared" si="86"/>
        <v>24000</v>
      </c>
      <c r="V298" s="80">
        <v>0</v>
      </c>
      <c r="W298" s="80">
        <v>0</v>
      </c>
      <c r="X298" s="72">
        <v>2950</v>
      </c>
      <c r="Y298" s="72">
        <v>16000</v>
      </c>
      <c r="Z298" s="72">
        <v>28000</v>
      </c>
      <c r="AA298" s="72">
        <v>20000</v>
      </c>
      <c r="AB298" s="80">
        <v>0</v>
      </c>
      <c r="AC298" s="72">
        <v>8000</v>
      </c>
      <c r="AD298" s="77">
        <v>0</v>
      </c>
      <c r="AE298" s="75">
        <v>0</v>
      </c>
      <c r="AF298" s="75">
        <v>12000</v>
      </c>
      <c r="AG298" s="75">
        <v>12000</v>
      </c>
      <c r="AH298" s="75">
        <v>12000</v>
      </c>
      <c r="AI298" s="75">
        <v>12000</v>
      </c>
      <c r="AJ298" s="75">
        <v>12000</v>
      </c>
      <c r="AK298" s="33">
        <v>0</v>
      </c>
      <c r="AL298" s="33">
        <v>0</v>
      </c>
      <c r="AM298" s="33">
        <v>0</v>
      </c>
      <c r="AN298" s="33">
        <v>0</v>
      </c>
      <c r="AO298" s="33">
        <v>0</v>
      </c>
      <c r="AP298" s="33">
        <v>0</v>
      </c>
      <c r="AQ298" s="33">
        <v>0</v>
      </c>
      <c r="AR298" s="33">
        <v>0</v>
      </c>
      <c r="AS298" s="33">
        <v>0</v>
      </c>
      <c r="AT298" s="33">
        <v>0</v>
      </c>
      <c r="AU298" s="33">
        <v>0</v>
      </c>
      <c r="AV298" s="33">
        <v>0</v>
      </c>
      <c r="AW298" s="19" t="s">
        <v>1070</v>
      </c>
      <c r="AX298" s="19" t="s">
        <v>85</v>
      </c>
      <c r="AY298" s="19" t="s">
        <v>371</v>
      </c>
      <c r="AZ298" s="19" t="s">
        <v>507</v>
      </c>
      <c r="BA298" s="19" t="s">
        <v>508</v>
      </c>
      <c r="BB298" s="19" t="s">
        <v>1469</v>
      </c>
      <c r="BC298" s="19" t="s">
        <v>1470</v>
      </c>
      <c r="BD298" s="19" t="s">
        <v>1471</v>
      </c>
      <c r="BE298" s="19"/>
      <c r="BF298" s="19"/>
      <c r="BG298" s="24">
        <v>1</v>
      </c>
      <c r="BH298" s="19"/>
      <c r="BI298" s="25"/>
      <c r="BJ298" s="25"/>
      <c r="BK298" s="25"/>
      <c r="BL298" s="25"/>
      <c r="BM298" s="25"/>
      <c r="BN298" s="37"/>
      <c r="BO298" s="21"/>
      <c r="BP298" s="27">
        <f t="shared" si="104"/>
        <v>76440</v>
      </c>
      <c r="BQ298" s="27">
        <f t="shared" si="105"/>
        <v>54600</v>
      </c>
      <c r="BR298" s="27">
        <f t="shared" si="106"/>
        <v>0</v>
      </c>
      <c r="BS298" s="27">
        <f t="shared" si="107"/>
        <v>21840</v>
      </c>
      <c r="BT298" s="28">
        <f t="shared" si="108"/>
        <v>0</v>
      </c>
      <c r="BU298" s="28">
        <f t="shared" si="87"/>
        <v>0</v>
      </c>
      <c r="BV298" s="28">
        <f t="shared" si="88"/>
        <v>32760</v>
      </c>
      <c r="BW298" s="28">
        <f t="shared" si="89"/>
        <v>32760</v>
      </c>
    </row>
    <row r="299" spans="1:75" ht="17.399999999999999" x14ac:dyDescent="0.25">
      <c r="A299" s="69">
        <f t="shared" si="109"/>
        <v>298</v>
      </c>
      <c r="B299" s="73" t="s">
        <v>1462</v>
      </c>
      <c r="C299" s="71" t="s">
        <v>56</v>
      </c>
      <c r="D299" s="71" t="s">
        <v>1463</v>
      </c>
      <c r="E299" s="71" t="s">
        <v>1302</v>
      </c>
      <c r="F299" s="71" t="s">
        <v>1464</v>
      </c>
      <c r="G299" s="71" t="s">
        <v>1303</v>
      </c>
      <c r="H299" s="69" t="s">
        <v>1408</v>
      </c>
      <c r="I299" s="71" t="str">
        <f>VLOOKUP(H299,[1]Sheet1!$C:$C,1,0)</f>
        <v>SC2527S6-AB-Q-DA-40CR-2527</v>
      </c>
      <c r="J299" s="71"/>
      <c r="K299" s="71"/>
      <c r="L299" s="71" t="s">
        <v>1474</v>
      </c>
      <c r="M299" s="80">
        <v>150000</v>
      </c>
      <c r="N299" s="72" t="s">
        <v>251</v>
      </c>
      <c r="O299" s="73" t="s">
        <v>1475</v>
      </c>
      <c r="P299" s="71" t="s">
        <v>1476</v>
      </c>
      <c r="Q299" s="71"/>
      <c r="R299" s="100">
        <v>0.75</v>
      </c>
      <c r="S299" s="75">
        <f t="shared" si="103"/>
        <v>1500</v>
      </c>
      <c r="T299" s="91">
        <f t="shared" si="110"/>
        <v>0</v>
      </c>
      <c r="U299" s="76">
        <f t="shared" si="86"/>
        <v>2000</v>
      </c>
      <c r="V299" s="80">
        <v>0</v>
      </c>
      <c r="W299" s="80">
        <v>0</v>
      </c>
      <c r="X299" s="80">
        <v>0</v>
      </c>
      <c r="Y299" s="80">
        <v>0</v>
      </c>
      <c r="Z299" s="80">
        <v>0</v>
      </c>
      <c r="AA299" s="80">
        <v>0</v>
      </c>
      <c r="AB299" s="80">
        <v>0</v>
      </c>
      <c r="AC299" s="80">
        <v>0</v>
      </c>
      <c r="AD299" s="77">
        <v>0</v>
      </c>
      <c r="AE299" s="75">
        <v>0</v>
      </c>
      <c r="AF299" s="75">
        <v>2000</v>
      </c>
      <c r="AG299" s="75">
        <v>0</v>
      </c>
      <c r="AH299" s="75">
        <v>0</v>
      </c>
      <c r="AI299" s="75"/>
      <c r="AJ299" s="75">
        <v>2000</v>
      </c>
      <c r="AK299" s="31">
        <v>0</v>
      </c>
      <c r="AL299" s="31">
        <v>0</v>
      </c>
      <c r="AM299" s="31">
        <v>0</v>
      </c>
      <c r="AN299" s="31">
        <v>0</v>
      </c>
      <c r="AO299" s="31">
        <v>0</v>
      </c>
      <c r="AP299" s="31">
        <v>0</v>
      </c>
      <c r="AQ299" s="31">
        <v>0</v>
      </c>
      <c r="AR299" s="31">
        <v>0</v>
      </c>
      <c r="AS299" s="31">
        <v>0</v>
      </c>
      <c r="AT299" s="31">
        <v>0</v>
      </c>
      <c r="AU299" s="31">
        <v>0</v>
      </c>
      <c r="AV299" s="31">
        <v>0</v>
      </c>
      <c r="AW299" s="10" t="s">
        <v>155</v>
      </c>
      <c r="AX299" s="10" t="s">
        <v>85</v>
      </c>
      <c r="AY299" s="19" t="s">
        <v>261</v>
      </c>
      <c r="AZ299" s="10" t="s">
        <v>507</v>
      </c>
      <c r="BA299" s="10" t="s">
        <v>508</v>
      </c>
      <c r="BB299" s="10" t="s">
        <v>1469</v>
      </c>
      <c r="BC299" s="10" t="s">
        <v>1477</v>
      </c>
      <c r="BD299" s="10" t="s">
        <v>1471</v>
      </c>
      <c r="BE299" s="10"/>
      <c r="BF299" s="10"/>
      <c r="BG299" s="13">
        <v>1</v>
      </c>
      <c r="BH299" s="10"/>
      <c r="BI299" s="14"/>
      <c r="BJ299" s="14"/>
      <c r="BK299" s="14"/>
      <c r="BL299" s="14"/>
      <c r="BM299" s="14"/>
      <c r="BN299" s="35"/>
      <c r="BO299" s="11"/>
      <c r="BP299" s="16">
        <f t="shared" si="104"/>
        <v>0</v>
      </c>
      <c r="BQ299" s="16">
        <f t="shared" si="105"/>
        <v>0</v>
      </c>
      <c r="BR299" s="16">
        <f t="shared" si="106"/>
        <v>0</v>
      </c>
      <c r="BS299" s="16">
        <f t="shared" si="107"/>
        <v>0</v>
      </c>
      <c r="BT299" s="17">
        <f t="shared" si="108"/>
        <v>0</v>
      </c>
      <c r="BU299" s="28">
        <f t="shared" si="87"/>
        <v>0</v>
      </c>
      <c r="BV299" s="28">
        <f t="shared" si="88"/>
        <v>1500</v>
      </c>
      <c r="BW299" s="28">
        <f t="shared" si="89"/>
        <v>0</v>
      </c>
    </row>
    <row r="300" spans="1:75" ht="17.399999999999999" x14ac:dyDescent="0.25">
      <c r="A300" s="69">
        <f t="shared" si="109"/>
        <v>299</v>
      </c>
      <c r="B300" s="73" t="s">
        <v>1478</v>
      </c>
      <c r="C300" s="71" t="s">
        <v>56</v>
      </c>
      <c r="D300" s="71" t="s">
        <v>1463</v>
      </c>
      <c r="E300" s="71" t="s">
        <v>1302</v>
      </c>
      <c r="F300" s="71" t="s">
        <v>1464</v>
      </c>
      <c r="G300" s="71" t="s">
        <v>1428</v>
      </c>
      <c r="H300" s="69" t="s">
        <v>1429</v>
      </c>
      <c r="I300" s="71" t="str">
        <f>VLOOKUP(H300,[1]Sheet1!$C:$C,1,0)</f>
        <v>SC4002BU-CA-00CR-4002</v>
      </c>
      <c r="J300" s="71"/>
      <c r="K300" s="71"/>
      <c r="L300" s="71" t="s">
        <v>1479</v>
      </c>
      <c r="M300" s="80">
        <v>800000</v>
      </c>
      <c r="N300" s="72" t="s">
        <v>361</v>
      </c>
      <c r="O300" s="73" t="s">
        <v>1480</v>
      </c>
      <c r="P300" s="71" t="s">
        <v>295</v>
      </c>
      <c r="Q300" s="71"/>
      <c r="R300" s="100">
        <v>0.69499999999999995</v>
      </c>
      <c r="S300" s="75">
        <f t="shared" si="103"/>
        <v>55599.999999999993</v>
      </c>
      <c r="T300" s="91">
        <f t="shared" si="110"/>
        <v>0</v>
      </c>
      <c r="U300" s="76">
        <f t="shared" si="86"/>
        <v>80000</v>
      </c>
      <c r="V300" s="80">
        <v>0</v>
      </c>
      <c r="W300" s="72">
        <v>128000</v>
      </c>
      <c r="X300" s="80">
        <v>0</v>
      </c>
      <c r="Y300" s="80">
        <v>80000</v>
      </c>
      <c r="Z300" s="72">
        <v>100000</v>
      </c>
      <c r="AA300" s="80">
        <v>80000</v>
      </c>
      <c r="AB300" s="72">
        <v>80000</v>
      </c>
      <c r="AC300" s="72">
        <v>0</v>
      </c>
      <c r="AD300" s="77">
        <v>0</v>
      </c>
      <c r="AE300" s="75">
        <v>0</v>
      </c>
      <c r="AF300" s="75">
        <v>0</v>
      </c>
      <c r="AG300" s="75">
        <v>80000</v>
      </c>
      <c r="AH300" s="75"/>
      <c r="AI300" s="75"/>
      <c r="AJ300" s="75">
        <v>0</v>
      </c>
      <c r="AK300" s="33">
        <v>0</v>
      </c>
      <c r="AL300" s="33">
        <v>0</v>
      </c>
      <c r="AM300" s="33">
        <v>0</v>
      </c>
      <c r="AN300" s="33">
        <v>0</v>
      </c>
      <c r="AO300" s="33">
        <v>0</v>
      </c>
      <c r="AP300" s="33">
        <v>0</v>
      </c>
      <c r="AQ300" s="33">
        <v>0</v>
      </c>
      <c r="AR300" s="33">
        <v>0</v>
      </c>
      <c r="AS300" s="33">
        <v>0</v>
      </c>
      <c r="AT300" s="33">
        <v>0</v>
      </c>
      <c r="AU300" s="33">
        <v>0</v>
      </c>
      <c r="AV300" s="33">
        <v>0</v>
      </c>
      <c r="AW300" s="19" t="s">
        <v>1432</v>
      </c>
      <c r="AX300" s="19" t="s">
        <v>85</v>
      </c>
      <c r="AY300" s="19" t="s">
        <v>261</v>
      </c>
      <c r="AZ300" s="19" t="s">
        <v>507</v>
      </c>
      <c r="BA300" s="19" t="s">
        <v>1481</v>
      </c>
      <c r="BB300" s="19" t="s">
        <v>1482</v>
      </c>
      <c r="BC300" s="19" t="s">
        <v>1483</v>
      </c>
      <c r="BD300" s="19"/>
      <c r="BE300" s="19"/>
      <c r="BF300" s="19"/>
      <c r="BG300" s="24">
        <v>1</v>
      </c>
      <c r="BH300" s="19"/>
      <c r="BI300" s="25"/>
      <c r="BJ300" s="25"/>
      <c r="BK300" s="25"/>
      <c r="BL300" s="25"/>
      <c r="BM300" s="25"/>
      <c r="BN300" s="37"/>
      <c r="BO300" s="21"/>
      <c r="BP300" s="27">
        <f t="shared" si="104"/>
        <v>69500</v>
      </c>
      <c r="BQ300" s="27">
        <f t="shared" si="105"/>
        <v>55599.999999999993</v>
      </c>
      <c r="BR300" s="27">
        <f t="shared" si="106"/>
        <v>55599.999999999993</v>
      </c>
      <c r="BS300" s="27">
        <f t="shared" si="107"/>
        <v>0</v>
      </c>
      <c r="BT300" s="28">
        <f t="shared" si="108"/>
        <v>0</v>
      </c>
      <c r="BU300" s="28">
        <f t="shared" si="87"/>
        <v>0</v>
      </c>
      <c r="BV300" s="28">
        <f t="shared" si="88"/>
        <v>0</v>
      </c>
      <c r="BW300" s="28">
        <f t="shared" si="89"/>
        <v>55599.999999999993</v>
      </c>
    </row>
    <row r="301" spans="1:75" ht="17.399999999999999" x14ac:dyDescent="0.25">
      <c r="A301" s="69">
        <f t="shared" si="109"/>
        <v>300</v>
      </c>
      <c r="B301" s="73" t="s">
        <v>1484</v>
      </c>
      <c r="C301" s="71" t="s">
        <v>106</v>
      </c>
      <c r="D301" s="71" t="s">
        <v>1463</v>
      </c>
      <c r="E301" s="71" t="s">
        <v>1302</v>
      </c>
      <c r="F301" s="71" t="s">
        <v>1464</v>
      </c>
      <c r="G301" s="71" t="s">
        <v>803</v>
      </c>
      <c r="H301" s="71" t="s">
        <v>1485</v>
      </c>
      <c r="I301" s="71" t="str">
        <f>VLOOKUP(H301,[1]Sheet1!$C:$C,1,0)</f>
        <v>SC2442UA-Q-DB-60AK-2442</v>
      </c>
      <c r="J301" s="71"/>
      <c r="K301" s="71"/>
      <c r="L301" s="71" t="s">
        <v>1486</v>
      </c>
      <c r="M301" s="80">
        <v>800000</v>
      </c>
      <c r="N301" s="72" t="s">
        <v>361</v>
      </c>
      <c r="O301" s="73" t="s">
        <v>1487</v>
      </c>
      <c r="P301" s="71" t="s">
        <v>1157</v>
      </c>
      <c r="Q301" s="71"/>
      <c r="R301" s="100">
        <v>0.45</v>
      </c>
      <c r="S301" s="75">
        <f t="shared" si="103"/>
        <v>54000</v>
      </c>
      <c r="T301" s="91">
        <f t="shared" si="110"/>
        <v>0</v>
      </c>
      <c r="U301" s="76">
        <f t="shared" si="86"/>
        <v>120000</v>
      </c>
      <c r="V301" s="80">
        <v>0</v>
      </c>
      <c r="W301" s="80">
        <v>0</v>
      </c>
      <c r="X301" s="72">
        <v>40000</v>
      </c>
      <c r="Y301" s="72">
        <v>40000</v>
      </c>
      <c r="Z301" s="72">
        <v>40000</v>
      </c>
      <c r="AA301" s="72">
        <v>40000</v>
      </c>
      <c r="AB301" s="72">
        <v>40000</v>
      </c>
      <c r="AC301" s="72">
        <v>40000</v>
      </c>
      <c r="AD301" s="77">
        <v>40000</v>
      </c>
      <c r="AE301" s="75">
        <v>40000</v>
      </c>
      <c r="AF301" s="75">
        <v>40000</v>
      </c>
      <c r="AG301" s="75">
        <v>40000</v>
      </c>
      <c r="AH301" s="75">
        <v>40000</v>
      </c>
      <c r="AI301" s="75">
        <v>40000</v>
      </c>
      <c r="AJ301" s="75">
        <v>40000</v>
      </c>
      <c r="AK301" s="31">
        <v>0</v>
      </c>
      <c r="AL301" s="31">
        <v>0</v>
      </c>
      <c r="AM301" s="31">
        <v>0</v>
      </c>
      <c r="AN301" s="31">
        <v>0</v>
      </c>
      <c r="AO301" s="31">
        <v>0</v>
      </c>
      <c r="AP301" s="31">
        <v>0</v>
      </c>
      <c r="AQ301" s="31">
        <v>0</v>
      </c>
      <c r="AR301" s="31">
        <v>0</v>
      </c>
      <c r="AS301" s="31">
        <v>0</v>
      </c>
      <c r="AT301" s="31">
        <v>0</v>
      </c>
      <c r="AU301" s="31">
        <v>0</v>
      </c>
      <c r="AV301" s="31">
        <v>0</v>
      </c>
      <c r="AW301" s="10" t="s">
        <v>155</v>
      </c>
      <c r="AX301" s="10" t="s">
        <v>85</v>
      </c>
      <c r="AY301" s="19" t="s">
        <v>261</v>
      </c>
      <c r="AZ301" s="10" t="s">
        <v>62</v>
      </c>
      <c r="BA301" s="10" t="s">
        <v>77</v>
      </c>
      <c r="BB301" s="10" t="s">
        <v>1488</v>
      </c>
      <c r="BC301" s="10" t="s">
        <v>1489</v>
      </c>
      <c r="BD301" s="10"/>
      <c r="BE301" s="10"/>
      <c r="BF301" s="10"/>
      <c r="BG301" s="13">
        <v>1</v>
      </c>
      <c r="BH301" s="10"/>
      <c r="BI301" s="14"/>
      <c r="BJ301" s="14"/>
      <c r="BK301" s="14"/>
      <c r="BL301" s="14"/>
      <c r="BM301" s="14"/>
      <c r="BN301" s="35"/>
      <c r="BO301" s="11"/>
      <c r="BP301" s="16">
        <f t="shared" si="104"/>
        <v>18000</v>
      </c>
      <c r="BQ301" s="16">
        <f t="shared" si="105"/>
        <v>18000</v>
      </c>
      <c r="BR301" s="16">
        <f t="shared" si="106"/>
        <v>18000</v>
      </c>
      <c r="BS301" s="16">
        <f t="shared" si="107"/>
        <v>18000</v>
      </c>
      <c r="BT301" s="17">
        <f t="shared" si="108"/>
        <v>18000</v>
      </c>
      <c r="BU301" s="28">
        <f t="shared" si="87"/>
        <v>18000</v>
      </c>
      <c r="BV301" s="28">
        <f t="shared" si="88"/>
        <v>18000</v>
      </c>
      <c r="BW301" s="28">
        <f t="shared" si="89"/>
        <v>18000</v>
      </c>
    </row>
    <row r="302" spans="1:75" ht="17.399999999999999" x14ac:dyDescent="0.25">
      <c r="A302" s="69">
        <f t="shared" si="109"/>
        <v>301</v>
      </c>
      <c r="B302" s="73" t="s">
        <v>1484</v>
      </c>
      <c r="C302" s="71" t="s">
        <v>106</v>
      </c>
      <c r="D302" s="71" t="s">
        <v>1463</v>
      </c>
      <c r="E302" s="71" t="s">
        <v>1302</v>
      </c>
      <c r="F302" s="71" t="s">
        <v>1464</v>
      </c>
      <c r="G302" s="71" t="s">
        <v>263</v>
      </c>
      <c r="H302" s="71" t="s">
        <v>1309</v>
      </c>
      <c r="I302" s="71" t="str">
        <f>VLOOKUP(H302,[1]Sheet1!$C:$C,1,0)</f>
        <v>SC2442SO-Q-DB-60CR-2442</v>
      </c>
      <c r="J302" s="71"/>
      <c r="K302" s="71"/>
      <c r="L302" s="71" t="s">
        <v>1490</v>
      </c>
      <c r="M302" s="80">
        <v>2000000</v>
      </c>
      <c r="N302" s="72" t="s">
        <v>361</v>
      </c>
      <c r="O302" s="73" t="s">
        <v>1491</v>
      </c>
      <c r="P302" s="71" t="s">
        <v>1157</v>
      </c>
      <c r="Q302" s="71"/>
      <c r="R302" s="100">
        <v>0.45</v>
      </c>
      <c r="S302" s="75">
        <f t="shared" si="103"/>
        <v>81000</v>
      </c>
      <c r="T302" s="91">
        <f t="shared" si="110"/>
        <v>0</v>
      </c>
      <c r="U302" s="76">
        <f t="shared" si="86"/>
        <v>180000</v>
      </c>
      <c r="V302" s="80">
        <v>0</v>
      </c>
      <c r="W302" s="80">
        <v>0</v>
      </c>
      <c r="X302" s="72">
        <v>60000</v>
      </c>
      <c r="Y302" s="72">
        <v>60000</v>
      </c>
      <c r="Z302" s="72">
        <v>40000</v>
      </c>
      <c r="AA302" s="72">
        <v>40000</v>
      </c>
      <c r="AB302" s="72">
        <v>40000</v>
      </c>
      <c r="AC302" s="72">
        <v>100000</v>
      </c>
      <c r="AD302" s="77">
        <v>60000</v>
      </c>
      <c r="AE302" s="75">
        <v>60000</v>
      </c>
      <c r="AF302" s="75">
        <v>60000</v>
      </c>
      <c r="AG302" s="75">
        <v>60000</v>
      </c>
      <c r="AH302" s="75">
        <v>60000</v>
      </c>
      <c r="AI302" s="75">
        <v>60000</v>
      </c>
      <c r="AJ302" s="75">
        <v>60000</v>
      </c>
      <c r="AK302" s="33">
        <v>0</v>
      </c>
      <c r="AL302" s="33">
        <v>0</v>
      </c>
      <c r="AM302" s="33">
        <v>0</v>
      </c>
      <c r="AN302" s="33">
        <v>0</v>
      </c>
      <c r="AO302" s="33">
        <v>0</v>
      </c>
      <c r="AP302" s="33">
        <v>0</v>
      </c>
      <c r="AQ302" s="33">
        <v>0</v>
      </c>
      <c r="AR302" s="33">
        <v>0</v>
      </c>
      <c r="AS302" s="33">
        <v>0</v>
      </c>
      <c r="AT302" s="33">
        <v>0</v>
      </c>
      <c r="AU302" s="33">
        <v>0</v>
      </c>
      <c r="AV302" s="33">
        <v>0</v>
      </c>
      <c r="AW302" s="19" t="s">
        <v>155</v>
      </c>
      <c r="AX302" s="19" t="s">
        <v>85</v>
      </c>
      <c r="AY302" s="19" t="s">
        <v>261</v>
      </c>
      <c r="AZ302" s="19" t="s">
        <v>62</v>
      </c>
      <c r="BA302" s="19" t="s">
        <v>77</v>
      </c>
      <c r="BB302" s="19" t="s">
        <v>1488</v>
      </c>
      <c r="BC302" s="19" t="s">
        <v>1489</v>
      </c>
      <c r="BD302" s="19" t="s">
        <v>1492</v>
      </c>
      <c r="BE302" s="19"/>
      <c r="BF302" s="19" t="s">
        <v>1493</v>
      </c>
      <c r="BG302" s="24">
        <v>1</v>
      </c>
      <c r="BH302" s="19"/>
      <c r="BI302" s="25"/>
      <c r="BJ302" s="25"/>
      <c r="BK302" s="25"/>
      <c r="BL302" s="25"/>
      <c r="BM302" s="25"/>
      <c r="BN302" s="37"/>
      <c r="BO302" s="21"/>
      <c r="BP302" s="27">
        <f t="shared" si="104"/>
        <v>18000</v>
      </c>
      <c r="BQ302" s="27">
        <f t="shared" si="105"/>
        <v>18000</v>
      </c>
      <c r="BR302" s="27">
        <f t="shared" si="106"/>
        <v>18000</v>
      </c>
      <c r="BS302" s="27">
        <f t="shared" si="107"/>
        <v>45000</v>
      </c>
      <c r="BT302" s="28">
        <f t="shared" si="108"/>
        <v>27000</v>
      </c>
      <c r="BU302" s="28">
        <f t="shared" si="87"/>
        <v>27000</v>
      </c>
      <c r="BV302" s="28">
        <f t="shared" si="88"/>
        <v>27000</v>
      </c>
      <c r="BW302" s="28">
        <f t="shared" si="89"/>
        <v>27000</v>
      </c>
    </row>
    <row r="303" spans="1:75" ht="17.399999999999999" x14ac:dyDescent="0.25">
      <c r="A303" s="69">
        <f t="shared" si="109"/>
        <v>302</v>
      </c>
      <c r="B303" s="73" t="s">
        <v>1484</v>
      </c>
      <c r="C303" s="71" t="s">
        <v>106</v>
      </c>
      <c r="D303" s="71" t="s">
        <v>1463</v>
      </c>
      <c r="E303" s="71" t="s">
        <v>1302</v>
      </c>
      <c r="F303" s="71" t="s">
        <v>1464</v>
      </c>
      <c r="G303" s="71" t="s">
        <v>263</v>
      </c>
      <c r="H303" s="71" t="s">
        <v>1309</v>
      </c>
      <c r="I303" s="71" t="str">
        <f>VLOOKUP(H303,[1]Sheet1!$C:$C,1,0)</f>
        <v>SC2442SO-Q-DB-60CR-2442</v>
      </c>
      <c r="J303" s="71"/>
      <c r="K303" s="71"/>
      <c r="L303" s="73" t="s">
        <v>1494</v>
      </c>
      <c r="M303" s="80">
        <v>700000</v>
      </c>
      <c r="N303" s="72" t="s">
        <v>361</v>
      </c>
      <c r="O303" s="73" t="s">
        <v>1495</v>
      </c>
      <c r="P303" s="71" t="s">
        <v>1118</v>
      </c>
      <c r="Q303" s="71"/>
      <c r="R303" s="100">
        <v>0.45</v>
      </c>
      <c r="S303" s="75">
        <f t="shared" si="103"/>
        <v>12150</v>
      </c>
      <c r="T303" s="91">
        <f t="shared" si="110"/>
        <v>0</v>
      </c>
      <c r="U303" s="76">
        <f t="shared" si="86"/>
        <v>27000</v>
      </c>
      <c r="V303" s="80">
        <v>0</v>
      </c>
      <c r="W303" s="80">
        <v>0</v>
      </c>
      <c r="X303" s="80">
        <v>0</v>
      </c>
      <c r="Y303" s="72">
        <v>9000</v>
      </c>
      <c r="Z303" s="72">
        <v>9000</v>
      </c>
      <c r="AA303" s="72">
        <v>9000</v>
      </c>
      <c r="AB303" s="72">
        <v>9000</v>
      </c>
      <c r="AC303" s="72">
        <v>9000</v>
      </c>
      <c r="AD303" s="77">
        <v>9000</v>
      </c>
      <c r="AE303" s="75">
        <v>9000</v>
      </c>
      <c r="AF303" s="75">
        <v>9000</v>
      </c>
      <c r="AG303" s="75">
        <v>9000</v>
      </c>
      <c r="AH303" s="75">
        <v>9000</v>
      </c>
      <c r="AI303" s="75">
        <v>9000</v>
      </c>
      <c r="AJ303" s="75">
        <v>9000</v>
      </c>
      <c r="AK303" s="31">
        <v>0</v>
      </c>
      <c r="AL303" s="31">
        <v>0</v>
      </c>
      <c r="AM303" s="31">
        <v>0</v>
      </c>
      <c r="AN303" s="31">
        <v>0</v>
      </c>
      <c r="AO303" s="31">
        <v>0</v>
      </c>
      <c r="AP303" s="31">
        <v>0</v>
      </c>
      <c r="AQ303" s="31">
        <v>0</v>
      </c>
      <c r="AR303" s="31">
        <v>0</v>
      </c>
      <c r="AS303" s="31">
        <v>0</v>
      </c>
      <c r="AT303" s="31">
        <v>0</v>
      </c>
      <c r="AU303" s="31">
        <v>0</v>
      </c>
      <c r="AV303" s="31">
        <v>0</v>
      </c>
      <c r="AW303" s="10" t="s">
        <v>978</v>
      </c>
      <c r="AX303" s="10" t="s">
        <v>85</v>
      </c>
      <c r="AY303" s="19" t="s">
        <v>261</v>
      </c>
      <c r="AZ303" s="10" t="s">
        <v>62</v>
      </c>
      <c r="BA303" s="10" t="s">
        <v>1496</v>
      </c>
      <c r="BB303" s="10" t="s">
        <v>1497</v>
      </c>
      <c r="BC303" s="10" t="s">
        <v>1497</v>
      </c>
      <c r="BD303" s="10"/>
      <c r="BE303" s="10"/>
      <c r="BF303" s="10"/>
      <c r="BG303" s="13">
        <v>1</v>
      </c>
      <c r="BH303" s="10"/>
      <c r="BI303" s="14"/>
      <c r="BJ303" s="14"/>
      <c r="BK303" s="14"/>
      <c r="BL303" s="14"/>
      <c r="BM303" s="14"/>
      <c r="BN303" s="35"/>
      <c r="BO303" s="11"/>
      <c r="BP303" s="16">
        <f t="shared" si="104"/>
        <v>4050</v>
      </c>
      <c r="BQ303" s="16">
        <f t="shared" si="105"/>
        <v>4050</v>
      </c>
      <c r="BR303" s="16">
        <f t="shared" si="106"/>
        <v>4050</v>
      </c>
      <c r="BS303" s="16">
        <f t="shared" si="107"/>
        <v>4050</v>
      </c>
      <c r="BT303" s="17">
        <f t="shared" si="108"/>
        <v>4050</v>
      </c>
      <c r="BU303" s="28">
        <f t="shared" si="87"/>
        <v>4050</v>
      </c>
      <c r="BV303" s="28">
        <f t="shared" si="88"/>
        <v>4050</v>
      </c>
      <c r="BW303" s="28">
        <f t="shared" si="89"/>
        <v>4050</v>
      </c>
    </row>
    <row r="304" spans="1:75" ht="17.399999999999999" x14ac:dyDescent="0.25">
      <c r="A304" s="69">
        <f t="shared" si="109"/>
        <v>303</v>
      </c>
      <c r="B304" s="73" t="s">
        <v>1947</v>
      </c>
      <c r="C304" s="71" t="s">
        <v>149</v>
      </c>
      <c r="D304" s="71" t="s">
        <v>1947</v>
      </c>
      <c r="E304" s="71" t="s">
        <v>1948</v>
      </c>
      <c r="F304" s="71" t="s">
        <v>1948</v>
      </c>
      <c r="G304" s="71" t="s">
        <v>1980</v>
      </c>
      <c r="H304" s="71" t="s">
        <v>1980</v>
      </c>
      <c r="I304" s="71" t="str">
        <f>VLOOKUP(H304,[1]Sheet1!$C:$C,1,0)</f>
        <v>SC60221-D-256</v>
      </c>
      <c r="J304" s="71"/>
      <c r="K304" s="71"/>
      <c r="L304" s="73"/>
      <c r="M304" s="80"/>
      <c r="N304" s="72"/>
      <c r="O304" s="73"/>
      <c r="P304" s="71"/>
      <c r="Q304" s="71"/>
      <c r="R304" s="100">
        <v>1.88</v>
      </c>
      <c r="S304" s="75"/>
      <c r="T304" s="91"/>
      <c r="U304" s="76">
        <f t="shared" si="86"/>
        <v>45000</v>
      </c>
      <c r="V304" s="80"/>
      <c r="W304" s="80"/>
      <c r="X304" s="80"/>
      <c r="Y304" s="72"/>
      <c r="Z304" s="72"/>
      <c r="AA304" s="72"/>
      <c r="AB304" s="72"/>
      <c r="AC304" s="72"/>
      <c r="AD304" s="77"/>
      <c r="AE304" s="75">
        <v>15000</v>
      </c>
      <c r="AF304" s="75">
        <v>15000</v>
      </c>
      <c r="AG304" s="75">
        <v>15000</v>
      </c>
      <c r="AH304" s="75">
        <v>15000</v>
      </c>
      <c r="AI304" s="75">
        <v>15000</v>
      </c>
      <c r="AJ304" s="75">
        <v>15000</v>
      </c>
      <c r="AK304" s="33"/>
      <c r="AL304" s="33"/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19"/>
      <c r="AX304" s="19"/>
      <c r="AY304" s="19" t="s">
        <v>794</v>
      </c>
      <c r="AZ304" s="19"/>
      <c r="BA304" s="19"/>
      <c r="BB304" s="19"/>
      <c r="BC304" s="19"/>
      <c r="BD304" s="19"/>
      <c r="BE304" s="19"/>
      <c r="BF304" s="19"/>
      <c r="BG304" s="24"/>
      <c r="BH304" s="19"/>
      <c r="BI304" s="25"/>
      <c r="BJ304" s="25"/>
      <c r="BK304" s="25"/>
      <c r="BL304" s="25"/>
      <c r="BM304" s="25"/>
      <c r="BN304" s="37"/>
      <c r="BO304" s="21"/>
      <c r="BP304" s="27"/>
      <c r="BQ304" s="27"/>
      <c r="BR304" s="27"/>
      <c r="BS304" s="27"/>
      <c r="BT304" s="28"/>
      <c r="BU304" s="28">
        <f t="shared" si="87"/>
        <v>28200</v>
      </c>
      <c r="BV304" s="28">
        <f t="shared" si="88"/>
        <v>28200</v>
      </c>
      <c r="BW304" s="28">
        <f t="shared" si="89"/>
        <v>28200</v>
      </c>
    </row>
    <row r="305" spans="1:75" ht="17.399999999999999" x14ac:dyDescent="0.25">
      <c r="A305" s="69">
        <f t="shared" si="109"/>
        <v>304</v>
      </c>
      <c r="B305" s="73" t="s">
        <v>1500</v>
      </c>
      <c r="C305" s="71" t="s">
        <v>106</v>
      </c>
      <c r="D305" s="71" t="s">
        <v>1463</v>
      </c>
      <c r="E305" s="71" t="s">
        <v>1302</v>
      </c>
      <c r="F305" s="71" t="s">
        <v>1464</v>
      </c>
      <c r="G305" s="71" t="s">
        <v>545</v>
      </c>
      <c r="H305" s="71" t="s">
        <v>447</v>
      </c>
      <c r="I305" s="71" t="str">
        <f>VLOOKUP(H305,[1]Sheet1!$C:$C,1,0)</f>
        <v>SC9642TS-EC-Q-AH-4XLR-9642</v>
      </c>
      <c r="J305" s="71"/>
      <c r="K305" s="71"/>
      <c r="L305" s="73" t="s">
        <v>1501</v>
      </c>
      <c r="M305" s="80">
        <v>400000</v>
      </c>
      <c r="N305" s="72" t="s">
        <v>251</v>
      </c>
      <c r="O305" s="93" t="s">
        <v>1502</v>
      </c>
      <c r="P305" s="71" t="s">
        <v>1503</v>
      </c>
      <c r="Q305" s="71"/>
      <c r="R305" s="100">
        <v>2.2000000000000002</v>
      </c>
      <c r="S305" s="75">
        <f t="shared" ref="S305:S339" si="111">R305*U305</f>
        <v>0</v>
      </c>
      <c r="T305" s="91">
        <f>R305*SUM(AK305:AP305)</f>
        <v>0</v>
      </c>
      <c r="U305" s="76">
        <f t="shared" si="86"/>
        <v>0</v>
      </c>
      <c r="V305" s="80">
        <v>0</v>
      </c>
      <c r="W305" s="80">
        <v>0</v>
      </c>
      <c r="X305" s="80">
        <v>0</v>
      </c>
      <c r="Y305" s="80">
        <v>0</v>
      </c>
      <c r="Z305" s="80">
        <v>0</v>
      </c>
      <c r="AA305" s="80">
        <v>0</v>
      </c>
      <c r="AB305" s="80">
        <v>0</v>
      </c>
      <c r="AC305" s="80">
        <v>0</v>
      </c>
      <c r="AD305" s="77">
        <v>0</v>
      </c>
      <c r="AE305" s="75">
        <v>0</v>
      </c>
      <c r="AF305" s="75">
        <v>0</v>
      </c>
      <c r="AG305" s="75">
        <v>0</v>
      </c>
      <c r="AH305" s="75">
        <v>0</v>
      </c>
      <c r="AI305" s="75"/>
      <c r="AJ305" s="75">
        <v>0</v>
      </c>
      <c r="AK305" s="31">
        <v>0</v>
      </c>
      <c r="AL305" s="31">
        <v>0</v>
      </c>
      <c r="AM305" s="31">
        <v>0</v>
      </c>
      <c r="AN305" s="31">
        <v>0</v>
      </c>
      <c r="AO305" s="31">
        <v>0</v>
      </c>
      <c r="AP305" s="31">
        <v>0</v>
      </c>
      <c r="AQ305" s="31">
        <v>0</v>
      </c>
      <c r="AR305" s="31">
        <v>0</v>
      </c>
      <c r="AS305" s="31">
        <v>0</v>
      </c>
      <c r="AT305" s="31">
        <v>0</v>
      </c>
      <c r="AU305" s="31">
        <v>0</v>
      </c>
      <c r="AV305" s="31">
        <v>0</v>
      </c>
      <c r="AW305" s="10" t="s">
        <v>1375</v>
      </c>
      <c r="AX305" s="10" t="s">
        <v>85</v>
      </c>
      <c r="AY305" s="19" t="s">
        <v>386</v>
      </c>
      <c r="AZ305" s="10" t="s">
        <v>62</v>
      </c>
      <c r="BA305" s="10" t="s">
        <v>1496</v>
      </c>
      <c r="BB305" s="10" t="s">
        <v>1497</v>
      </c>
      <c r="BC305" s="10" t="s">
        <v>1497</v>
      </c>
      <c r="BD305" s="10"/>
      <c r="BE305" s="10"/>
      <c r="BF305" s="10"/>
      <c r="BG305" s="13">
        <v>1</v>
      </c>
      <c r="BH305" s="10"/>
      <c r="BI305" s="14"/>
      <c r="BJ305" s="14"/>
      <c r="BK305" s="14"/>
      <c r="BL305" s="14"/>
      <c r="BM305" s="14"/>
      <c r="BN305" s="35"/>
      <c r="BO305" s="11"/>
      <c r="BP305" s="16">
        <f t="shared" ref="BP305:BT306" si="112">$R305*Z305</f>
        <v>0</v>
      </c>
      <c r="BQ305" s="16">
        <f t="shared" si="112"/>
        <v>0</v>
      </c>
      <c r="BR305" s="16">
        <f t="shared" si="112"/>
        <v>0</v>
      </c>
      <c r="BS305" s="16">
        <f t="shared" si="112"/>
        <v>0</v>
      </c>
      <c r="BT305" s="17">
        <f t="shared" si="112"/>
        <v>0</v>
      </c>
      <c r="BU305" s="28">
        <f t="shared" si="87"/>
        <v>0</v>
      </c>
      <c r="BV305" s="28">
        <f t="shared" si="88"/>
        <v>0</v>
      </c>
      <c r="BW305" s="28">
        <f t="shared" si="89"/>
        <v>0</v>
      </c>
    </row>
    <row r="306" spans="1:75" ht="17.399999999999999" x14ac:dyDescent="0.25">
      <c r="A306" s="69">
        <f t="shared" si="109"/>
        <v>305</v>
      </c>
      <c r="B306" s="73" t="s">
        <v>1504</v>
      </c>
      <c r="C306" s="71" t="s">
        <v>56</v>
      </c>
      <c r="D306" s="71" t="s">
        <v>1463</v>
      </c>
      <c r="E306" s="71" t="s">
        <v>1302</v>
      </c>
      <c r="F306" s="71" t="s">
        <v>1464</v>
      </c>
      <c r="G306" s="71" t="s">
        <v>322</v>
      </c>
      <c r="H306" s="71" t="s">
        <v>617</v>
      </c>
      <c r="I306" s="71" t="str">
        <f>VLOOKUP(H306,[1]Sheet1!$C:$C,1,0)</f>
        <v>SC2442UA-CP-10AK-2442</v>
      </c>
      <c r="J306" s="71"/>
      <c r="K306" s="71"/>
      <c r="L306" s="73" t="s">
        <v>1505</v>
      </c>
      <c r="M306" s="80">
        <v>700000</v>
      </c>
      <c r="N306" s="72" t="s">
        <v>367</v>
      </c>
      <c r="O306" s="73" t="s">
        <v>1506</v>
      </c>
      <c r="P306" s="71" t="s">
        <v>295</v>
      </c>
      <c r="Q306" s="71"/>
      <c r="R306" s="100">
        <v>0.45</v>
      </c>
      <c r="S306" s="75">
        <f t="shared" si="111"/>
        <v>0</v>
      </c>
      <c r="T306" s="91">
        <f>R306*SUM(AK306:AP306)</f>
        <v>0</v>
      </c>
      <c r="U306" s="76">
        <f t="shared" si="86"/>
        <v>0</v>
      </c>
      <c r="V306" s="80">
        <v>0</v>
      </c>
      <c r="W306" s="80">
        <v>0</v>
      </c>
      <c r="X306" s="80">
        <v>0</v>
      </c>
      <c r="Y306" s="80">
        <v>0</v>
      </c>
      <c r="Z306" s="80">
        <v>0</v>
      </c>
      <c r="AA306" s="80">
        <v>0</v>
      </c>
      <c r="AB306" s="80">
        <v>0</v>
      </c>
      <c r="AC306" s="72">
        <v>0</v>
      </c>
      <c r="AD306" s="77">
        <v>0</v>
      </c>
      <c r="AE306" s="75">
        <v>0</v>
      </c>
      <c r="AF306" s="75"/>
      <c r="AG306" s="75"/>
      <c r="AH306" s="75"/>
      <c r="AI306" s="75"/>
      <c r="AJ306" s="75">
        <v>0</v>
      </c>
      <c r="AK306" s="33">
        <v>0</v>
      </c>
      <c r="AL306" s="33">
        <v>0</v>
      </c>
      <c r="AM306" s="33">
        <v>0</v>
      </c>
      <c r="AN306" s="33">
        <v>0</v>
      </c>
      <c r="AO306" s="33">
        <v>0</v>
      </c>
      <c r="AP306" s="33">
        <v>0</v>
      </c>
      <c r="AQ306" s="33">
        <v>0</v>
      </c>
      <c r="AR306" s="33">
        <v>0</v>
      </c>
      <c r="AS306" s="33">
        <v>0</v>
      </c>
      <c r="AT306" s="33">
        <v>0</v>
      </c>
      <c r="AU306" s="33">
        <v>0</v>
      </c>
      <c r="AV306" s="33">
        <v>0</v>
      </c>
      <c r="AW306" s="19" t="s">
        <v>978</v>
      </c>
      <c r="AX306" s="19" t="s">
        <v>85</v>
      </c>
      <c r="AY306" s="19" t="s">
        <v>261</v>
      </c>
      <c r="AZ306" s="19" t="s">
        <v>62</v>
      </c>
      <c r="BA306" s="19" t="s">
        <v>1496</v>
      </c>
      <c r="BB306" s="19" t="s">
        <v>1507</v>
      </c>
      <c r="BC306" s="19" t="s">
        <v>1507</v>
      </c>
      <c r="BD306" s="19" t="s">
        <v>1508</v>
      </c>
      <c r="BE306" s="19"/>
      <c r="BF306" s="19" t="s">
        <v>1509</v>
      </c>
      <c r="BG306" s="24">
        <v>1</v>
      </c>
      <c r="BH306" s="19"/>
      <c r="BI306" s="25"/>
      <c r="BJ306" s="25"/>
      <c r="BK306" s="25"/>
      <c r="BL306" s="25"/>
      <c r="BM306" s="25"/>
      <c r="BN306" s="37"/>
      <c r="BO306" s="21"/>
      <c r="BP306" s="27">
        <f t="shared" si="112"/>
        <v>0</v>
      </c>
      <c r="BQ306" s="27">
        <f t="shared" si="112"/>
        <v>0</v>
      </c>
      <c r="BR306" s="27">
        <f t="shared" si="112"/>
        <v>0</v>
      </c>
      <c r="BS306" s="27">
        <f t="shared" si="112"/>
        <v>0</v>
      </c>
      <c r="BT306" s="28">
        <f t="shared" si="112"/>
        <v>0</v>
      </c>
      <c r="BU306" s="28">
        <f t="shared" si="87"/>
        <v>0</v>
      </c>
      <c r="BV306" s="28">
        <f t="shared" si="88"/>
        <v>0</v>
      </c>
      <c r="BW306" s="28">
        <f t="shared" si="89"/>
        <v>0</v>
      </c>
    </row>
    <row r="307" spans="1:75" ht="17.399999999999999" x14ac:dyDescent="0.25">
      <c r="A307" s="69">
        <f t="shared" si="109"/>
        <v>306</v>
      </c>
      <c r="B307" s="73" t="s">
        <v>1510</v>
      </c>
      <c r="C307" s="71" t="s">
        <v>56</v>
      </c>
      <c r="D307" s="71" t="s">
        <v>1382</v>
      </c>
      <c r="E307" s="71" t="s">
        <v>1302</v>
      </c>
      <c r="F307" s="71" t="s">
        <v>1383</v>
      </c>
      <c r="G307" s="71" t="s">
        <v>273</v>
      </c>
      <c r="H307" s="71" t="s">
        <v>1278</v>
      </c>
      <c r="I307" s="71" t="str">
        <f>VLOOKUP(H307,[1]Sheet1!$C:$C,1,0)</f>
        <v>SC2402SO-N-GA-00NR-2402</v>
      </c>
      <c r="J307" s="71"/>
      <c r="K307" s="71"/>
      <c r="L307" s="73" t="s">
        <v>1384</v>
      </c>
      <c r="M307" s="80"/>
      <c r="N307" s="72" t="s">
        <v>251</v>
      </c>
      <c r="O307" s="73" t="s">
        <v>1511</v>
      </c>
      <c r="P307" s="71"/>
      <c r="Q307" s="71"/>
      <c r="R307" s="100">
        <v>0.17799999999999999</v>
      </c>
      <c r="S307" s="75">
        <f t="shared" si="111"/>
        <v>106800</v>
      </c>
      <c r="T307" s="91">
        <f>R307*SUM(AG307:AO307)</f>
        <v>106800</v>
      </c>
      <c r="U307" s="76">
        <f t="shared" si="86"/>
        <v>600000</v>
      </c>
      <c r="V307" s="80"/>
      <c r="W307" s="80"/>
      <c r="X307" s="80">
        <v>0</v>
      </c>
      <c r="Y307" s="80">
        <v>0</v>
      </c>
      <c r="Z307" s="80">
        <v>0</v>
      </c>
      <c r="AA307" s="80">
        <v>0</v>
      </c>
      <c r="AB307" s="80">
        <v>0</v>
      </c>
      <c r="AC307" s="72">
        <v>0</v>
      </c>
      <c r="AD307" s="77">
        <v>0</v>
      </c>
      <c r="AE307" s="75">
        <v>300000</v>
      </c>
      <c r="AF307" s="75">
        <v>150000</v>
      </c>
      <c r="AG307" s="75">
        <v>150000</v>
      </c>
      <c r="AH307" s="75">
        <v>150000</v>
      </c>
      <c r="AI307" s="75">
        <v>150000</v>
      </c>
      <c r="AJ307" s="75">
        <v>150000</v>
      </c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10"/>
      <c r="AX307" s="10" t="s">
        <v>494</v>
      </c>
      <c r="AY307" s="19" t="s">
        <v>261</v>
      </c>
      <c r="AZ307" s="10"/>
      <c r="BA307" s="10"/>
      <c r="BB307" s="10"/>
      <c r="BC307" s="10"/>
      <c r="BD307" s="10"/>
      <c r="BE307" s="10"/>
      <c r="BF307" s="10"/>
      <c r="BG307" s="13"/>
      <c r="BH307" s="10"/>
      <c r="BI307" s="14"/>
      <c r="BJ307" s="14"/>
      <c r="BK307" s="14"/>
      <c r="BL307" s="14"/>
      <c r="BM307" s="14"/>
      <c r="BN307" s="35"/>
      <c r="BO307" s="11"/>
      <c r="BP307" s="16"/>
      <c r="BQ307" s="16"/>
      <c r="BR307" s="16"/>
      <c r="BS307" s="16">
        <f t="shared" ref="BS307:BS339" si="113">$R307*AC307</f>
        <v>0</v>
      </c>
      <c r="BT307" s="17">
        <f t="shared" ref="BT307:BT339" si="114">$R307*AD307</f>
        <v>0</v>
      </c>
      <c r="BU307" s="28">
        <f t="shared" si="87"/>
        <v>53400</v>
      </c>
      <c r="BV307" s="28">
        <f t="shared" si="88"/>
        <v>26700</v>
      </c>
      <c r="BW307" s="28">
        <f t="shared" si="89"/>
        <v>26700</v>
      </c>
    </row>
    <row r="308" spans="1:75" ht="17.399999999999999" x14ac:dyDescent="0.25">
      <c r="A308" s="69">
        <f t="shared" si="109"/>
        <v>307</v>
      </c>
      <c r="B308" s="73" t="s">
        <v>1512</v>
      </c>
      <c r="C308" s="71" t="s">
        <v>56</v>
      </c>
      <c r="D308" s="71" t="s">
        <v>1301</v>
      </c>
      <c r="E308" s="71" t="s">
        <v>1302</v>
      </c>
      <c r="F308" s="73"/>
      <c r="G308" s="69" t="s">
        <v>451</v>
      </c>
      <c r="H308" s="71" t="s">
        <v>452</v>
      </c>
      <c r="I308" s="71" t="str">
        <f>VLOOKUP(H308,[1]Sheet1!$C:$C,1,0)</f>
        <v>SC4643VB-P-Q-DE-40CR-4643</v>
      </c>
      <c r="J308" s="69"/>
      <c r="K308" s="69"/>
      <c r="L308" s="69" t="s">
        <v>1513</v>
      </c>
      <c r="M308" s="80">
        <v>50000</v>
      </c>
      <c r="N308" s="72" t="s">
        <v>251</v>
      </c>
      <c r="O308" s="69" t="s">
        <v>1514</v>
      </c>
      <c r="P308" s="69"/>
      <c r="Q308" s="69"/>
      <c r="R308" s="100"/>
      <c r="S308" s="75">
        <f t="shared" si="111"/>
        <v>0</v>
      </c>
      <c r="T308" s="88"/>
      <c r="U308" s="76">
        <f t="shared" si="86"/>
        <v>0</v>
      </c>
      <c r="V308" s="80"/>
      <c r="W308" s="80"/>
      <c r="X308" s="80"/>
      <c r="Y308" s="69"/>
      <c r="Z308" s="80"/>
      <c r="AA308" s="69"/>
      <c r="AB308" s="80"/>
      <c r="AC308" s="69"/>
      <c r="AD308" s="77"/>
      <c r="AE308" s="75"/>
      <c r="AF308" s="75"/>
      <c r="AG308" s="75"/>
      <c r="AH308" s="75">
        <v>0</v>
      </c>
      <c r="AI308" s="75"/>
      <c r="AJ308" s="75">
        <v>0</v>
      </c>
      <c r="AK308" s="33"/>
      <c r="AL308" s="33"/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19"/>
      <c r="AX308" s="19" t="s">
        <v>85</v>
      </c>
      <c r="AY308" s="19" t="s">
        <v>247</v>
      </c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  <c r="BK308" s="22"/>
      <c r="BL308" s="22"/>
      <c r="BM308" s="22"/>
      <c r="BN308" s="22"/>
      <c r="BO308" s="22"/>
      <c r="BP308" s="27">
        <f t="shared" ref="BP308:BR310" si="115">$R308*Z308</f>
        <v>0</v>
      </c>
      <c r="BQ308" s="27">
        <f t="shared" si="115"/>
        <v>0</v>
      </c>
      <c r="BR308" s="27">
        <f t="shared" si="115"/>
        <v>0</v>
      </c>
      <c r="BS308" s="27">
        <f t="shared" si="113"/>
        <v>0</v>
      </c>
      <c r="BT308" s="28">
        <f t="shared" si="114"/>
        <v>0</v>
      </c>
      <c r="BU308" s="28">
        <f t="shared" si="87"/>
        <v>0</v>
      </c>
      <c r="BV308" s="28">
        <f t="shared" si="88"/>
        <v>0</v>
      </c>
      <c r="BW308" s="28">
        <f t="shared" si="89"/>
        <v>0</v>
      </c>
    </row>
    <row r="309" spans="1:75" ht="17.399999999999999" x14ac:dyDescent="0.25">
      <c r="A309" s="69">
        <f t="shared" si="109"/>
        <v>308</v>
      </c>
      <c r="B309" s="73" t="s">
        <v>1512</v>
      </c>
      <c r="C309" s="71" t="s">
        <v>56</v>
      </c>
      <c r="D309" s="71" t="s">
        <v>1301</v>
      </c>
      <c r="E309" s="71" t="s">
        <v>1302</v>
      </c>
      <c r="F309" s="71"/>
      <c r="G309" s="71" t="s">
        <v>451</v>
      </c>
      <c r="H309" s="71" t="s">
        <v>452</v>
      </c>
      <c r="I309" s="71" t="str">
        <f>VLOOKUP(H309,[1]Sheet1!$C:$C,1,0)</f>
        <v>SC4643VB-P-Q-DE-40CR-4643</v>
      </c>
      <c r="J309" s="71"/>
      <c r="K309" s="71"/>
      <c r="L309" s="73" t="s">
        <v>1515</v>
      </c>
      <c r="M309" s="80">
        <v>100000</v>
      </c>
      <c r="N309" s="72" t="s">
        <v>382</v>
      </c>
      <c r="O309" s="69" t="s">
        <v>1516</v>
      </c>
      <c r="P309" s="71"/>
      <c r="Q309" s="71"/>
      <c r="R309" s="100"/>
      <c r="S309" s="75">
        <f t="shared" si="111"/>
        <v>0</v>
      </c>
      <c r="T309" s="91"/>
      <c r="U309" s="76">
        <f t="shared" si="86"/>
        <v>0</v>
      </c>
      <c r="V309" s="80"/>
      <c r="W309" s="80"/>
      <c r="X309" s="80"/>
      <c r="Y309" s="80"/>
      <c r="Z309" s="80"/>
      <c r="AA309" s="80"/>
      <c r="AB309" s="80"/>
      <c r="AC309" s="72"/>
      <c r="AD309" s="77"/>
      <c r="AE309" s="75"/>
      <c r="AF309" s="75"/>
      <c r="AG309" s="75"/>
      <c r="AH309" s="75">
        <v>0</v>
      </c>
      <c r="AI309" s="75"/>
      <c r="AJ309" s="75">
        <v>0</v>
      </c>
      <c r="AK309" s="31">
        <v>0</v>
      </c>
      <c r="AL309" s="31">
        <v>0</v>
      </c>
      <c r="AM309" s="31">
        <v>0</v>
      </c>
      <c r="AN309" s="31">
        <v>0</v>
      </c>
      <c r="AO309" s="31">
        <v>0</v>
      </c>
      <c r="AP309" s="31">
        <v>0</v>
      </c>
      <c r="AQ309" s="31">
        <v>0</v>
      </c>
      <c r="AR309" s="31">
        <v>0</v>
      </c>
      <c r="AS309" s="31">
        <v>0</v>
      </c>
      <c r="AT309" s="31">
        <v>0</v>
      </c>
      <c r="AU309" s="31">
        <v>0</v>
      </c>
      <c r="AV309" s="31">
        <v>0</v>
      </c>
      <c r="AW309" s="10" t="s">
        <v>1351</v>
      </c>
      <c r="AX309" s="10" t="s">
        <v>85</v>
      </c>
      <c r="AY309" s="19" t="s">
        <v>247</v>
      </c>
      <c r="AZ309" s="10" t="s">
        <v>62</v>
      </c>
      <c r="BA309" s="10" t="s">
        <v>63</v>
      </c>
      <c r="BB309" s="10" t="s">
        <v>1517</v>
      </c>
      <c r="BC309" s="10" t="s">
        <v>247</v>
      </c>
      <c r="BD309" s="10" t="s">
        <v>1518</v>
      </c>
      <c r="BE309" s="10"/>
      <c r="BF309" s="10"/>
      <c r="BG309" s="13"/>
      <c r="BH309" s="10"/>
      <c r="BI309" s="14"/>
      <c r="BJ309" s="14"/>
      <c r="BK309" s="14"/>
      <c r="BL309" s="14"/>
      <c r="BM309" s="14"/>
      <c r="BN309" s="35"/>
      <c r="BO309" s="11">
        <v>4</v>
      </c>
      <c r="BP309" s="16">
        <f t="shared" si="115"/>
        <v>0</v>
      </c>
      <c r="BQ309" s="16">
        <f t="shared" si="115"/>
        <v>0</v>
      </c>
      <c r="BR309" s="16">
        <f t="shared" si="115"/>
        <v>0</v>
      </c>
      <c r="BS309" s="16">
        <f t="shared" si="113"/>
        <v>0</v>
      </c>
      <c r="BT309" s="17">
        <f t="shared" si="114"/>
        <v>0</v>
      </c>
      <c r="BU309" s="28">
        <f t="shared" si="87"/>
        <v>0</v>
      </c>
      <c r="BV309" s="28">
        <f t="shared" si="88"/>
        <v>0</v>
      </c>
      <c r="BW309" s="28">
        <f t="shared" si="89"/>
        <v>0</v>
      </c>
    </row>
    <row r="310" spans="1:75" ht="17.399999999999999" x14ac:dyDescent="0.25">
      <c r="A310" s="69">
        <f t="shared" si="109"/>
        <v>309</v>
      </c>
      <c r="B310" s="73" t="s">
        <v>1519</v>
      </c>
      <c r="C310" s="71" t="s">
        <v>56</v>
      </c>
      <c r="D310" s="71" t="s">
        <v>1301</v>
      </c>
      <c r="E310" s="71" t="s">
        <v>1302</v>
      </c>
      <c r="F310" s="71"/>
      <c r="G310" s="71" t="s">
        <v>451</v>
      </c>
      <c r="H310" s="71" t="s">
        <v>452</v>
      </c>
      <c r="I310" s="71" t="str">
        <f>VLOOKUP(H310,[1]Sheet1!$C:$C,1,0)</f>
        <v>SC4643VB-P-Q-DE-40CR-4643</v>
      </c>
      <c r="J310" s="71"/>
      <c r="K310" s="71"/>
      <c r="L310" s="73"/>
      <c r="M310" s="80"/>
      <c r="N310" s="72"/>
      <c r="O310" s="69"/>
      <c r="P310" s="71"/>
      <c r="Q310" s="71"/>
      <c r="R310" s="100"/>
      <c r="S310" s="75">
        <f t="shared" si="111"/>
        <v>0</v>
      </c>
      <c r="T310" s="91"/>
      <c r="U310" s="76">
        <f t="shared" si="86"/>
        <v>0</v>
      </c>
      <c r="V310" s="80"/>
      <c r="W310" s="80"/>
      <c r="X310" s="80"/>
      <c r="Y310" s="80"/>
      <c r="Z310" s="80"/>
      <c r="AA310" s="80"/>
      <c r="AB310" s="80"/>
      <c r="AC310" s="72"/>
      <c r="AD310" s="77"/>
      <c r="AE310" s="75"/>
      <c r="AF310" s="75"/>
      <c r="AG310" s="75"/>
      <c r="AH310" s="75">
        <v>0</v>
      </c>
      <c r="AI310" s="75"/>
      <c r="AJ310" s="75">
        <v>0</v>
      </c>
      <c r="AK310" s="33"/>
      <c r="AL310" s="33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19"/>
      <c r="AX310" s="19" t="s">
        <v>85</v>
      </c>
      <c r="AY310" s="19" t="s">
        <v>247</v>
      </c>
      <c r="AZ310" s="19"/>
      <c r="BA310" s="19"/>
      <c r="BB310" s="19"/>
      <c r="BC310" s="19"/>
      <c r="BD310" s="19"/>
      <c r="BE310" s="19"/>
      <c r="BF310" s="19"/>
      <c r="BG310" s="24"/>
      <c r="BH310" s="19"/>
      <c r="BI310" s="25"/>
      <c r="BJ310" s="25"/>
      <c r="BK310" s="25"/>
      <c r="BL310" s="25"/>
      <c r="BM310" s="25"/>
      <c r="BN310" s="37"/>
      <c r="BO310" s="21"/>
      <c r="BP310" s="27">
        <f t="shared" si="115"/>
        <v>0</v>
      </c>
      <c r="BQ310" s="27">
        <f t="shared" si="115"/>
        <v>0</v>
      </c>
      <c r="BR310" s="27">
        <f t="shared" si="115"/>
        <v>0</v>
      </c>
      <c r="BS310" s="27">
        <f t="shared" si="113"/>
        <v>0</v>
      </c>
      <c r="BT310" s="28">
        <f t="shared" si="114"/>
        <v>0</v>
      </c>
      <c r="BU310" s="28">
        <f t="shared" si="87"/>
        <v>0</v>
      </c>
      <c r="BV310" s="28">
        <f t="shared" si="88"/>
        <v>0</v>
      </c>
      <c r="BW310" s="28">
        <f t="shared" si="89"/>
        <v>0</v>
      </c>
    </row>
    <row r="311" spans="1:75" ht="17.399999999999999" x14ac:dyDescent="0.25">
      <c r="A311" s="69">
        <f t="shared" si="109"/>
        <v>310</v>
      </c>
      <c r="B311" s="73" t="s">
        <v>1500</v>
      </c>
      <c r="C311" s="71" t="s">
        <v>106</v>
      </c>
      <c r="D311" s="71" t="s">
        <v>1836</v>
      </c>
      <c r="E311" s="71" t="s">
        <v>1302</v>
      </c>
      <c r="F311" s="71"/>
      <c r="G311" s="71" t="s">
        <v>574</v>
      </c>
      <c r="H311" s="71" t="s">
        <v>575</v>
      </c>
      <c r="I311" s="71" t="str">
        <f>VLOOKUP(H311,[1]Sheet1!$C:$C,1,0)</f>
        <v>SC2443UA-Q-DB-60AK-2443</v>
      </c>
      <c r="J311" s="71"/>
      <c r="K311" s="71"/>
      <c r="L311" s="73"/>
      <c r="M311" s="80"/>
      <c r="N311" s="72"/>
      <c r="O311" s="73"/>
      <c r="P311" s="71"/>
      <c r="Q311" s="71"/>
      <c r="R311" s="100">
        <v>0.45</v>
      </c>
      <c r="S311" s="75">
        <f t="shared" si="111"/>
        <v>0</v>
      </c>
      <c r="T311" s="91"/>
      <c r="U311" s="76">
        <f t="shared" si="86"/>
        <v>0</v>
      </c>
      <c r="V311" s="80"/>
      <c r="W311" s="80"/>
      <c r="X311" s="80"/>
      <c r="Y311" s="72"/>
      <c r="Z311" s="72"/>
      <c r="AA311" s="72"/>
      <c r="AB311" s="72"/>
      <c r="AC311" s="72"/>
      <c r="AD311" s="77"/>
      <c r="AE311" s="75"/>
      <c r="AF311" s="75"/>
      <c r="AG311" s="75"/>
      <c r="AH311" s="75"/>
      <c r="AI311" s="75"/>
      <c r="AJ311" s="75">
        <v>0</v>
      </c>
      <c r="AK311" s="33"/>
      <c r="AL311" s="33"/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19"/>
      <c r="AX311" s="19" t="s">
        <v>494</v>
      </c>
      <c r="AY311" s="19" t="s">
        <v>261</v>
      </c>
      <c r="AZ311" s="19"/>
      <c r="BA311" s="19"/>
      <c r="BB311" s="19"/>
      <c r="BC311" s="19"/>
      <c r="BD311" s="19"/>
      <c r="BE311" s="19"/>
      <c r="BF311" s="19"/>
      <c r="BG311" s="24"/>
      <c r="BH311" s="19"/>
      <c r="BI311" s="25"/>
      <c r="BJ311" s="25"/>
      <c r="BK311" s="25"/>
      <c r="BL311" s="25"/>
      <c r="BM311" s="25"/>
      <c r="BN311" s="37"/>
      <c r="BO311" s="21"/>
      <c r="BP311" s="27"/>
      <c r="BQ311" s="27"/>
      <c r="BR311" s="27"/>
      <c r="BS311" s="27">
        <f t="shared" si="113"/>
        <v>0</v>
      </c>
      <c r="BT311" s="28">
        <f t="shared" si="114"/>
        <v>0</v>
      </c>
      <c r="BU311" s="28">
        <f t="shared" si="87"/>
        <v>0</v>
      </c>
      <c r="BV311" s="28">
        <f t="shared" si="88"/>
        <v>0</v>
      </c>
      <c r="BW311" s="28">
        <f t="shared" si="89"/>
        <v>0</v>
      </c>
    </row>
    <row r="312" spans="1:75" ht="17.399999999999999" x14ac:dyDescent="0.25">
      <c r="A312" s="69">
        <f t="shared" si="109"/>
        <v>311</v>
      </c>
      <c r="B312" s="73" t="s">
        <v>1500</v>
      </c>
      <c r="C312" s="71" t="s">
        <v>106</v>
      </c>
      <c r="D312" s="71" t="s">
        <v>1463</v>
      </c>
      <c r="E312" s="71" t="s">
        <v>1302</v>
      </c>
      <c r="F312" s="71" t="s">
        <v>1843</v>
      </c>
      <c r="G312" s="71" t="s">
        <v>545</v>
      </c>
      <c r="H312" s="71" t="s">
        <v>585</v>
      </c>
      <c r="I312" s="71" t="str">
        <f>VLOOKUP(H312,[1]Sheet1!$C:$C,1,0)</f>
        <v>SC9642TS-EC-Q-AH-4XLR-9642</v>
      </c>
      <c r="J312" s="71"/>
      <c r="K312" s="71"/>
      <c r="L312" s="73" t="s">
        <v>1501</v>
      </c>
      <c r="M312" s="80">
        <v>400000</v>
      </c>
      <c r="N312" s="72" t="s">
        <v>251</v>
      </c>
      <c r="O312" s="69" t="s">
        <v>1502</v>
      </c>
      <c r="P312" s="71" t="s">
        <v>1503</v>
      </c>
      <c r="Q312" s="71"/>
      <c r="R312" s="100">
        <v>2.2000000000000002</v>
      </c>
      <c r="S312" s="75">
        <f t="shared" si="111"/>
        <v>0</v>
      </c>
      <c r="T312" s="91">
        <f>R312*SUM(AH312:AN312)</f>
        <v>0</v>
      </c>
      <c r="U312" s="76">
        <f t="shared" si="86"/>
        <v>0</v>
      </c>
      <c r="V312" s="80">
        <v>0</v>
      </c>
      <c r="W312" s="80">
        <v>0</v>
      </c>
      <c r="X312" s="80">
        <v>0</v>
      </c>
      <c r="Y312" s="80">
        <v>0</v>
      </c>
      <c r="Z312" s="80">
        <v>0</v>
      </c>
      <c r="AA312" s="80">
        <v>0</v>
      </c>
      <c r="AB312" s="80">
        <v>0</v>
      </c>
      <c r="AC312" s="72">
        <v>0</v>
      </c>
      <c r="AD312" s="77">
        <v>0</v>
      </c>
      <c r="AE312" s="75">
        <v>0</v>
      </c>
      <c r="AF312" s="75">
        <v>0</v>
      </c>
      <c r="AG312" s="75">
        <v>0</v>
      </c>
      <c r="AH312" s="75">
        <v>0</v>
      </c>
      <c r="AI312" s="75">
        <v>0</v>
      </c>
      <c r="AJ312" s="75">
        <v>0</v>
      </c>
      <c r="AK312" s="31">
        <v>0</v>
      </c>
      <c r="AL312" s="31">
        <v>0</v>
      </c>
      <c r="AM312" s="31">
        <v>0</v>
      </c>
      <c r="AN312" s="31">
        <v>0</v>
      </c>
      <c r="AO312" s="31">
        <v>0</v>
      </c>
      <c r="AP312" s="31">
        <v>0</v>
      </c>
      <c r="AQ312" s="31">
        <v>0</v>
      </c>
      <c r="AR312" s="31">
        <v>0</v>
      </c>
      <c r="AS312" s="31">
        <v>0</v>
      </c>
      <c r="AT312" s="31">
        <v>0</v>
      </c>
      <c r="AU312" s="31" t="s">
        <v>1375</v>
      </c>
      <c r="AV312" s="31" t="s">
        <v>85</v>
      </c>
      <c r="AW312" s="10" t="s">
        <v>1846</v>
      </c>
      <c r="AX312" s="10" t="s">
        <v>1449</v>
      </c>
      <c r="AY312" s="19" t="s">
        <v>386</v>
      </c>
      <c r="AZ312" s="10" t="s">
        <v>1497</v>
      </c>
      <c r="BA312" s="10" t="s">
        <v>1497</v>
      </c>
      <c r="BB312" s="10"/>
      <c r="BC312" s="10"/>
      <c r="BD312" s="10"/>
      <c r="BE312" s="10">
        <v>1</v>
      </c>
      <c r="BF312" s="10"/>
      <c r="BG312" s="13"/>
      <c r="BH312" s="10"/>
      <c r="BI312" s="14"/>
      <c r="BJ312" s="14"/>
      <c r="BK312" s="14"/>
      <c r="BL312" s="14"/>
      <c r="BM312" s="14"/>
      <c r="BN312" s="35"/>
      <c r="BO312" s="11"/>
      <c r="BP312" s="16"/>
      <c r="BQ312" s="16"/>
      <c r="BR312" s="16"/>
      <c r="BS312" s="16">
        <f t="shared" si="113"/>
        <v>0</v>
      </c>
      <c r="BT312" s="17">
        <f t="shared" si="114"/>
        <v>0</v>
      </c>
      <c r="BU312" s="28">
        <f t="shared" si="87"/>
        <v>0</v>
      </c>
      <c r="BV312" s="28">
        <f t="shared" si="88"/>
        <v>0</v>
      </c>
      <c r="BW312" s="28">
        <f t="shared" si="89"/>
        <v>0</v>
      </c>
    </row>
    <row r="313" spans="1:75" ht="17.399999999999999" x14ac:dyDescent="0.25">
      <c r="A313" s="69">
        <f t="shared" si="109"/>
        <v>312</v>
      </c>
      <c r="B313" s="73" t="s">
        <v>162</v>
      </c>
      <c r="C313" s="71" t="s">
        <v>243</v>
      </c>
      <c r="D313" s="71" t="s">
        <v>163</v>
      </c>
      <c r="E313" s="71" t="s">
        <v>103</v>
      </c>
      <c r="F313" s="71"/>
      <c r="G313" s="71" t="s">
        <v>164</v>
      </c>
      <c r="H313" s="71" t="s">
        <v>300</v>
      </c>
      <c r="I313" s="71" t="str">
        <f>VLOOKUP(H313,[1]Sheet1!$C:$C,1,0)</f>
        <v>SC2466SO-CO-10CR-2466</v>
      </c>
      <c r="J313" s="71"/>
      <c r="K313" s="71"/>
      <c r="L313" s="71" t="s">
        <v>165</v>
      </c>
      <c r="M313" s="80"/>
      <c r="N313" s="72" t="s">
        <v>60</v>
      </c>
      <c r="O313" s="73" t="s">
        <v>301</v>
      </c>
      <c r="P313" s="71" t="s">
        <v>166</v>
      </c>
      <c r="Q313" s="83"/>
      <c r="R313" s="100">
        <v>0.22700000000000001</v>
      </c>
      <c r="S313" s="75">
        <f t="shared" si="111"/>
        <v>22700</v>
      </c>
      <c r="T313" s="76">
        <v>224000.00000000003</v>
      </c>
      <c r="U313" s="76">
        <f t="shared" si="86"/>
        <v>100000</v>
      </c>
      <c r="V313" s="72"/>
      <c r="W313" s="72"/>
      <c r="X313" s="72"/>
      <c r="Y313" s="72"/>
      <c r="Z313" s="72">
        <v>100000</v>
      </c>
      <c r="AA313" s="72">
        <v>100000</v>
      </c>
      <c r="AB313" s="72"/>
      <c r="AC313" s="72"/>
      <c r="AD313" s="77">
        <v>50000</v>
      </c>
      <c r="AE313" s="75"/>
      <c r="AF313" s="75"/>
      <c r="AG313" s="75">
        <v>100000</v>
      </c>
      <c r="AH313" s="75"/>
      <c r="AI313" s="75">
        <v>100000</v>
      </c>
      <c r="AJ313" s="75">
        <v>100000</v>
      </c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0"/>
      <c r="AX313" s="10" t="s">
        <v>61</v>
      </c>
      <c r="AY313" s="19" t="s">
        <v>261</v>
      </c>
      <c r="AZ313" s="10" t="s">
        <v>302</v>
      </c>
      <c r="BA313" s="10" t="s">
        <v>168</v>
      </c>
      <c r="BB313" s="10" t="s">
        <v>169</v>
      </c>
      <c r="BC313" s="32"/>
      <c r="BD313" s="10"/>
      <c r="BE313" s="10"/>
      <c r="BF313" s="10"/>
      <c r="BG313" s="13"/>
      <c r="BH313" s="10"/>
      <c r="BI313" s="10"/>
      <c r="BJ313" s="10"/>
      <c r="BK313" s="10"/>
      <c r="BL313" s="10"/>
      <c r="BM313" s="10"/>
      <c r="BN313" s="9"/>
      <c r="BO313" s="9"/>
      <c r="BP313" s="16">
        <f t="shared" ref="BP313:BP339" si="116">$R313*Z313</f>
        <v>22700</v>
      </c>
      <c r="BQ313" s="16">
        <f t="shared" ref="BQ313:BQ339" si="117">$R313*AA313</f>
        <v>22700</v>
      </c>
      <c r="BR313" s="16">
        <f t="shared" ref="BR313:BR339" si="118">$R313*AB313</f>
        <v>0</v>
      </c>
      <c r="BS313" s="16">
        <f t="shared" si="113"/>
        <v>0</v>
      </c>
      <c r="BT313" s="17">
        <f t="shared" si="114"/>
        <v>11350</v>
      </c>
      <c r="BU313" s="28">
        <f t="shared" si="87"/>
        <v>0</v>
      </c>
      <c r="BV313" s="28">
        <f t="shared" si="88"/>
        <v>0</v>
      </c>
      <c r="BW313" s="28">
        <f t="shared" si="89"/>
        <v>22700</v>
      </c>
    </row>
    <row r="314" spans="1:75" ht="17.399999999999999" x14ac:dyDescent="0.25">
      <c r="A314" s="69">
        <f t="shared" si="109"/>
        <v>313</v>
      </c>
      <c r="B314" s="73" t="s">
        <v>170</v>
      </c>
      <c r="C314" s="71" t="s">
        <v>243</v>
      </c>
      <c r="D314" s="71" t="s">
        <v>171</v>
      </c>
      <c r="E314" s="71" t="s">
        <v>103</v>
      </c>
      <c r="F314" s="71"/>
      <c r="G314" s="78" t="s">
        <v>271</v>
      </c>
      <c r="H314" s="71" t="s">
        <v>272</v>
      </c>
      <c r="I314" s="71" t="str">
        <f>VLOOKUP(H314,[1]Sheet1!$C:$C,1,0)</f>
        <v>SC2434SO-N-CI-10CR-2434</v>
      </c>
      <c r="J314" s="78"/>
      <c r="K314" s="78"/>
      <c r="L314" s="71" t="s">
        <v>172</v>
      </c>
      <c r="M314" s="80"/>
      <c r="N314" s="72" t="s">
        <v>60</v>
      </c>
      <c r="O314" s="73" t="s">
        <v>173</v>
      </c>
      <c r="P314" s="71" t="s">
        <v>95</v>
      </c>
      <c r="Q314" s="83"/>
      <c r="R314" s="100">
        <v>0.3</v>
      </c>
      <c r="S314" s="75">
        <f t="shared" si="111"/>
        <v>108000</v>
      </c>
      <c r="T314" s="76">
        <v>288000</v>
      </c>
      <c r="U314" s="76">
        <f t="shared" si="86"/>
        <v>360000</v>
      </c>
      <c r="V314" s="72">
        <v>120000</v>
      </c>
      <c r="W314" s="72">
        <v>60000</v>
      </c>
      <c r="X314" s="72">
        <v>120000</v>
      </c>
      <c r="Y314" s="72">
        <v>60000</v>
      </c>
      <c r="Z314" s="72">
        <v>120000</v>
      </c>
      <c r="AA314" s="72"/>
      <c r="AB314" s="72"/>
      <c r="AC314" s="72">
        <v>120000</v>
      </c>
      <c r="AD314" s="77">
        <v>120000</v>
      </c>
      <c r="AE314" s="75">
        <v>120000</v>
      </c>
      <c r="AF314" s="75">
        <v>120000</v>
      </c>
      <c r="AG314" s="75">
        <v>120000</v>
      </c>
      <c r="AH314" s="75">
        <v>120000</v>
      </c>
      <c r="AI314" s="75">
        <v>120000</v>
      </c>
      <c r="AJ314" s="75">
        <v>120000</v>
      </c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19"/>
      <c r="AX314" s="19" t="s">
        <v>61</v>
      </c>
      <c r="AY314" s="19" t="s">
        <v>261</v>
      </c>
      <c r="AZ314" s="19" t="s">
        <v>167</v>
      </c>
      <c r="BA314" s="19" t="s">
        <v>168</v>
      </c>
      <c r="BB314" s="19" t="s">
        <v>169</v>
      </c>
      <c r="BC314" s="19"/>
      <c r="BD314" s="19"/>
      <c r="BE314" s="19"/>
      <c r="BF314" s="19"/>
      <c r="BG314" s="24"/>
      <c r="BH314" s="19"/>
      <c r="BI314" s="19"/>
      <c r="BJ314" s="19"/>
      <c r="BK314" s="19"/>
      <c r="BL314" s="19"/>
      <c r="BM314" s="19"/>
      <c r="BN314" s="18"/>
      <c r="BO314" s="18"/>
      <c r="BP314" s="27">
        <f t="shared" si="116"/>
        <v>36000</v>
      </c>
      <c r="BQ314" s="27">
        <f t="shared" si="117"/>
        <v>0</v>
      </c>
      <c r="BR314" s="27">
        <f t="shared" si="118"/>
        <v>0</v>
      </c>
      <c r="BS314" s="27">
        <f t="shared" si="113"/>
        <v>36000</v>
      </c>
      <c r="BT314" s="28">
        <f t="shared" si="114"/>
        <v>36000</v>
      </c>
      <c r="BU314" s="28">
        <f t="shared" si="87"/>
        <v>36000</v>
      </c>
      <c r="BV314" s="28">
        <f t="shared" si="88"/>
        <v>36000</v>
      </c>
      <c r="BW314" s="28">
        <f t="shared" si="89"/>
        <v>36000</v>
      </c>
    </row>
    <row r="315" spans="1:75" ht="17.399999999999999" x14ac:dyDescent="0.25">
      <c r="A315" s="69">
        <f t="shared" si="109"/>
        <v>314</v>
      </c>
      <c r="B315" s="73" t="s">
        <v>170</v>
      </c>
      <c r="C315" s="71" t="s">
        <v>243</v>
      </c>
      <c r="D315" s="71" t="s">
        <v>171</v>
      </c>
      <c r="E315" s="71" t="s">
        <v>103</v>
      </c>
      <c r="F315" s="71"/>
      <c r="G315" s="78" t="s">
        <v>303</v>
      </c>
      <c r="H315" s="71" t="s">
        <v>304</v>
      </c>
      <c r="I315" s="71" t="str">
        <f>VLOOKUP(H315,[1]Sheet1!$C:$C,1,0)</f>
        <v>SC2432SO-N-CI-10CR-2432</v>
      </c>
      <c r="J315" s="78"/>
      <c r="K315" s="78"/>
      <c r="L315" s="71" t="s">
        <v>172</v>
      </c>
      <c r="M315" s="80"/>
      <c r="N315" s="72" t="s">
        <v>60</v>
      </c>
      <c r="O315" s="73" t="s">
        <v>173</v>
      </c>
      <c r="P315" s="71" t="s">
        <v>95</v>
      </c>
      <c r="Q315" s="83"/>
      <c r="R315" s="100">
        <v>0.3</v>
      </c>
      <c r="S315" s="75">
        <f t="shared" si="111"/>
        <v>108000</v>
      </c>
      <c r="T315" s="76">
        <v>288000</v>
      </c>
      <c r="U315" s="76">
        <f t="shared" si="86"/>
        <v>360000</v>
      </c>
      <c r="V315" s="72">
        <v>120000</v>
      </c>
      <c r="W315" s="72">
        <v>60000</v>
      </c>
      <c r="X315" s="72">
        <v>120000</v>
      </c>
      <c r="Y315" s="72">
        <v>60000</v>
      </c>
      <c r="Z315" s="72">
        <v>120000</v>
      </c>
      <c r="AA315" s="72"/>
      <c r="AB315" s="72"/>
      <c r="AC315" s="72">
        <v>120000</v>
      </c>
      <c r="AD315" s="77">
        <v>120000</v>
      </c>
      <c r="AE315" s="75">
        <v>120000</v>
      </c>
      <c r="AF315" s="75">
        <v>120000</v>
      </c>
      <c r="AG315" s="75">
        <v>120000</v>
      </c>
      <c r="AH315" s="75">
        <v>120000</v>
      </c>
      <c r="AI315" s="75">
        <v>120000</v>
      </c>
      <c r="AJ315" s="75">
        <v>120000</v>
      </c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0"/>
      <c r="AX315" s="10" t="s">
        <v>61</v>
      </c>
      <c r="AY315" s="19" t="s">
        <v>261</v>
      </c>
      <c r="AZ315" s="10" t="s">
        <v>167</v>
      </c>
      <c r="BA315" s="10" t="s">
        <v>168</v>
      </c>
      <c r="BB315" s="10" t="s">
        <v>169</v>
      </c>
      <c r="BC315" s="10"/>
      <c r="BD315" s="10"/>
      <c r="BE315" s="10"/>
      <c r="BF315" s="10"/>
      <c r="BG315" s="13"/>
      <c r="BH315" s="10"/>
      <c r="BI315" s="10"/>
      <c r="BJ315" s="10"/>
      <c r="BK315" s="10"/>
      <c r="BL315" s="10"/>
      <c r="BM315" s="10"/>
      <c r="BN315" s="9"/>
      <c r="BO315" s="9"/>
      <c r="BP315" s="16">
        <f t="shared" si="116"/>
        <v>36000</v>
      </c>
      <c r="BQ315" s="16">
        <f t="shared" si="117"/>
        <v>0</v>
      </c>
      <c r="BR315" s="16">
        <f t="shared" si="118"/>
        <v>0</v>
      </c>
      <c r="BS315" s="16">
        <f t="shared" si="113"/>
        <v>36000</v>
      </c>
      <c r="BT315" s="17">
        <f t="shared" si="114"/>
        <v>36000</v>
      </c>
      <c r="BU315" s="28">
        <f t="shared" si="87"/>
        <v>36000</v>
      </c>
      <c r="BV315" s="28">
        <f t="shared" si="88"/>
        <v>36000</v>
      </c>
      <c r="BW315" s="28">
        <f t="shared" si="89"/>
        <v>36000</v>
      </c>
    </row>
    <row r="316" spans="1:75" ht="17.399999999999999" x14ac:dyDescent="0.25">
      <c r="A316" s="69">
        <f t="shared" si="109"/>
        <v>315</v>
      </c>
      <c r="B316" s="73" t="s">
        <v>170</v>
      </c>
      <c r="C316" s="71" t="s">
        <v>243</v>
      </c>
      <c r="D316" s="71" t="s">
        <v>171</v>
      </c>
      <c r="E316" s="71" t="s">
        <v>103</v>
      </c>
      <c r="F316" s="71"/>
      <c r="G316" s="78" t="s">
        <v>305</v>
      </c>
      <c r="H316" s="71" t="s">
        <v>306</v>
      </c>
      <c r="I316" s="71" t="str">
        <f>VLOOKUP(H316,[1]Sheet1!$C:$C,1,0)</f>
        <v>SC1134SO-N-CF-00LR-1134</v>
      </c>
      <c r="J316" s="78"/>
      <c r="K316" s="78"/>
      <c r="L316" s="71" t="s">
        <v>172</v>
      </c>
      <c r="M316" s="80"/>
      <c r="N316" s="72" t="s">
        <v>60</v>
      </c>
      <c r="O316" s="73" t="s">
        <v>173</v>
      </c>
      <c r="P316" s="71" t="s">
        <v>95</v>
      </c>
      <c r="Q316" s="83"/>
      <c r="R316" s="100">
        <v>0.25</v>
      </c>
      <c r="S316" s="75">
        <f t="shared" si="111"/>
        <v>15000</v>
      </c>
      <c r="T316" s="76">
        <v>60000</v>
      </c>
      <c r="U316" s="76">
        <f t="shared" si="86"/>
        <v>60000</v>
      </c>
      <c r="V316" s="72">
        <v>30000</v>
      </c>
      <c r="W316" s="72">
        <v>30000</v>
      </c>
      <c r="X316" s="72">
        <v>30000</v>
      </c>
      <c r="Y316" s="72">
        <v>30000</v>
      </c>
      <c r="Z316" s="72">
        <v>30000</v>
      </c>
      <c r="AA316" s="72"/>
      <c r="AB316" s="72"/>
      <c r="AC316" s="72">
        <v>30000</v>
      </c>
      <c r="AD316" s="77">
        <v>30000</v>
      </c>
      <c r="AE316" s="75"/>
      <c r="AF316" s="75">
        <v>30000</v>
      </c>
      <c r="AG316" s="75">
        <v>30000</v>
      </c>
      <c r="AH316" s="75">
        <v>30000</v>
      </c>
      <c r="AI316" s="75">
        <v>30000</v>
      </c>
      <c r="AJ316" s="75">
        <v>30000</v>
      </c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19"/>
      <c r="AX316" s="19" t="s">
        <v>61</v>
      </c>
      <c r="AY316" s="19" t="s">
        <v>261</v>
      </c>
      <c r="AZ316" s="19" t="s">
        <v>167</v>
      </c>
      <c r="BA316" s="19" t="s">
        <v>168</v>
      </c>
      <c r="BB316" s="19" t="s">
        <v>169</v>
      </c>
      <c r="BC316" s="19"/>
      <c r="BD316" s="19"/>
      <c r="BE316" s="19"/>
      <c r="BF316" s="19"/>
      <c r="BG316" s="24"/>
      <c r="BH316" s="19"/>
      <c r="BI316" s="19"/>
      <c r="BJ316" s="19"/>
      <c r="BK316" s="19"/>
      <c r="BL316" s="19"/>
      <c r="BM316" s="19"/>
      <c r="BN316" s="18"/>
      <c r="BO316" s="18"/>
      <c r="BP316" s="27">
        <f t="shared" si="116"/>
        <v>7500</v>
      </c>
      <c r="BQ316" s="27">
        <f t="shared" si="117"/>
        <v>0</v>
      </c>
      <c r="BR316" s="27">
        <f t="shared" si="118"/>
        <v>0</v>
      </c>
      <c r="BS316" s="27">
        <f t="shared" si="113"/>
        <v>7500</v>
      </c>
      <c r="BT316" s="28">
        <f t="shared" si="114"/>
        <v>7500</v>
      </c>
      <c r="BU316" s="28">
        <f t="shared" si="87"/>
        <v>0</v>
      </c>
      <c r="BV316" s="28">
        <f t="shared" si="88"/>
        <v>7500</v>
      </c>
      <c r="BW316" s="28">
        <f t="shared" si="89"/>
        <v>7500</v>
      </c>
    </row>
    <row r="317" spans="1:75" ht="17.399999999999999" x14ac:dyDescent="0.25">
      <c r="A317" s="69">
        <f t="shared" si="109"/>
        <v>316</v>
      </c>
      <c r="B317" s="73" t="s">
        <v>170</v>
      </c>
      <c r="C317" s="71" t="s">
        <v>243</v>
      </c>
      <c r="D317" s="71" t="s">
        <v>171</v>
      </c>
      <c r="E317" s="71" t="s">
        <v>103</v>
      </c>
      <c r="F317" s="71"/>
      <c r="G317" s="78" t="s">
        <v>307</v>
      </c>
      <c r="H317" s="71" t="s">
        <v>308</v>
      </c>
      <c r="I317" s="71" t="str">
        <f>VLOOKUP(H317,[1]Sheet1!$C:$C,1,0)</f>
        <v>SC1138SO-N-Q-CC-00LR-1138</v>
      </c>
      <c r="J317" s="78"/>
      <c r="K317" s="78"/>
      <c r="L317" s="71" t="s">
        <v>172</v>
      </c>
      <c r="M317" s="80"/>
      <c r="N317" s="72" t="s">
        <v>60</v>
      </c>
      <c r="O317" s="73" t="s">
        <v>173</v>
      </c>
      <c r="P317" s="71" t="s">
        <v>95</v>
      </c>
      <c r="Q317" s="83"/>
      <c r="R317" s="100">
        <v>0.25</v>
      </c>
      <c r="S317" s="75">
        <f t="shared" si="111"/>
        <v>15000</v>
      </c>
      <c r="T317" s="76">
        <v>60000</v>
      </c>
      <c r="U317" s="76">
        <f t="shared" si="86"/>
        <v>60000</v>
      </c>
      <c r="V317" s="72">
        <v>30000</v>
      </c>
      <c r="W317" s="72">
        <v>30000</v>
      </c>
      <c r="X317" s="72">
        <v>30000</v>
      </c>
      <c r="Y317" s="72">
        <v>30000</v>
      </c>
      <c r="Z317" s="72">
        <v>30000</v>
      </c>
      <c r="AA317" s="72"/>
      <c r="AB317" s="72"/>
      <c r="AC317" s="72">
        <v>30000</v>
      </c>
      <c r="AD317" s="77">
        <v>30000</v>
      </c>
      <c r="AE317" s="75"/>
      <c r="AF317" s="75">
        <v>30000</v>
      </c>
      <c r="AG317" s="75">
        <v>30000</v>
      </c>
      <c r="AH317" s="75">
        <v>30000</v>
      </c>
      <c r="AI317" s="75">
        <v>30000</v>
      </c>
      <c r="AJ317" s="75">
        <v>30000</v>
      </c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0"/>
      <c r="AX317" s="10" t="s">
        <v>61</v>
      </c>
      <c r="AY317" s="19" t="s">
        <v>261</v>
      </c>
      <c r="AZ317" s="10" t="s">
        <v>167</v>
      </c>
      <c r="BA317" s="10" t="s">
        <v>168</v>
      </c>
      <c r="BB317" s="10" t="s">
        <v>169</v>
      </c>
      <c r="BC317" s="10"/>
      <c r="BD317" s="10"/>
      <c r="BE317" s="10"/>
      <c r="BF317" s="10"/>
      <c r="BG317" s="13"/>
      <c r="BH317" s="10"/>
      <c r="BI317" s="10"/>
      <c r="BJ317" s="10"/>
      <c r="BK317" s="10"/>
      <c r="BL317" s="10"/>
      <c r="BM317" s="10"/>
      <c r="BN317" s="9"/>
      <c r="BO317" s="9"/>
      <c r="BP317" s="16">
        <f t="shared" si="116"/>
        <v>7500</v>
      </c>
      <c r="BQ317" s="16">
        <f t="shared" si="117"/>
        <v>0</v>
      </c>
      <c r="BR317" s="16">
        <f t="shared" si="118"/>
        <v>0</v>
      </c>
      <c r="BS317" s="16">
        <f t="shared" si="113"/>
        <v>7500</v>
      </c>
      <c r="BT317" s="17">
        <f t="shared" si="114"/>
        <v>7500</v>
      </c>
      <c r="BU317" s="28">
        <f t="shared" si="87"/>
        <v>0</v>
      </c>
      <c r="BV317" s="28">
        <f t="shared" si="88"/>
        <v>7500</v>
      </c>
      <c r="BW317" s="28">
        <f t="shared" si="89"/>
        <v>7500</v>
      </c>
    </row>
    <row r="318" spans="1:75" ht="17.399999999999999" x14ac:dyDescent="0.25">
      <c r="A318" s="69">
        <f t="shared" si="109"/>
        <v>317</v>
      </c>
      <c r="B318" s="78" t="s">
        <v>309</v>
      </c>
      <c r="C318" s="71" t="s">
        <v>243</v>
      </c>
      <c r="D318" s="79" t="s">
        <v>184</v>
      </c>
      <c r="E318" s="71" t="s">
        <v>103</v>
      </c>
      <c r="F318" s="71"/>
      <c r="G318" s="79" t="s">
        <v>305</v>
      </c>
      <c r="H318" s="71" t="s">
        <v>306</v>
      </c>
      <c r="I318" s="71" t="str">
        <f>VLOOKUP(H318,[1]Sheet1!$C:$C,1,0)</f>
        <v>SC1134SO-N-CF-00LR-1134</v>
      </c>
      <c r="J318" s="79"/>
      <c r="K318" s="79"/>
      <c r="L318" s="79" t="s">
        <v>165</v>
      </c>
      <c r="M318" s="72"/>
      <c r="N318" s="71" t="s">
        <v>113</v>
      </c>
      <c r="O318" s="79" t="s">
        <v>310</v>
      </c>
      <c r="P318" s="79" t="s">
        <v>311</v>
      </c>
      <c r="Q318" s="83"/>
      <c r="R318" s="101">
        <v>0.35</v>
      </c>
      <c r="S318" s="75">
        <f t="shared" si="111"/>
        <v>0</v>
      </c>
      <c r="T318" s="76">
        <v>42000</v>
      </c>
      <c r="U318" s="76">
        <f t="shared" si="86"/>
        <v>0</v>
      </c>
      <c r="V318" s="72"/>
      <c r="W318" s="72"/>
      <c r="X318" s="72">
        <v>30000</v>
      </c>
      <c r="Y318" s="72"/>
      <c r="Z318" s="72">
        <v>30000</v>
      </c>
      <c r="AA318" s="81"/>
      <c r="AB318" s="72">
        <v>30000</v>
      </c>
      <c r="AC318" s="81"/>
      <c r="AD318" s="77"/>
      <c r="AE318" s="75"/>
      <c r="AF318" s="75"/>
      <c r="AG318" s="75"/>
      <c r="AH318" s="75"/>
      <c r="AI318" s="75"/>
      <c r="AJ318" s="75">
        <v>0</v>
      </c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19" t="s">
        <v>155</v>
      </c>
      <c r="AX318" s="19" t="s">
        <v>61</v>
      </c>
      <c r="AY318" s="19" t="s">
        <v>261</v>
      </c>
      <c r="AZ318" s="20" t="s">
        <v>167</v>
      </c>
      <c r="BA318" s="19" t="s">
        <v>168</v>
      </c>
      <c r="BB318" s="19" t="s">
        <v>169</v>
      </c>
      <c r="BC318" s="19"/>
      <c r="BD318" s="19"/>
      <c r="BE318" s="19"/>
      <c r="BF318" s="19"/>
      <c r="BG318" s="24">
        <v>4</v>
      </c>
      <c r="BH318" s="30"/>
      <c r="BI318" s="38">
        <v>45017</v>
      </c>
      <c r="BJ318" s="38">
        <v>45017</v>
      </c>
      <c r="BK318" s="38">
        <v>45031</v>
      </c>
      <c r="BL318" s="38">
        <v>45047</v>
      </c>
      <c r="BM318" s="38"/>
      <c r="BN318" s="37"/>
      <c r="BO318" s="36">
        <v>3</v>
      </c>
      <c r="BP318" s="27">
        <f t="shared" si="116"/>
        <v>10500</v>
      </c>
      <c r="BQ318" s="27">
        <f t="shared" si="117"/>
        <v>0</v>
      </c>
      <c r="BR318" s="27">
        <f t="shared" si="118"/>
        <v>10500</v>
      </c>
      <c r="BS318" s="27">
        <f t="shared" si="113"/>
        <v>0</v>
      </c>
      <c r="BT318" s="28">
        <f t="shared" si="114"/>
        <v>0</v>
      </c>
      <c r="BU318" s="28">
        <f t="shared" si="87"/>
        <v>0</v>
      </c>
      <c r="BV318" s="28">
        <f t="shared" si="88"/>
        <v>0</v>
      </c>
      <c r="BW318" s="28">
        <f t="shared" si="89"/>
        <v>0</v>
      </c>
    </row>
    <row r="319" spans="1:75" ht="17.399999999999999" x14ac:dyDescent="0.25">
      <c r="A319" s="69">
        <f t="shared" si="109"/>
        <v>318</v>
      </c>
      <c r="B319" s="78" t="s">
        <v>312</v>
      </c>
      <c r="C319" s="71" t="s">
        <v>243</v>
      </c>
      <c r="D319" s="79" t="s">
        <v>184</v>
      </c>
      <c r="E319" s="71" t="s">
        <v>103</v>
      </c>
      <c r="F319" s="71"/>
      <c r="G319" s="78" t="s">
        <v>313</v>
      </c>
      <c r="H319" s="71" t="s">
        <v>314</v>
      </c>
      <c r="I319" s="71" t="str">
        <f>VLOOKUP(H319,[1]Sheet1!$C:$C,1,0)</f>
        <v>SC1134UA-CI-00AK-1134</v>
      </c>
      <c r="J319" s="78"/>
      <c r="K319" s="78"/>
      <c r="L319" s="79" t="s">
        <v>315</v>
      </c>
      <c r="M319" s="72"/>
      <c r="N319" s="71" t="s">
        <v>110</v>
      </c>
      <c r="O319" s="79" t="s">
        <v>316</v>
      </c>
      <c r="P319" s="79" t="s">
        <v>95</v>
      </c>
      <c r="Q319" s="83"/>
      <c r="R319" s="101">
        <v>0.3</v>
      </c>
      <c r="S319" s="75">
        <f t="shared" si="111"/>
        <v>0</v>
      </c>
      <c r="T319" s="76">
        <v>0</v>
      </c>
      <c r="U319" s="76">
        <f t="shared" si="86"/>
        <v>0</v>
      </c>
      <c r="V319" s="72"/>
      <c r="W319" s="72"/>
      <c r="X319" s="72"/>
      <c r="Y319" s="72"/>
      <c r="Z319" s="81"/>
      <c r="AA319" s="81"/>
      <c r="AB319" s="81"/>
      <c r="AC319" s="81"/>
      <c r="AD319" s="77"/>
      <c r="AE319" s="75"/>
      <c r="AF319" s="75"/>
      <c r="AG319" s="75"/>
      <c r="AH319" s="75"/>
      <c r="AI319" s="75"/>
      <c r="AJ319" s="75">
        <v>0</v>
      </c>
      <c r="AK319" s="34"/>
      <c r="AL319" s="34"/>
      <c r="AM319" s="34"/>
      <c r="AN319" s="34"/>
      <c r="AO319" s="34"/>
      <c r="AP319" s="34"/>
      <c r="AQ319" s="34"/>
      <c r="AR319" s="12"/>
      <c r="AS319" s="12"/>
      <c r="AT319" s="12"/>
      <c r="AU319" s="12"/>
      <c r="AV319" s="12"/>
      <c r="AW319" s="10" t="s">
        <v>155</v>
      </c>
      <c r="AX319" s="10" t="s">
        <v>61</v>
      </c>
      <c r="AY319" s="19" t="s">
        <v>261</v>
      </c>
      <c r="AZ319" s="10" t="s">
        <v>167</v>
      </c>
      <c r="BA319" s="10" t="s">
        <v>317</v>
      </c>
      <c r="BB319" s="10"/>
      <c r="BC319" s="10"/>
      <c r="BD319" s="10"/>
      <c r="BE319" s="10"/>
      <c r="BF319" s="10"/>
      <c r="BG319" s="13"/>
      <c r="BH319" s="10"/>
      <c r="BI319" s="10"/>
      <c r="BJ319" s="10"/>
      <c r="BK319" s="10"/>
      <c r="BL319" s="10"/>
      <c r="BM319" s="10"/>
      <c r="BN319" s="9"/>
      <c r="BO319" s="9"/>
      <c r="BP319" s="16">
        <f t="shared" si="116"/>
        <v>0</v>
      </c>
      <c r="BQ319" s="16">
        <f t="shared" si="117"/>
        <v>0</v>
      </c>
      <c r="BR319" s="16">
        <f t="shared" si="118"/>
        <v>0</v>
      </c>
      <c r="BS319" s="16">
        <f t="shared" si="113"/>
        <v>0</v>
      </c>
      <c r="BT319" s="17">
        <f t="shared" si="114"/>
        <v>0</v>
      </c>
      <c r="BU319" s="28">
        <f t="shared" si="87"/>
        <v>0</v>
      </c>
      <c r="BV319" s="28">
        <f t="shared" si="88"/>
        <v>0</v>
      </c>
      <c r="BW319" s="28">
        <f t="shared" si="89"/>
        <v>0</v>
      </c>
    </row>
    <row r="320" spans="1:75" ht="17.399999999999999" x14ac:dyDescent="0.25">
      <c r="A320" s="69">
        <f t="shared" si="109"/>
        <v>319</v>
      </c>
      <c r="B320" s="78" t="s">
        <v>318</v>
      </c>
      <c r="C320" s="71" t="s">
        <v>243</v>
      </c>
      <c r="D320" s="79" t="s">
        <v>184</v>
      </c>
      <c r="E320" s="71" t="s">
        <v>103</v>
      </c>
      <c r="F320" s="71"/>
      <c r="G320" s="78" t="s">
        <v>275</v>
      </c>
      <c r="H320" s="71" t="s">
        <v>276</v>
      </c>
      <c r="I320" s="71" t="str">
        <f>VLOOKUP(H320,[1]Sheet1!$C:$C,1,0)</f>
        <v>SC2064SO-GC-00NR-2064</v>
      </c>
      <c r="J320" s="78"/>
      <c r="K320" s="78"/>
      <c r="L320" s="79" t="s">
        <v>319</v>
      </c>
      <c r="M320" s="72"/>
      <c r="N320" s="71" t="s">
        <v>113</v>
      </c>
      <c r="O320" s="79" t="s">
        <v>320</v>
      </c>
      <c r="P320" s="79" t="s">
        <v>95</v>
      </c>
      <c r="Q320" s="83"/>
      <c r="R320" s="101">
        <v>0.18</v>
      </c>
      <c r="S320" s="75">
        <f t="shared" si="111"/>
        <v>0</v>
      </c>
      <c r="T320" s="76">
        <v>3780</v>
      </c>
      <c r="U320" s="76">
        <f t="shared" si="86"/>
        <v>0</v>
      </c>
      <c r="V320" s="72">
        <v>3000</v>
      </c>
      <c r="W320" s="72">
        <v>3000</v>
      </c>
      <c r="X320" s="72">
        <v>3000</v>
      </c>
      <c r="Y320" s="72">
        <v>3000</v>
      </c>
      <c r="Z320" s="81"/>
      <c r="AA320" s="72">
        <v>3000</v>
      </c>
      <c r="AB320" s="72">
        <v>3000</v>
      </c>
      <c r="AC320" s="72">
        <v>3000</v>
      </c>
      <c r="AD320" s="77"/>
      <c r="AE320" s="75"/>
      <c r="AF320" s="75"/>
      <c r="AG320" s="75"/>
      <c r="AH320" s="75"/>
      <c r="AI320" s="75"/>
      <c r="AJ320" s="75">
        <v>0</v>
      </c>
      <c r="AK320" s="36"/>
      <c r="AL320" s="36"/>
      <c r="AM320" s="36"/>
      <c r="AN320" s="36"/>
      <c r="AO320" s="36"/>
      <c r="AP320" s="36"/>
      <c r="AQ320" s="36"/>
      <c r="AR320" s="22"/>
      <c r="AS320" s="22"/>
      <c r="AT320" s="22"/>
      <c r="AU320" s="22"/>
      <c r="AV320" s="22"/>
      <c r="AW320" s="19" t="s">
        <v>155</v>
      </c>
      <c r="AX320" s="19" t="s">
        <v>61</v>
      </c>
      <c r="AY320" s="19" t="s">
        <v>261</v>
      </c>
      <c r="AZ320" s="20" t="s">
        <v>167</v>
      </c>
      <c r="BA320" s="20" t="s">
        <v>317</v>
      </c>
      <c r="BB320" s="22"/>
      <c r="BC320" s="19"/>
      <c r="BD320" s="19"/>
      <c r="BE320" s="19"/>
      <c r="BF320" s="19"/>
      <c r="BG320" s="24"/>
      <c r="BH320" s="19"/>
      <c r="BI320" s="19"/>
      <c r="BJ320" s="19"/>
      <c r="BK320" s="19"/>
      <c r="BL320" s="19"/>
      <c r="BM320" s="19"/>
      <c r="BN320" s="18"/>
      <c r="BO320" s="18"/>
      <c r="BP320" s="27">
        <f t="shared" si="116"/>
        <v>0</v>
      </c>
      <c r="BQ320" s="27">
        <f t="shared" si="117"/>
        <v>540</v>
      </c>
      <c r="BR320" s="27">
        <f t="shared" si="118"/>
        <v>540</v>
      </c>
      <c r="BS320" s="27">
        <f t="shared" si="113"/>
        <v>540</v>
      </c>
      <c r="BT320" s="28">
        <f t="shared" si="114"/>
        <v>0</v>
      </c>
      <c r="BU320" s="28">
        <f t="shared" si="87"/>
        <v>0</v>
      </c>
      <c r="BV320" s="28">
        <f t="shared" si="88"/>
        <v>0</v>
      </c>
      <c r="BW320" s="28">
        <f t="shared" si="89"/>
        <v>0</v>
      </c>
    </row>
    <row r="321" spans="1:75" ht="17.399999999999999" x14ac:dyDescent="0.25">
      <c r="A321" s="69">
        <f t="shared" si="109"/>
        <v>320</v>
      </c>
      <c r="B321" s="78" t="s">
        <v>321</v>
      </c>
      <c r="C321" s="71" t="s">
        <v>243</v>
      </c>
      <c r="D321" s="79" t="s">
        <v>184</v>
      </c>
      <c r="E321" s="71" t="s">
        <v>103</v>
      </c>
      <c r="F321" s="71"/>
      <c r="G321" s="78" t="s">
        <v>322</v>
      </c>
      <c r="H321" s="71" t="s">
        <v>323</v>
      </c>
      <c r="I321" s="71" t="str">
        <f>VLOOKUP(H321,[1]Sheet1!$C:$C,1,0)</f>
        <v>SC2442UA-CP-10AK-U18</v>
      </c>
      <c r="J321" s="78"/>
      <c r="K321" s="78"/>
      <c r="L321" s="73" t="s">
        <v>324</v>
      </c>
      <c r="M321" s="72"/>
      <c r="N321" s="71" t="s">
        <v>49</v>
      </c>
      <c r="O321" s="79" t="s">
        <v>325</v>
      </c>
      <c r="P321" s="79" t="s">
        <v>95</v>
      </c>
      <c r="Q321" s="83"/>
      <c r="R321" s="101">
        <v>0.3</v>
      </c>
      <c r="S321" s="75">
        <f t="shared" si="111"/>
        <v>0</v>
      </c>
      <c r="T321" s="76">
        <v>0</v>
      </c>
      <c r="U321" s="76">
        <f t="shared" ref="U321:U384" si="119">SUM(AE321:AG321)</f>
        <v>0</v>
      </c>
      <c r="V321" s="72"/>
      <c r="W321" s="72"/>
      <c r="X321" s="72"/>
      <c r="Y321" s="72"/>
      <c r="Z321" s="81"/>
      <c r="AA321" s="81"/>
      <c r="AB321" s="81"/>
      <c r="AC321" s="81"/>
      <c r="AD321" s="77"/>
      <c r="AE321" s="75"/>
      <c r="AF321" s="75"/>
      <c r="AG321" s="75"/>
      <c r="AH321" s="75"/>
      <c r="AI321" s="75"/>
      <c r="AJ321" s="75">
        <v>0</v>
      </c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0" t="s">
        <v>155</v>
      </c>
      <c r="AX321" s="10" t="s">
        <v>61</v>
      </c>
      <c r="AY321" s="19" t="s">
        <v>261</v>
      </c>
      <c r="AZ321" s="29" t="s">
        <v>167</v>
      </c>
      <c r="BA321" s="10" t="s">
        <v>168</v>
      </c>
      <c r="BB321" s="10" t="s">
        <v>326</v>
      </c>
      <c r="BC321" s="10" t="s">
        <v>327</v>
      </c>
      <c r="BD321" s="10"/>
      <c r="BE321" s="10"/>
      <c r="BF321" s="10"/>
      <c r="BG321" s="13"/>
      <c r="BH321" s="10"/>
      <c r="BI321" s="10"/>
      <c r="BJ321" s="10"/>
      <c r="BK321" s="10"/>
      <c r="BL321" s="10"/>
      <c r="BM321" s="10"/>
      <c r="BN321" s="9"/>
      <c r="BO321" s="9"/>
      <c r="BP321" s="16">
        <f t="shared" si="116"/>
        <v>0</v>
      </c>
      <c r="BQ321" s="16">
        <f t="shared" si="117"/>
        <v>0</v>
      </c>
      <c r="BR321" s="16">
        <f t="shared" si="118"/>
        <v>0</v>
      </c>
      <c r="BS321" s="16">
        <f t="shared" si="113"/>
        <v>0</v>
      </c>
      <c r="BT321" s="17">
        <f t="shared" si="114"/>
        <v>0</v>
      </c>
      <c r="BU321" s="28">
        <f t="shared" si="87"/>
        <v>0</v>
      </c>
      <c r="BV321" s="28">
        <f t="shared" si="88"/>
        <v>0</v>
      </c>
      <c r="BW321" s="28">
        <f t="shared" si="89"/>
        <v>0</v>
      </c>
    </row>
    <row r="322" spans="1:75" ht="17.399999999999999" x14ac:dyDescent="0.25">
      <c r="A322" s="69">
        <f t="shared" si="109"/>
        <v>321</v>
      </c>
      <c r="B322" s="79" t="s">
        <v>328</v>
      </c>
      <c r="C322" s="71" t="s">
        <v>243</v>
      </c>
      <c r="D322" s="79" t="s">
        <v>184</v>
      </c>
      <c r="E322" s="71" t="s">
        <v>103</v>
      </c>
      <c r="F322" s="71"/>
      <c r="G322" s="78" t="s">
        <v>273</v>
      </c>
      <c r="H322" s="71" t="s">
        <v>274</v>
      </c>
      <c r="I322" s="71" t="str">
        <f>VLOOKUP(H322,[1]Sheet1!$C:$C,1,0)</f>
        <v>SC2402SO-N-CJ-90NR-2402</v>
      </c>
      <c r="J322" s="78"/>
      <c r="K322" s="78"/>
      <c r="L322" s="73" t="s">
        <v>324</v>
      </c>
      <c r="M322" s="72"/>
      <c r="N322" s="71" t="s">
        <v>48</v>
      </c>
      <c r="O322" s="79" t="s">
        <v>329</v>
      </c>
      <c r="P322" s="79" t="s">
        <v>95</v>
      </c>
      <c r="Q322" s="83"/>
      <c r="R322" s="101">
        <v>0.18</v>
      </c>
      <c r="S322" s="75">
        <f t="shared" si="111"/>
        <v>0</v>
      </c>
      <c r="T322" s="76">
        <v>144000</v>
      </c>
      <c r="U322" s="76">
        <f t="shared" si="119"/>
        <v>0</v>
      </c>
      <c r="V322" s="72">
        <v>100000</v>
      </c>
      <c r="W322" s="72">
        <v>100000</v>
      </c>
      <c r="X322" s="72">
        <v>100000</v>
      </c>
      <c r="Y322" s="72">
        <v>100000</v>
      </c>
      <c r="Z322" s="72">
        <v>100000</v>
      </c>
      <c r="AA322" s="72">
        <v>100000</v>
      </c>
      <c r="AB322" s="72">
        <v>100000</v>
      </c>
      <c r="AC322" s="72"/>
      <c r="AD322" s="77"/>
      <c r="AE322" s="75"/>
      <c r="AF322" s="75"/>
      <c r="AG322" s="75"/>
      <c r="AH322" s="75"/>
      <c r="AI322" s="75"/>
      <c r="AJ322" s="75">
        <v>0</v>
      </c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19" t="s">
        <v>155</v>
      </c>
      <c r="AX322" s="19" t="s">
        <v>61</v>
      </c>
      <c r="AY322" s="19" t="s">
        <v>261</v>
      </c>
      <c r="AZ322" s="20" t="s">
        <v>167</v>
      </c>
      <c r="BA322" s="19" t="s">
        <v>317</v>
      </c>
      <c r="BB322" s="19" t="s">
        <v>330</v>
      </c>
      <c r="BC322" s="19"/>
      <c r="BD322" s="19"/>
      <c r="BE322" s="19"/>
      <c r="BF322" s="19"/>
      <c r="BG322" s="24"/>
      <c r="BH322" s="19"/>
      <c r="BI322" s="19"/>
      <c r="BJ322" s="19"/>
      <c r="BK322" s="19"/>
      <c r="BL322" s="19"/>
      <c r="BM322" s="19"/>
      <c r="BN322" s="18"/>
      <c r="BO322" s="18"/>
      <c r="BP322" s="27">
        <f t="shared" si="116"/>
        <v>18000</v>
      </c>
      <c r="BQ322" s="27">
        <f t="shared" si="117"/>
        <v>18000</v>
      </c>
      <c r="BR322" s="27">
        <f t="shared" si="118"/>
        <v>18000</v>
      </c>
      <c r="BS322" s="27">
        <f t="shared" si="113"/>
        <v>0</v>
      </c>
      <c r="BT322" s="28">
        <f t="shared" si="114"/>
        <v>0</v>
      </c>
      <c r="BU322" s="28">
        <f t="shared" si="87"/>
        <v>0</v>
      </c>
      <c r="BV322" s="28">
        <f t="shared" si="88"/>
        <v>0</v>
      </c>
      <c r="BW322" s="28">
        <f t="shared" si="89"/>
        <v>0</v>
      </c>
    </row>
    <row r="323" spans="1:75" ht="17.399999999999999" x14ac:dyDescent="0.25">
      <c r="A323" s="69">
        <f t="shared" si="109"/>
        <v>322</v>
      </c>
      <c r="B323" s="78" t="s">
        <v>331</v>
      </c>
      <c r="C323" s="71" t="s">
        <v>243</v>
      </c>
      <c r="D323" s="79" t="s">
        <v>184</v>
      </c>
      <c r="E323" s="71" t="s">
        <v>103</v>
      </c>
      <c r="F323" s="71"/>
      <c r="G323" s="79" t="s">
        <v>273</v>
      </c>
      <c r="H323" s="71" t="s">
        <v>274</v>
      </c>
      <c r="I323" s="71" t="str">
        <f>VLOOKUP(H323,[1]Sheet1!$C:$C,1,0)</f>
        <v>SC2402SO-N-CJ-90NR-2402</v>
      </c>
      <c r="J323" s="79"/>
      <c r="K323" s="79"/>
      <c r="L323" s="79" t="s">
        <v>324</v>
      </c>
      <c r="M323" s="72"/>
      <c r="N323" s="71" t="s">
        <v>110</v>
      </c>
      <c r="O323" s="79" t="s">
        <v>332</v>
      </c>
      <c r="P323" s="79" t="s">
        <v>95</v>
      </c>
      <c r="Q323" s="83"/>
      <c r="R323" s="101">
        <v>0.13500000000000001</v>
      </c>
      <c r="S323" s="75">
        <f t="shared" si="111"/>
        <v>0</v>
      </c>
      <c r="T323" s="76">
        <v>0</v>
      </c>
      <c r="U323" s="76">
        <f t="shared" si="119"/>
        <v>0</v>
      </c>
      <c r="V323" s="72"/>
      <c r="W323" s="72"/>
      <c r="X323" s="72"/>
      <c r="Y323" s="72"/>
      <c r="Z323" s="81"/>
      <c r="AA323" s="81"/>
      <c r="AB323" s="81"/>
      <c r="AC323" s="81"/>
      <c r="AD323" s="77"/>
      <c r="AE323" s="75"/>
      <c r="AF323" s="75"/>
      <c r="AG323" s="75"/>
      <c r="AH323" s="75"/>
      <c r="AI323" s="75"/>
      <c r="AJ323" s="75">
        <v>0</v>
      </c>
      <c r="AK323" s="34"/>
      <c r="AL323" s="34"/>
      <c r="AM323" s="34"/>
      <c r="AN323" s="34"/>
      <c r="AO323" s="34"/>
      <c r="AP323" s="34"/>
      <c r="AQ323" s="34"/>
      <c r="AR323" s="12"/>
      <c r="AS323" s="12"/>
      <c r="AT323" s="12"/>
      <c r="AU323" s="12"/>
      <c r="AV323" s="12"/>
      <c r="AW323" s="10" t="s">
        <v>155</v>
      </c>
      <c r="AX323" s="10" t="s">
        <v>61</v>
      </c>
      <c r="AY323" s="19" t="s">
        <v>261</v>
      </c>
      <c r="AZ323" s="29" t="s">
        <v>167</v>
      </c>
      <c r="BA323" s="10" t="s">
        <v>168</v>
      </c>
      <c r="BB323" s="10" t="s">
        <v>326</v>
      </c>
      <c r="BC323" s="10" t="s">
        <v>327</v>
      </c>
      <c r="BD323" s="10"/>
      <c r="BE323" s="10"/>
      <c r="BF323" s="10"/>
      <c r="BG323" s="13"/>
      <c r="BH323" s="10"/>
      <c r="BI323" s="10"/>
      <c r="BJ323" s="10"/>
      <c r="BK323" s="10"/>
      <c r="BL323" s="10"/>
      <c r="BM323" s="10"/>
      <c r="BN323" s="9"/>
      <c r="BO323" s="9"/>
      <c r="BP323" s="16">
        <f t="shared" si="116"/>
        <v>0</v>
      </c>
      <c r="BQ323" s="16">
        <f t="shared" si="117"/>
        <v>0</v>
      </c>
      <c r="BR323" s="16">
        <f t="shared" si="118"/>
        <v>0</v>
      </c>
      <c r="BS323" s="16">
        <f t="shared" si="113"/>
        <v>0</v>
      </c>
      <c r="BT323" s="17">
        <f t="shared" si="114"/>
        <v>0</v>
      </c>
      <c r="BU323" s="28">
        <f t="shared" ref="BU323:BU386" si="120">$R323*AE323</f>
        <v>0</v>
      </c>
      <c r="BV323" s="28">
        <f t="shared" ref="BV323:BV386" si="121">$R323*AF323</f>
        <v>0</v>
      </c>
      <c r="BW323" s="28">
        <f t="shared" ref="BW323:BW386" si="122">$R323*AG323</f>
        <v>0</v>
      </c>
    </row>
    <row r="324" spans="1:75" ht="17.399999999999999" x14ac:dyDescent="0.25">
      <c r="A324" s="69">
        <f t="shared" si="109"/>
        <v>323</v>
      </c>
      <c r="B324" s="79" t="s">
        <v>333</v>
      </c>
      <c r="C324" s="71" t="s">
        <v>243</v>
      </c>
      <c r="D324" s="79" t="s">
        <v>184</v>
      </c>
      <c r="E324" s="71" t="s">
        <v>103</v>
      </c>
      <c r="F324" s="71"/>
      <c r="G324" s="79" t="s">
        <v>277</v>
      </c>
      <c r="H324" s="71" t="s">
        <v>278</v>
      </c>
      <c r="I324" s="71" t="str">
        <f>VLOOKUP(H324,[1]Sheet1!$C:$C,1,0)</f>
        <v>SC2402UA-CJ-90AK-2402</v>
      </c>
      <c r="J324" s="79"/>
      <c r="K324" s="79"/>
      <c r="L324" s="79" t="s">
        <v>334</v>
      </c>
      <c r="M324" s="72"/>
      <c r="N324" s="71" t="s">
        <v>110</v>
      </c>
      <c r="O324" s="79" t="s">
        <v>335</v>
      </c>
      <c r="P324" s="79" t="s">
        <v>95</v>
      </c>
      <c r="Q324" s="83"/>
      <c r="R324" s="101">
        <v>0.2</v>
      </c>
      <c r="S324" s="75">
        <f t="shared" si="111"/>
        <v>0</v>
      </c>
      <c r="T324" s="76">
        <v>160000</v>
      </c>
      <c r="U324" s="76">
        <f t="shared" si="119"/>
        <v>0</v>
      </c>
      <c r="V324" s="72"/>
      <c r="W324" s="72">
        <v>9000</v>
      </c>
      <c r="X324" s="72"/>
      <c r="Y324" s="72">
        <v>9000</v>
      </c>
      <c r="Z324" s="72">
        <v>100000</v>
      </c>
      <c r="AA324" s="72">
        <v>100000</v>
      </c>
      <c r="AB324" s="72">
        <v>100000</v>
      </c>
      <c r="AC324" s="72"/>
      <c r="AD324" s="77"/>
      <c r="AE324" s="75"/>
      <c r="AF324" s="75"/>
      <c r="AG324" s="75"/>
      <c r="AH324" s="75"/>
      <c r="AI324" s="75"/>
      <c r="AJ324" s="75">
        <v>0</v>
      </c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19" t="s">
        <v>155</v>
      </c>
      <c r="AX324" s="19" t="s">
        <v>61</v>
      </c>
      <c r="AY324" s="19" t="s">
        <v>261</v>
      </c>
      <c r="AZ324" s="20" t="s">
        <v>167</v>
      </c>
      <c r="BA324" s="19" t="s">
        <v>168</v>
      </c>
      <c r="BB324" s="19" t="s">
        <v>326</v>
      </c>
      <c r="BC324" s="19" t="s">
        <v>327</v>
      </c>
      <c r="BD324" s="19"/>
      <c r="BE324" s="19"/>
      <c r="BF324" s="19"/>
      <c r="BG324" s="24">
        <v>1</v>
      </c>
      <c r="BH324" s="30"/>
      <c r="BI324" s="38">
        <v>45047</v>
      </c>
      <c r="BJ324" s="38">
        <v>45047</v>
      </c>
      <c r="BK324" s="38">
        <v>45061</v>
      </c>
      <c r="BL324" s="38">
        <v>45064</v>
      </c>
      <c r="BM324" s="38">
        <v>45078</v>
      </c>
      <c r="BN324" s="37"/>
      <c r="BO324" s="36">
        <v>3</v>
      </c>
      <c r="BP324" s="27">
        <f t="shared" si="116"/>
        <v>20000</v>
      </c>
      <c r="BQ324" s="27">
        <f t="shared" si="117"/>
        <v>20000</v>
      </c>
      <c r="BR324" s="27">
        <f t="shared" si="118"/>
        <v>20000</v>
      </c>
      <c r="BS324" s="27">
        <f t="shared" si="113"/>
        <v>0</v>
      </c>
      <c r="BT324" s="28">
        <f t="shared" si="114"/>
        <v>0</v>
      </c>
      <c r="BU324" s="28">
        <f t="shared" si="120"/>
        <v>0</v>
      </c>
      <c r="BV324" s="28">
        <f t="shared" si="121"/>
        <v>0</v>
      </c>
      <c r="BW324" s="28">
        <f t="shared" si="122"/>
        <v>0</v>
      </c>
    </row>
    <row r="325" spans="1:75" ht="17.399999999999999" x14ac:dyDescent="0.25">
      <c r="A325" s="69">
        <f t="shared" si="109"/>
        <v>324</v>
      </c>
      <c r="B325" s="78" t="s">
        <v>309</v>
      </c>
      <c r="C325" s="71" t="s">
        <v>243</v>
      </c>
      <c r="D325" s="79" t="s">
        <v>184</v>
      </c>
      <c r="E325" s="71" t="s">
        <v>103</v>
      </c>
      <c r="F325" s="71"/>
      <c r="G325" s="79" t="s">
        <v>271</v>
      </c>
      <c r="H325" s="71" t="s">
        <v>272</v>
      </c>
      <c r="I325" s="71" t="str">
        <f>VLOOKUP(H325,[1]Sheet1!$C:$C,1,0)</f>
        <v>SC2434SO-N-CI-10CR-2434</v>
      </c>
      <c r="J325" s="79"/>
      <c r="K325" s="79"/>
      <c r="L325" s="79" t="s">
        <v>165</v>
      </c>
      <c r="M325" s="72"/>
      <c r="N325" s="71" t="s">
        <v>113</v>
      </c>
      <c r="O325" s="79"/>
      <c r="P325" s="79"/>
      <c r="Q325" s="83"/>
      <c r="R325" s="101">
        <v>0.3</v>
      </c>
      <c r="S325" s="75">
        <f t="shared" si="111"/>
        <v>0</v>
      </c>
      <c r="T325" s="76">
        <v>900</v>
      </c>
      <c r="U325" s="76">
        <f t="shared" si="119"/>
        <v>0</v>
      </c>
      <c r="V325" s="72">
        <v>3000</v>
      </c>
      <c r="W325" s="72">
        <v>3000</v>
      </c>
      <c r="X325" s="72">
        <v>3000</v>
      </c>
      <c r="Y325" s="72">
        <v>3000</v>
      </c>
      <c r="Z325" s="72">
        <v>3000</v>
      </c>
      <c r="AA325" s="81"/>
      <c r="AB325" s="81"/>
      <c r="AC325" s="81"/>
      <c r="AD325" s="77"/>
      <c r="AE325" s="75"/>
      <c r="AF325" s="75"/>
      <c r="AG325" s="75"/>
      <c r="AH325" s="75"/>
      <c r="AI325" s="75"/>
      <c r="AJ325" s="75">
        <v>0</v>
      </c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10" t="s">
        <v>155</v>
      </c>
      <c r="AX325" s="10" t="s">
        <v>61</v>
      </c>
      <c r="AY325" s="19" t="s">
        <v>261</v>
      </c>
      <c r="AZ325" s="10" t="s">
        <v>167</v>
      </c>
      <c r="BA325" s="10" t="s">
        <v>168</v>
      </c>
      <c r="BB325" s="10" t="s">
        <v>169</v>
      </c>
      <c r="BC325" s="10" t="s">
        <v>336</v>
      </c>
      <c r="BD325" s="10"/>
      <c r="BE325" s="10"/>
      <c r="BF325" s="10"/>
      <c r="BG325" s="13">
        <v>3</v>
      </c>
      <c r="BH325" s="32"/>
      <c r="BI325" s="39"/>
      <c r="BJ325" s="39"/>
      <c r="BK325" s="39"/>
      <c r="BL325" s="39"/>
      <c r="BM325" s="39"/>
      <c r="BN325" s="35"/>
      <c r="BO325" s="34"/>
      <c r="BP325" s="16">
        <f t="shared" si="116"/>
        <v>900</v>
      </c>
      <c r="BQ325" s="16">
        <f t="shared" si="117"/>
        <v>0</v>
      </c>
      <c r="BR325" s="16">
        <f t="shared" si="118"/>
        <v>0</v>
      </c>
      <c r="BS325" s="16">
        <f t="shared" si="113"/>
        <v>0</v>
      </c>
      <c r="BT325" s="17">
        <f t="shared" si="114"/>
        <v>0</v>
      </c>
      <c r="BU325" s="28">
        <f t="shared" si="120"/>
        <v>0</v>
      </c>
      <c r="BV325" s="28">
        <f t="shared" si="121"/>
        <v>0</v>
      </c>
      <c r="BW325" s="28">
        <f t="shared" si="122"/>
        <v>0</v>
      </c>
    </row>
    <row r="326" spans="1:75" ht="17.399999999999999" x14ac:dyDescent="0.25">
      <c r="A326" s="69">
        <f t="shared" si="109"/>
        <v>325</v>
      </c>
      <c r="B326" s="73" t="s">
        <v>174</v>
      </c>
      <c r="C326" s="71" t="s">
        <v>243</v>
      </c>
      <c r="D326" s="71" t="s">
        <v>175</v>
      </c>
      <c r="E326" s="71" t="s">
        <v>103</v>
      </c>
      <c r="F326" s="71"/>
      <c r="G326" s="71" t="s">
        <v>337</v>
      </c>
      <c r="H326" s="71" t="s">
        <v>338</v>
      </c>
      <c r="I326" s="71" t="str">
        <f>VLOOKUP(H326,[1]Sheet1!$C:$C,1,0)</f>
        <v>SC2443SO-Q-DB-60CR-2443</v>
      </c>
      <c r="J326" s="71"/>
      <c r="K326" s="71"/>
      <c r="L326" s="79" t="s">
        <v>176</v>
      </c>
      <c r="M326" s="72"/>
      <c r="N326" s="72" t="s">
        <v>60</v>
      </c>
      <c r="O326" s="73"/>
      <c r="P326" s="79" t="s">
        <v>95</v>
      </c>
      <c r="Q326" s="83"/>
      <c r="R326" s="100">
        <v>0.53</v>
      </c>
      <c r="S326" s="75">
        <f t="shared" si="111"/>
        <v>1590</v>
      </c>
      <c r="T326" s="76">
        <v>4770</v>
      </c>
      <c r="U326" s="76">
        <f t="shared" si="119"/>
        <v>3000</v>
      </c>
      <c r="V326" s="72">
        <v>3000</v>
      </c>
      <c r="W326" s="72">
        <v>3000</v>
      </c>
      <c r="X326" s="72">
        <v>3000</v>
      </c>
      <c r="Y326" s="72">
        <v>3000</v>
      </c>
      <c r="Z326" s="72">
        <v>3000</v>
      </c>
      <c r="AA326" s="72"/>
      <c r="AB326" s="72"/>
      <c r="AC326" s="72">
        <v>3000</v>
      </c>
      <c r="AD326" s="77"/>
      <c r="AE326" s="75">
        <v>3000</v>
      </c>
      <c r="AF326" s="75"/>
      <c r="AG326" s="75"/>
      <c r="AH326" s="75">
        <v>3000</v>
      </c>
      <c r="AI326" s="75"/>
      <c r="AJ326" s="75">
        <v>0</v>
      </c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19"/>
      <c r="AX326" s="19" t="s">
        <v>61</v>
      </c>
      <c r="AY326" s="19" t="s">
        <v>261</v>
      </c>
      <c r="AZ326" s="30" t="s">
        <v>62</v>
      </c>
      <c r="BA326" s="30" t="s">
        <v>86</v>
      </c>
      <c r="BB326" s="19" t="s">
        <v>87</v>
      </c>
      <c r="BC326" s="30" t="s">
        <v>88</v>
      </c>
      <c r="BD326" s="19"/>
      <c r="BE326" s="19"/>
      <c r="BF326" s="19"/>
      <c r="BG326" s="24"/>
      <c r="BH326" s="19"/>
      <c r="BI326" s="19"/>
      <c r="BJ326" s="19"/>
      <c r="BK326" s="19"/>
      <c r="BL326" s="19"/>
      <c r="BM326" s="19"/>
      <c r="BN326" s="18"/>
      <c r="BO326" s="18"/>
      <c r="BP326" s="27">
        <f t="shared" si="116"/>
        <v>1590</v>
      </c>
      <c r="BQ326" s="27">
        <f t="shared" si="117"/>
        <v>0</v>
      </c>
      <c r="BR326" s="27">
        <f t="shared" si="118"/>
        <v>0</v>
      </c>
      <c r="BS326" s="27">
        <f t="shared" si="113"/>
        <v>1590</v>
      </c>
      <c r="BT326" s="28">
        <f t="shared" si="114"/>
        <v>0</v>
      </c>
      <c r="BU326" s="28">
        <f t="shared" si="120"/>
        <v>1590</v>
      </c>
      <c r="BV326" s="28">
        <f t="shared" si="121"/>
        <v>0</v>
      </c>
      <c r="BW326" s="28">
        <f t="shared" si="122"/>
        <v>0</v>
      </c>
    </row>
    <row r="327" spans="1:75" ht="17.399999999999999" x14ac:dyDescent="0.25">
      <c r="A327" s="69">
        <f t="shared" si="109"/>
        <v>326</v>
      </c>
      <c r="B327" s="73" t="s">
        <v>177</v>
      </c>
      <c r="C327" s="71" t="s">
        <v>243</v>
      </c>
      <c r="D327" s="71" t="s">
        <v>175</v>
      </c>
      <c r="E327" s="71" t="s">
        <v>103</v>
      </c>
      <c r="F327" s="71"/>
      <c r="G327" s="71" t="s">
        <v>275</v>
      </c>
      <c r="H327" s="71" t="s">
        <v>276</v>
      </c>
      <c r="I327" s="71" t="str">
        <f>VLOOKUP(H327,[1]Sheet1!$C:$C,1,0)</f>
        <v>SC2064SO-GC-00NR-2064</v>
      </c>
      <c r="J327" s="71"/>
      <c r="K327" s="71"/>
      <c r="L327" s="79" t="s">
        <v>178</v>
      </c>
      <c r="M327" s="72"/>
      <c r="N327" s="72" t="s">
        <v>60</v>
      </c>
      <c r="O327" s="73"/>
      <c r="P327" s="79" t="s">
        <v>95</v>
      </c>
      <c r="Q327" s="83"/>
      <c r="R327" s="100">
        <v>0.16</v>
      </c>
      <c r="S327" s="75">
        <f t="shared" si="111"/>
        <v>1440</v>
      </c>
      <c r="T327" s="76">
        <v>3840</v>
      </c>
      <c r="U327" s="76">
        <f t="shared" si="119"/>
        <v>9000</v>
      </c>
      <c r="V327" s="72">
        <v>3000</v>
      </c>
      <c r="W327" s="72">
        <v>3000</v>
      </c>
      <c r="X327" s="72">
        <v>3000</v>
      </c>
      <c r="Y327" s="72">
        <v>3000</v>
      </c>
      <c r="Z327" s="72">
        <v>3000</v>
      </c>
      <c r="AA327" s="72">
        <v>3000</v>
      </c>
      <c r="AB327" s="72">
        <v>3000</v>
      </c>
      <c r="AC327" s="72">
        <v>3000</v>
      </c>
      <c r="AD327" s="77">
        <v>3000</v>
      </c>
      <c r="AE327" s="75">
        <v>3000</v>
      </c>
      <c r="AF327" s="75">
        <v>3000</v>
      </c>
      <c r="AG327" s="75">
        <v>3000</v>
      </c>
      <c r="AH327" s="75"/>
      <c r="AI327" s="75"/>
      <c r="AJ327" s="75">
        <v>0</v>
      </c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0"/>
      <c r="AX327" s="10" t="s">
        <v>61</v>
      </c>
      <c r="AY327" s="19" t="s">
        <v>261</v>
      </c>
      <c r="AZ327" s="10" t="s">
        <v>167</v>
      </c>
      <c r="BA327" s="10" t="s">
        <v>179</v>
      </c>
      <c r="BB327" s="10" t="s">
        <v>180</v>
      </c>
      <c r="BC327" s="10"/>
      <c r="BD327" s="10"/>
      <c r="BE327" s="10"/>
      <c r="BF327" s="10"/>
      <c r="BG327" s="13"/>
      <c r="BH327" s="10"/>
      <c r="BI327" s="10"/>
      <c r="BJ327" s="10"/>
      <c r="BK327" s="10"/>
      <c r="BL327" s="10"/>
      <c r="BM327" s="10"/>
      <c r="BN327" s="9"/>
      <c r="BO327" s="9"/>
      <c r="BP327" s="16">
        <f t="shared" si="116"/>
        <v>480</v>
      </c>
      <c r="BQ327" s="16">
        <f t="shared" si="117"/>
        <v>480</v>
      </c>
      <c r="BR327" s="16">
        <f t="shared" si="118"/>
        <v>480</v>
      </c>
      <c r="BS327" s="16">
        <f t="shared" si="113"/>
        <v>480</v>
      </c>
      <c r="BT327" s="17">
        <f t="shared" si="114"/>
        <v>480</v>
      </c>
      <c r="BU327" s="28">
        <f t="shared" si="120"/>
        <v>480</v>
      </c>
      <c r="BV327" s="28">
        <f t="shared" si="121"/>
        <v>480</v>
      </c>
      <c r="BW327" s="28">
        <f t="shared" si="122"/>
        <v>480</v>
      </c>
    </row>
    <row r="328" spans="1:75" ht="17.399999999999999" x14ac:dyDescent="0.25">
      <c r="A328" s="69">
        <f t="shared" si="109"/>
        <v>327</v>
      </c>
      <c r="B328" s="73" t="s">
        <v>181</v>
      </c>
      <c r="C328" s="71" t="s">
        <v>243</v>
      </c>
      <c r="D328" s="71" t="s">
        <v>175</v>
      </c>
      <c r="E328" s="71" t="s">
        <v>103</v>
      </c>
      <c r="F328" s="71"/>
      <c r="G328" s="71" t="s">
        <v>339</v>
      </c>
      <c r="H328" s="71" t="s">
        <v>340</v>
      </c>
      <c r="I328" s="71" t="str">
        <f>VLOOKUP(H328,[1]Sheet1!$C:$C,1,0)</f>
        <v>SC1245SO-N-CD-00NR-1245</v>
      </c>
      <c r="J328" s="71"/>
      <c r="K328" s="71"/>
      <c r="L328" s="79" t="s">
        <v>168</v>
      </c>
      <c r="M328" s="72"/>
      <c r="N328" s="71" t="s">
        <v>113</v>
      </c>
      <c r="O328" s="73" t="s">
        <v>182</v>
      </c>
      <c r="P328" s="79" t="s">
        <v>95</v>
      </c>
      <c r="Q328" s="83"/>
      <c r="R328" s="100">
        <v>0.4</v>
      </c>
      <c r="S328" s="75">
        <f t="shared" si="111"/>
        <v>0</v>
      </c>
      <c r="T328" s="76">
        <v>0</v>
      </c>
      <c r="U328" s="76">
        <f t="shared" si="119"/>
        <v>0</v>
      </c>
      <c r="V328" s="72"/>
      <c r="W328" s="72"/>
      <c r="X328" s="72"/>
      <c r="Y328" s="72"/>
      <c r="Z328" s="71"/>
      <c r="AA328" s="72"/>
      <c r="AB328" s="72"/>
      <c r="AC328" s="72"/>
      <c r="AD328" s="77"/>
      <c r="AE328" s="75"/>
      <c r="AF328" s="75"/>
      <c r="AG328" s="75"/>
      <c r="AH328" s="75">
        <v>0</v>
      </c>
      <c r="AI328" s="75"/>
      <c r="AJ328" s="75">
        <v>0</v>
      </c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19"/>
      <c r="AX328" s="19" t="s">
        <v>61</v>
      </c>
      <c r="AY328" s="19" t="s">
        <v>261</v>
      </c>
      <c r="AZ328" s="19" t="s">
        <v>167</v>
      </c>
      <c r="BA328" s="19" t="s">
        <v>168</v>
      </c>
      <c r="BB328" s="19" t="s">
        <v>169</v>
      </c>
      <c r="BC328" s="19"/>
      <c r="BD328" s="19"/>
      <c r="BE328" s="19"/>
      <c r="BF328" s="19"/>
      <c r="BG328" s="24">
        <v>3</v>
      </c>
      <c r="BH328" s="19"/>
      <c r="BI328" s="19"/>
      <c r="BJ328" s="19"/>
      <c r="BK328" s="19"/>
      <c r="BL328" s="19"/>
      <c r="BM328" s="19"/>
      <c r="BN328" s="18"/>
      <c r="BO328" s="18"/>
      <c r="BP328" s="27">
        <f t="shared" si="116"/>
        <v>0</v>
      </c>
      <c r="BQ328" s="27">
        <f t="shared" si="117"/>
        <v>0</v>
      </c>
      <c r="BR328" s="27">
        <f t="shared" si="118"/>
        <v>0</v>
      </c>
      <c r="BS328" s="27">
        <f t="shared" si="113"/>
        <v>0</v>
      </c>
      <c r="BT328" s="28">
        <f t="shared" si="114"/>
        <v>0</v>
      </c>
      <c r="BU328" s="28">
        <f t="shared" si="120"/>
        <v>0</v>
      </c>
      <c r="BV328" s="28">
        <f t="shared" si="121"/>
        <v>0</v>
      </c>
      <c r="BW328" s="28">
        <f t="shared" si="122"/>
        <v>0</v>
      </c>
    </row>
    <row r="329" spans="1:75" ht="17.399999999999999" x14ac:dyDescent="0.25">
      <c r="A329" s="69">
        <f t="shared" si="109"/>
        <v>328</v>
      </c>
      <c r="B329" s="79" t="s">
        <v>341</v>
      </c>
      <c r="C329" s="71" t="s">
        <v>243</v>
      </c>
      <c r="D329" s="79" t="s">
        <v>184</v>
      </c>
      <c r="E329" s="71" t="s">
        <v>103</v>
      </c>
      <c r="F329" s="71"/>
      <c r="G329" s="79" t="s">
        <v>337</v>
      </c>
      <c r="H329" s="71" t="s">
        <v>338</v>
      </c>
      <c r="I329" s="71" t="str">
        <f>VLOOKUP(H329,[1]Sheet1!$C:$C,1,0)</f>
        <v>SC2443SO-Q-DB-60CR-2443</v>
      </c>
      <c r="J329" s="79"/>
      <c r="K329" s="79"/>
      <c r="L329" s="79" t="s">
        <v>342</v>
      </c>
      <c r="M329" s="72"/>
      <c r="N329" s="71" t="s">
        <v>113</v>
      </c>
      <c r="O329" s="79" t="s">
        <v>343</v>
      </c>
      <c r="P329" s="79" t="s">
        <v>95</v>
      </c>
      <c r="Q329" s="83"/>
      <c r="R329" s="101">
        <v>0.45</v>
      </c>
      <c r="S329" s="75">
        <f t="shared" si="111"/>
        <v>0</v>
      </c>
      <c r="T329" s="76">
        <v>0</v>
      </c>
      <c r="U329" s="76">
        <f t="shared" si="119"/>
        <v>0</v>
      </c>
      <c r="V329" s="72">
        <v>50000</v>
      </c>
      <c r="W329" s="72"/>
      <c r="X329" s="72"/>
      <c r="Y329" s="72"/>
      <c r="Z329" s="72"/>
      <c r="AA329" s="81"/>
      <c r="AB329" s="81"/>
      <c r="AC329" s="81"/>
      <c r="AD329" s="77"/>
      <c r="AE329" s="75"/>
      <c r="AF329" s="75"/>
      <c r="AG329" s="75"/>
      <c r="AH329" s="75"/>
      <c r="AI329" s="75"/>
      <c r="AJ329" s="75">
        <v>0</v>
      </c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10" t="s">
        <v>155</v>
      </c>
      <c r="AX329" s="10" t="s">
        <v>61</v>
      </c>
      <c r="AY329" s="19" t="s">
        <v>261</v>
      </c>
      <c r="AZ329" s="32" t="s">
        <v>62</v>
      </c>
      <c r="BA329" s="32" t="s">
        <v>86</v>
      </c>
      <c r="BB329" s="10" t="s">
        <v>87</v>
      </c>
      <c r="BC329" s="32" t="s">
        <v>88</v>
      </c>
      <c r="BD329" s="10"/>
      <c r="BE329" s="10"/>
      <c r="BF329" s="10"/>
      <c r="BG329" s="13">
        <v>3</v>
      </c>
      <c r="BH329" s="32"/>
      <c r="BI329" s="39">
        <v>44986</v>
      </c>
      <c r="BJ329" s="39">
        <v>44986</v>
      </c>
      <c r="BK329" s="39">
        <v>45170</v>
      </c>
      <c r="BL329" s="39">
        <v>45241</v>
      </c>
      <c r="BM329" s="39"/>
      <c r="BN329" s="35"/>
      <c r="BO329" s="34">
        <v>3</v>
      </c>
      <c r="BP329" s="16">
        <f t="shared" si="116"/>
        <v>0</v>
      </c>
      <c r="BQ329" s="16">
        <f t="shared" si="117"/>
        <v>0</v>
      </c>
      <c r="BR329" s="16">
        <f t="shared" si="118"/>
        <v>0</v>
      </c>
      <c r="BS329" s="16">
        <f t="shared" si="113"/>
        <v>0</v>
      </c>
      <c r="BT329" s="17">
        <f t="shared" si="114"/>
        <v>0</v>
      </c>
      <c r="BU329" s="28">
        <f t="shared" si="120"/>
        <v>0</v>
      </c>
      <c r="BV329" s="28">
        <f t="shared" si="121"/>
        <v>0</v>
      </c>
      <c r="BW329" s="28">
        <f t="shared" si="122"/>
        <v>0</v>
      </c>
    </row>
    <row r="330" spans="1:75" ht="17.399999999999999" x14ac:dyDescent="0.25">
      <c r="A330" s="69">
        <f t="shared" si="109"/>
        <v>329</v>
      </c>
      <c r="B330" s="71" t="s">
        <v>344</v>
      </c>
      <c r="C330" s="71" t="s">
        <v>243</v>
      </c>
      <c r="D330" s="71" t="s">
        <v>184</v>
      </c>
      <c r="E330" s="71" t="s">
        <v>103</v>
      </c>
      <c r="F330" s="71"/>
      <c r="G330" s="78" t="s">
        <v>322</v>
      </c>
      <c r="H330" s="71" t="s">
        <v>323</v>
      </c>
      <c r="I330" s="71" t="str">
        <f>VLOOKUP(H330,[1]Sheet1!$C:$C,1,0)</f>
        <v>SC2442UA-CP-10AK-U18</v>
      </c>
      <c r="J330" s="78"/>
      <c r="K330" s="78"/>
      <c r="L330" s="71" t="s">
        <v>345</v>
      </c>
      <c r="M330" s="72"/>
      <c r="N330" s="71" t="s">
        <v>49</v>
      </c>
      <c r="O330" s="71"/>
      <c r="P330" s="71"/>
      <c r="Q330" s="71"/>
      <c r="R330" s="100">
        <v>0.45</v>
      </c>
      <c r="S330" s="75">
        <f t="shared" si="111"/>
        <v>0</v>
      </c>
      <c r="T330" s="76">
        <v>0</v>
      </c>
      <c r="U330" s="76">
        <f t="shared" si="119"/>
        <v>0</v>
      </c>
      <c r="V330" s="72"/>
      <c r="W330" s="72"/>
      <c r="X330" s="72"/>
      <c r="Y330" s="72"/>
      <c r="Z330" s="72"/>
      <c r="AA330" s="71"/>
      <c r="AB330" s="71"/>
      <c r="AC330" s="71"/>
      <c r="AD330" s="77"/>
      <c r="AE330" s="75"/>
      <c r="AF330" s="75"/>
      <c r="AG330" s="75"/>
      <c r="AH330" s="75"/>
      <c r="AI330" s="75"/>
      <c r="AJ330" s="75">
        <v>0</v>
      </c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 t="s">
        <v>155</v>
      </c>
      <c r="AX330" s="19" t="s">
        <v>61</v>
      </c>
      <c r="AY330" s="19" t="s">
        <v>261</v>
      </c>
      <c r="AZ330" s="20" t="s">
        <v>167</v>
      </c>
      <c r="BA330" s="19" t="s">
        <v>346</v>
      </c>
      <c r="BB330" s="19" t="s">
        <v>347</v>
      </c>
      <c r="BC330" s="19"/>
      <c r="BD330" s="19"/>
      <c r="BE330" s="19"/>
      <c r="BF330" s="19"/>
      <c r="BG330" s="19">
        <v>3</v>
      </c>
      <c r="BH330" s="19"/>
      <c r="BI330" s="19"/>
      <c r="BJ330" s="19"/>
      <c r="BK330" s="19"/>
      <c r="BL330" s="19"/>
      <c r="BM330" s="19"/>
      <c r="BN330" s="19"/>
      <c r="BO330" s="19"/>
      <c r="BP330" s="27">
        <f t="shared" si="116"/>
        <v>0</v>
      </c>
      <c r="BQ330" s="27">
        <f t="shared" si="117"/>
        <v>0</v>
      </c>
      <c r="BR330" s="27">
        <f t="shared" si="118"/>
        <v>0</v>
      </c>
      <c r="BS330" s="27">
        <f t="shared" si="113"/>
        <v>0</v>
      </c>
      <c r="BT330" s="28">
        <f t="shared" si="114"/>
        <v>0</v>
      </c>
      <c r="BU330" s="28">
        <f t="shared" si="120"/>
        <v>0</v>
      </c>
      <c r="BV330" s="28">
        <f t="shared" si="121"/>
        <v>0</v>
      </c>
      <c r="BW330" s="28">
        <f t="shared" si="122"/>
        <v>0</v>
      </c>
    </row>
    <row r="331" spans="1:75" ht="17.399999999999999" x14ac:dyDescent="0.25">
      <c r="A331" s="69">
        <f t="shared" si="109"/>
        <v>330</v>
      </c>
      <c r="B331" s="79" t="s">
        <v>183</v>
      </c>
      <c r="C331" s="78" t="s">
        <v>290</v>
      </c>
      <c r="D331" s="79" t="s">
        <v>184</v>
      </c>
      <c r="E331" s="71" t="s">
        <v>103</v>
      </c>
      <c r="F331" s="71"/>
      <c r="G331" s="71" t="s">
        <v>164</v>
      </c>
      <c r="H331" s="71" t="s">
        <v>300</v>
      </c>
      <c r="I331" s="71" t="str">
        <f>VLOOKUP(H331,[1]Sheet1!$C:$C,1,0)</f>
        <v>SC2466SO-CO-10CR-2466</v>
      </c>
      <c r="J331" s="71"/>
      <c r="K331" s="71"/>
      <c r="L331" s="79" t="s">
        <v>165</v>
      </c>
      <c r="M331" s="72"/>
      <c r="N331" s="71" t="s">
        <v>110</v>
      </c>
      <c r="O331" s="73" t="s">
        <v>348</v>
      </c>
      <c r="P331" s="79" t="s">
        <v>95</v>
      </c>
      <c r="Q331" s="83"/>
      <c r="R331" s="100">
        <v>0.28000000000000003</v>
      </c>
      <c r="S331" s="75">
        <f t="shared" si="111"/>
        <v>14000.000000000002</v>
      </c>
      <c r="T331" s="76">
        <v>42000.000000000007</v>
      </c>
      <c r="U331" s="76">
        <f t="shared" si="119"/>
        <v>50000</v>
      </c>
      <c r="V331" s="72"/>
      <c r="W331" s="72"/>
      <c r="X331" s="72"/>
      <c r="Y331" s="72">
        <v>100000</v>
      </c>
      <c r="Z331" s="72"/>
      <c r="AA331" s="72"/>
      <c r="AB331" s="72">
        <v>50000</v>
      </c>
      <c r="AC331" s="72"/>
      <c r="AD331" s="77">
        <v>50000</v>
      </c>
      <c r="AE331" s="75"/>
      <c r="AF331" s="75"/>
      <c r="AG331" s="75">
        <v>50000</v>
      </c>
      <c r="AH331" s="75"/>
      <c r="AI331" s="75">
        <v>50000</v>
      </c>
      <c r="AJ331" s="75">
        <v>50000</v>
      </c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0"/>
      <c r="AX331" s="10" t="s">
        <v>61</v>
      </c>
      <c r="AY331" s="19" t="s">
        <v>261</v>
      </c>
      <c r="AZ331" s="10" t="s">
        <v>167</v>
      </c>
      <c r="BA331" s="10" t="s">
        <v>168</v>
      </c>
      <c r="BB331" s="10" t="s">
        <v>169</v>
      </c>
      <c r="BC331" s="10"/>
      <c r="BD331" s="10"/>
      <c r="BE331" s="10"/>
      <c r="BF331" s="10"/>
      <c r="BG331" s="13">
        <v>4</v>
      </c>
      <c r="BH331" s="10"/>
      <c r="BI331" s="10"/>
      <c r="BJ331" s="10"/>
      <c r="BK331" s="10"/>
      <c r="BL331" s="10"/>
      <c r="BM331" s="10"/>
      <c r="BN331" s="9"/>
      <c r="BO331" s="9"/>
      <c r="BP331" s="16">
        <f t="shared" si="116"/>
        <v>0</v>
      </c>
      <c r="BQ331" s="16">
        <f t="shared" si="117"/>
        <v>0</v>
      </c>
      <c r="BR331" s="16">
        <f t="shared" si="118"/>
        <v>14000.000000000002</v>
      </c>
      <c r="BS331" s="16">
        <f t="shared" si="113"/>
        <v>0</v>
      </c>
      <c r="BT331" s="17">
        <f t="shared" si="114"/>
        <v>14000.000000000002</v>
      </c>
      <c r="BU331" s="28">
        <f t="shared" si="120"/>
        <v>0</v>
      </c>
      <c r="BV331" s="28">
        <f t="shared" si="121"/>
        <v>0</v>
      </c>
      <c r="BW331" s="28">
        <f t="shared" si="122"/>
        <v>14000.000000000002</v>
      </c>
    </row>
    <row r="332" spans="1:75" ht="17.399999999999999" x14ac:dyDescent="0.25">
      <c r="A332" s="69">
        <f t="shared" si="109"/>
        <v>331</v>
      </c>
      <c r="B332" s="79" t="s">
        <v>183</v>
      </c>
      <c r="C332" s="78" t="s">
        <v>290</v>
      </c>
      <c r="D332" s="79" t="s">
        <v>184</v>
      </c>
      <c r="E332" s="71" t="s">
        <v>103</v>
      </c>
      <c r="F332" s="71"/>
      <c r="G332" s="71" t="s">
        <v>349</v>
      </c>
      <c r="H332" s="71" t="s">
        <v>350</v>
      </c>
      <c r="I332" s="71" t="str">
        <f>VLOOKUP(H332,[1]Sheet1!$C:$C,1,0)</f>
        <v>SC2466SO-CO-10CR-2466</v>
      </c>
      <c r="J332" s="71"/>
      <c r="K332" s="71"/>
      <c r="L332" s="79" t="s">
        <v>165</v>
      </c>
      <c r="M332" s="72"/>
      <c r="N332" s="71"/>
      <c r="O332" s="73"/>
      <c r="P332" s="79"/>
      <c r="Q332" s="83"/>
      <c r="R332" s="100">
        <v>0.15</v>
      </c>
      <c r="S332" s="75">
        <f t="shared" si="111"/>
        <v>0</v>
      </c>
      <c r="T332" s="76">
        <v>0</v>
      </c>
      <c r="U332" s="76">
        <f t="shared" si="119"/>
        <v>0</v>
      </c>
      <c r="V332" s="72"/>
      <c r="W332" s="72"/>
      <c r="X332" s="72"/>
      <c r="Y332" s="72"/>
      <c r="Z332" s="72"/>
      <c r="AA332" s="72"/>
      <c r="AB332" s="72"/>
      <c r="AC332" s="72"/>
      <c r="AD332" s="77"/>
      <c r="AE332" s="75"/>
      <c r="AF332" s="75"/>
      <c r="AG332" s="75"/>
      <c r="AH332" s="75"/>
      <c r="AI332" s="75"/>
      <c r="AJ332" s="75">
        <v>0</v>
      </c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19"/>
      <c r="AX332" s="19" t="s">
        <v>61</v>
      </c>
      <c r="AY332" s="19" t="s">
        <v>261</v>
      </c>
      <c r="AZ332" s="19" t="s">
        <v>167</v>
      </c>
      <c r="BA332" s="19" t="s">
        <v>168</v>
      </c>
      <c r="BB332" s="19" t="s">
        <v>169</v>
      </c>
      <c r="BC332" s="19"/>
      <c r="BD332" s="19"/>
      <c r="BE332" s="19"/>
      <c r="BF332" s="19"/>
      <c r="BG332" s="24"/>
      <c r="BH332" s="19"/>
      <c r="BI332" s="19"/>
      <c r="BJ332" s="19"/>
      <c r="BK332" s="19"/>
      <c r="BL332" s="19"/>
      <c r="BM332" s="19"/>
      <c r="BN332" s="18"/>
      <c r="BO332" s="18"/>
      <c r="BP332" s="27">
        <f t="shared" si="116"/>
        <v>0</v>
      </c>
      <c r="BQ332" s="27">
        <f t="shared" si="117"/>
        <v>0</v>
      </c>
      <c r="BR332" s="27">
        <f t="shared" si="118"/>
        <v>0</v>
      </c>
      <c r="BS332" s="27">
        <f t="shared" si="113"/>
        <v>0</v>
      </c>
      <c r="BT332" s="28">
        <f t="shared" si="114"/>
        <v>0</v>
      </c>
      <c r="BU332" s="28">
        <f t="shared" si="120"/>
        <v>0</v>
      </c>
      <c r="BV332" s="28">
        <f t="shared" si="121"/>
        <v>0</v>
      </c>
      <c r="BW332" s="28">
        <f t="shared" si="122"/>
        <v>0</v>
      </c>
    </row>
    <row r="333" spans="1:75" ht="17.399999999999999" x14ac:dyDescent="0.25">
      <c r="A333" s="69">
        <f t="shared" si="109"/>
        <v>332</v>
      </c>
      <c r="B333" s="78" t="s">
        <v>351</v>
      </c>
      <c r="C333" s="71" t="s">
        <v>243</v>
      </c>
      <c r="D333" s="71" t="s">
        <v>184</v>
      </c>
      <c r="E333" s="71" t="s">
        <v>103</v>
      </c>
      <c r="F333" s="71"/>
      <c r="G333" s="71" t="s">
        <v>349</v>
      </c>
      <c r="H333" s="71" t="s">
        <v>300</v>
      </c>
      <c r="I333" s="71" t="str">
        <f>VLOOKUP(H333,[1]Sheet1!$C:$C,1,0)</f>
        <v>SC2466SO-CO-10CR-2466</v>
      </c>
      <c r="J333" s="71"/>
      <c r="K333" s="71"/>
      <c r="L333" s="79" t="s">
        <v>165</v>
      </c>
      <c r="M333" s="72"/>
      <c r="N333" s="71" t="s">
        <v>49</v>
      </c>
      <c r="O333" s="73"/>
      <c r="P333" s="79" t="s">
        <v>95</v>
      </c>
      <c r="Q333" s="83"/>
      <c r="R333" s="101">
        <v>0.4</v>
      </c>
      <c r="S333" s="75">
        <f t="shared" si="111"/>
        <v>0</v>
      </c>
      <c r="T333" s="76">
        <v>24000</v>
      </c>
      <c r="U333" s="76">
        <f t="shared" si="119"/>
        <v>0</v>
      </c>
      <c r="V333" s="72"/>
      <c r="W333" s="72">
        <v>45000</v>
      </c>
      <c r="X333" s="72">
        <v>15000</v>
      </c>
      <c r="Y333" s="72">
        <v>15000</v>
      </c>
      <c r="Z333" s="72">
        <v>15000</v>
      </c>
      <c r="AA333" s="72"/>
      <c r="AB333" s="72">
        <v>15000</v>
      </c>
      <c r="AC333" s="72"/>
      <c r="AD333" s="77"/>
      <c r="AE333" s="75"/>
      <c r="AF333" s="75"/>
      <c r="AG333" s="75"/>
      <c r="AH333" s="75"/>
      <c r="AI333" s="75"/>
      <c r="AJ333" s="75">
        <v>0</v>
      </c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0"/>
      <c r="AX333" s="10" t="s">
        <v>61</v>
      </c>
      <c r="AY333" s="19" t="s">
        <v>261</v>
      </c>
      <c r="AZ333" s="10" t="s">
        <v>167</v>
      </c>
      <c r="BA333" s="10" t="s">
        <v>168</v>
      </c>
      <c r="BB333" s="10" t="s">
        <v>169</v>
      </c>
      <c r="BC333" s="10"/>
      <c r="BD333" s="10"/>
      <c r="BE333" s="10"/>
      <c r="BF333" s="10"/>
      <c r="BG333" s="13">
        <v>4</v>
      </c>
      <c r="BH333" s="10"/>
      <c r="BI333" s="10"/>
      <c r="BJ333" s="10"/>
      <c r="BK333" s="10"/>
      <c r="BL333" s="10"/>
      <c r="BM333" s="10"/>
      <c r="BN333" s="9"/>
      <c r="BO333" s="9"/>
      <c r="BP333" s="16">
        <f t="shared" si="116"/>
        <v>6000</v>
      </c>
      <c r="BQ333" s="16">
        <f t="shared" si="117"/>
        <v>0</v>
      </c>
      <c r="BR333" s="16">
        <f t="shared" si="118"/>
        <v>6000</v>
      </c>
      <c r="BS333" s="16">
        <f t="shared" si="113"/>
        <v>0</v>
      </c>
      <c r="BT333" s="17">
        <f t="shared" si="114"/>
        <v>0</v>
      </c>
      <c r="BU333" s="28">
        <f t="shared" si="120"/>
        <v>0</v>
      </c>
      <c r="BV333" s="28">
        <f t="shared" si="121"/>
        <v>0</v>
      </c>
      <c r="BW333" s="28">
        <f t="shared" si="122"/>
        <v>0</v>
      </c>
    </row>
    <row r="334" spans="1:75" ht="17.399999999999999" x14ac:dyDescent="0.25">
      <c r="A334" s="69">
        <f t="shared" si="109"/>
        <v>333</v>
      </c>
      <c r="B334" s="78" t="s">
        <v>352</v>
      </c>
      <c r="C334" s="71" t="s">
        <v>243</v>
      </c>
      <c r="D334" s="71" t="s">
        <v>184</v>
      </c>
      <c r="E334" s="71" t="s">
        <v>103</v>
      </c>
      <c r="F334" s="71"/>
      <c r="G334" s="71" t="s">
        <v>353</v>
      </c>
      <c r="H334" s="70" t="s">
        <v>354</v>
      </c>
      <c r="I334" s="71" t="str">
        <f>VLOOKUP(H334,[1]Sheet1!$C:$C,1,0)</f>
        <v>SC4001SE-CB-90CR-4001</v>
      </c>
      <c r="J334" s="71"/>
      <c r="K334" s="71"/>
      <c r="L334" s="79" t="s">
        <v>165</v>
      </c>
      <c r="M334" s="72"/>
      <c r="N334" s="71" t="s">
        <v>49</v>
      </c>
      <c r="O334" s="73"/>
      <c r="P334" s="79" t="s">
        <v>95</v>
      </c>
      <c r="Q334" s="83"/>
      <c r="R334" s="101">
        <v>0.3</v>
      </c>
      <c r="S334" s="75">
        <f t="shared" si="111"/>
        <v>0</v>
      </c>
      <c r="T334" s="76">
        <v>120000</v>
      </c>
      <c r="U334" s="76">
        <f t="shared" si="119"/>
        <v>0</v>
      </c>
      <c r="V334" s="72">
        <v>100000</v>
      </c>
      <c r="W334" s="72">
        <v>138000</v>
      </c>
      <c r="X334" s="72">
        <v>100000</v>
      </c>
      <c r="Y334" s="72">
        <v>100000</v>
      </c>
      <c r="Z334" s="72">
        <v>100000</v>
      </c>
      <c r="AA334" s="72"/>
      <c r="AB334" s="72">
        <v>100000</v>
      </c>
      <c r="AC334" s="72"/>
      <c r="AD334" s="77"/>
      <c r="AE334" s="75"/>
      <c r="AF334" s="75"/>
      <c r="AG334" s="75"/>
      <c r="AH334" s="75"/>
      <c r="AI334" s="75"/>
      <c r="AJ334" s="75">
        <v>0</v>
      </c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19"/>
      <c r="AX334" s="19" t="s">
        <v>61</v>
      </c>
      <c r="AY334" s="19" t="s">
        <v>261</v>
      </c>
      <c r="AZ334" s="19" t="s">
        <v>167</v>
      </c>
      <c r="BA334" s="19" t="s">
        <v>168</v>
      </c>
      <c r="BB334" s="19" t="s">
        <v>169</v>
      </c>
      <c r="BC334" s="19"/>
      <c r="BD334" s="19"/>
      <c r="BE334" s="19"/>
      <c r="BF334" s="19"/>
      <c r="BG334" s="24">
        <v>4</v>
      </c>
      <c r="BH334" s="19"/>
      <c r="BI334" s="19"/>
      <c r="BJ334" s="19"/>
      <c r="BK334" s="19"/>
      <c r="BL334" s="19"/>
      <c r="BM334" s="19"/>
      <c r="BN334" s="18"/>
      <c r="BO334" s="18"/>
      <c r="BP334" s="27">
        <f t="shared" si="116"/>
        <v>30000</v>
      </c>
      <c r="BQ334" s="27">
        <f t="shared" si="117"/>
        <v>0</v>
      </c>
      <c r="BR334" s="27">
        <f t="shared" si="118"/>
        <v>30000</v>
      </c>
      <c r="BS334" s="27">
        <f t="shared" si="113"/>
        <v>0</v>
      </c>
      <c r="BT334" s="28">
        <f t="shared" si="114"/>
        <v>0</v>
      </c>
      <c r="BU334" s="28">
        <f t="shared" si="120"/>
        <v>0</v>
      </c>
      <c r="BV334" s="28">
        <f t="shared" si="121"/>
        <v>0</v>
      </c>
      <c r="BW334" s="28">
        <f t="shared" si="122"/>
        <v>0</v>
      </c>
    </row>
    <row r="335" spans="1:75" ht="17.399999999999999" x14ac:dyDescent="0.25">
      <c r="A335" s="69">
        <f t="shared" si="109"/>
        <v>334</v>
      </c>
      <c r="B335" s="78" t="s">
        <v>355</v>
      </c>
      <c r="C335" s="71" t="s">
        <v>243</v>
      </c>
      <c r="D335" s="79" t="s">
        <v>356</v>
      </c>
      <c r="E335" s="71" t="s">
        <v>103</v>
      </c>
      <c r="F335" s="71"/>
      <c r="G335" s="79" t="s">
        <v>357</v>
      </c>
      <c r="H335" s="71" t="s">
        <v>358</v>
      </c>
      <c r="I335" s="71" t="str">
        <f>VLOOKUP(H335,[1]Sheet1!$C:$C,1,0)</f>
        <v>SC2442SO-N-CP-10CR-2442</v>
      </c>
      <c r="J335" s="79"/>
      <c r="K335" s="79"/>
      <c r="L335" s="79" t="s">
        <v>165</v>
      </c>
      <c r="M335" s="72"/>
      <c r="N335" s="71" t="s">
        <v>113</v>
      </c>
      <c r="O335" s="73"/>
      <c r="P335" s="79" t="s">
        <v>95</v>
      </c>
      <c r="Q335" s="83"/>
      <c r="R335" s="101">
        <v>0.4</v>
      </c>
      <c r="S335" s="75">
        <f t="shared" si="111"/>
        <v>0</v>
      </c>
      <c r="T335" s="76">
        <v>48000</v>
      </c>
      <c r="U335" s="76">
        <f t="shared" si="119"/>
        <v>0</v>
      </c>
      <c r="V335" s="72">
        <v>30000</v>
      </c>
      <c r="W335" s="72">
        <v>30000</v>
      </c>
      <c r="X335" s="72">
        <v>30000</v>
      </c>
      <c r="Y335" s="72">
        <v>30000</v>
      </c>
      <c r="Z335" s="72">
        <v>30000</v>
      </c>
      <c r="AA335" s="72"/>
      <c r="AB335" s="72"/>
      <c r="AC335" s="72"/>
      <c r="AD335" s="77"/>
      <c r="AE335" s="75"/>
      <c r="AF335" s="75"/>
      <c r="AG335" s="75"/>
      <c r="AH335" s="75"/>
      <c r="AI335" s="75"/>
      <c r="AJ335" s="75">
        <v>0</v>
      </c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0"/>
      <c r="AX335" s="10" t="s">
        <v>61</v>
      </c>
      <c r="AY335" s="19" t="s">
        <v>261</v>
      </c>
      <c r="AZ335" s="10" t="s">
        <v>167</v>
      </c>
      <c r="BA335" s="10" t="s">
        <v>168</v>
      </c>
      <c r="BB335" s="10" t="s">
        <v>169</v>
      </c>
      <c r="BC335" s="10"/>
      <c r="BD335" s="10"/>
      <c r="BE335" s="10"/>
      <c r="BF335" s="10"/>
      <c r="BG335" s="13">
        <v>4</v>
      </c>
      <c r="BH335" s="10"/>
      <c r="BI335" s="10"/>
      <c r="BJ335" s="10"/>
      <c r="BK335" s="10"/>
      <c r="BL335" s="10"/>
      <c r="BM335" s="10"/>
      <c r="BN335" s="9"/>
      <c r="BO335" s="9"/>
      <c r="BP335" s="16">
        <f t="shared" si="116"/>
        <v>12000</v>
      </c>
      <c r="BQ335" s="16">
        <f t="shared" si="117"/>
        <v>0</v>
      </c>
      <c r="BR335" s="16">
        <f t="shared" si="118"/>
        <v>0</v>
      </c>
      <c r="BS335" s="16">
        <f t="shared" si="113"/>
        <v>0</v>
      </c>
      <c r="BT335" s="17">
        <f t="shared" si="114"/>
        <v>0</v>
      </c>
      <c r="BU335" s="28">
        <f t="shared" si="120"/>
        <v>0</v>
      </c>
      <c r="BV335" s="28">
        <f t="shared" si="121"/>
        <v>0</v>
      </c>
      <c r="BW335" s="28">
        <f t="shared" si="122"/>
        <v>0</v>
      </c>
    </row>
    <row r="336" spans="1:75" ht="17.399999999999999" x14ac:dyDescent="0.25">
      <c r="A336" s="69">
        <f t="shared" si="109"/>
        <v>335</v>
      </c>
      <c r="B336" s="78" t="s">
        <v>359</v>
      </c>
      <c r="C336" s="71" t="s">
        <v>243</v>
      </c>
      <c r="D336" s="78" t="s">
        <v>356</v>
      </c>
      <c r="E336" s="78" t="s">
        <v>236</v>
      </c>
      <c r="F336" s="78"/>
      <c r="G336" s="79" t="s">
        <v>273</v>
      </c>
      <c r="H336" s="71" t="s">
        <v>274</v>
      </c>
      <c r="I336" s="71" t="str">
        <f>VLOOKUP(H336,[1]Sheet1!$C:$C,1,0)</f>
        <v>SC2402SO-N-CJ-90NR-2402</v>
      </c>
      <c r="J336" s="79"/>
      <c r="K336" s="79"/>
      <c r="L336" s="78" t="s">
        <v>360</v>
      </c>
      <c r="M336" s="78"/>
      <c r="N336" s="78" t="s">
        <v>361</v>
      </c>
      <c r="O336" s="78"/>
      <c r="P336" s="78" t="s">
        <v>362</v>
      </c>
      <c r="Q336" s="78"/>
      <c r="R336" s="101">
        <v>0.28000000000000003</v>
      </c>
      <c r="S336" s="75">
        <f t="shared" si="111"/>
        <v>0</v>
      </c>
      <c r="T336" s="76">
        <v>224000.00000000003</v>
      </c>
      <c r="U336" s="76">
        <f t="shared" si="119"/>
        <v>0</v>
      </c>
      <c r="V336" s="72">
        <v>100000</v>
      </c>
      <c r="W336" s="72">
        <v>100000</v>
      </c>
      <c r="X336" s="72">
        <v>100000</v>
      </c>
      <c r="Y336" s="72">
        <v>100000</v>
      </c>
      <c r="Z336" s="72">
        <v>100000</v>
      </c>
      <c r="AA336" s="72">
        <v>100000</v>
      </c>
      <c r="AB336" s="72">
        <v>100000</v>
      </c>
      <c r="AC336" s="72">
        <v>100000</v>
      </c>
      <c r="AD336" s="77"/>
      <c r="AE336" s="75"/>
      <c r="AF336" s="75"/>
      <c r="AG336" s="75"/>
      <c r="AH336" s="75"/>
      <c r="AI336" s="75"/>
      <c r="AJ336" s="75">
        <v>0</v>
      </c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19" t="s">
        <v>61</v>
      </c>
      <c r="AY336" s="19" t="s">
        <v>261</v>
      </c>
      <c r="AZ336" s="20" t="s">
        <v>302</v>
      </c>
      <c r="BA336" s="20" t="s">
        <v>363</v>
      </c>
      <c r="BB336" s="20" t="s">
        <v>364</v>
      </c>
      <c r="BC336" s="20"/>
      <c r="BD336" s="20"/>
      <c r="BE336" s="20"/>
      <c r="BF336" s="20"/>
      <c r="BG336" s="20">
        <v>4</v>
      </c>
      <c r="BH336" s="20"/>
      <c r="BI336" s="20"/>
      <c r="BJ336" s="20"/>
      <c r="BK336" s="20"/>
      <c r="BL336" s="20"/>
      <c r="BM336" s="20"/>
      <c r="BN336" s="20"/>
      <c r="BO336" s="20"/>
      <c r="BP336" s="27">
        <f t="shared" si="116"/>
        <v>28000.000000000004</v>
      </c>
      <c r="BQ336" s="27">
        <f t="shared" si="117"/>
        <v>28000.000000000004</v>
      </c>
      <c r="BR336" s="27">
        <f t="shared" si="118"/>
        <v>28000.000000000004</v>
      </c>
      <c r="BS336" s="27">
        <f t="shared" si="113"/>
        <v>28000.000000000004</v>
      </c>
      <c r="BT336" s="28">
        <f t="shared" si="114"/>
        <v>0</v>
      </c>
      <c r="BU336" s="28">
        <f t="shared" si="120"/>
        <v>0</v>
      </c>
      <c r="BV336" s="28">
        <f t="shared" si="121"/>
        <v>0</v>
      </c>
      <c r="BW336" s="28">
        <f t="shared" si="122"/>
        <v>0</v>
      </c>
    </row>
    <row r="337" spans="1:75" ht="17.399999999999999" x14ac:dyDescent="0.25">
      <c r="A337" s="69">
        <f t="shared" si="109"/>
        <v>336</v>
      </c>
      <c r="B337" s="78" t="s">
        <v>365</v>
      </c>
      <c r="C337" s="71" t="s">
        <v>243</v>
      </c>
      <c r="D337" s="78" t="s">
        <v>356</v>
      </c>
      <c r="E337" s="78" t="s">
        <v>236</v>
      </c>
      <c r="F337" s="78"/>
      <c r="G337" s="78" t="s">
        <v>286</v>
      </c>
      <c r="H337" s="71" t="s">
        <v>287</v>
      </c>
      <c r="I337" s="71" t="str">
        <f>VLOOKUP(H337,[1]Sheet1!$C:$C,1,0)</f>
        <v>SC2063SO-GC-00NR-2063</v>
      </c>
      <c r="J337" s="78"/>
      <c r="K337" s="78"/>
      <c r="L337" s="78" t="s">
        <v>366</v>
      </c>
      <c r="M337" s="78"/>
      <c r="N337" s="78" t="s">
        <v>367</v>
      </c>
      <c r="O337" s="78"/>
      <c r="P337" s="78"/>
      <c r="Q337" s="78"/>
      <c r="R337" s="101">
        <v>0.18</v>
      </c>
      <c r="S337" s="75">
        <f t="shared" si="111"/>
        <v>0</v>
      </c>
      <c r="T337" s="76">
        <v>37800</v>
      </c>
      <c r="U337" s="76">
        <f t="shared" si="119"/>
        <v>0</v>
      </c>
      <c r="V337" s="72">
        <v>30000</v>
      </c>
      <c r="W337" s="72">
        <v>30000</v>
      </c>
      <c r="X337" s="72">
        <v>30000</v>
      </c>
      <c r="Y337" s="72">
        <v>30000</v>
      </c>
      <c r="Z337" s="72"/>
      <c r="AA337" s="72">
        <v>30000</v>
      </c>
      <c r="AB337" s="72">
        <v>30000</v>
      </c>
      <c r="AC337" s="72">
        <v>30000</v>
      </c>
      <c r="AD337" s="77"/>
      <c r="AE337" s="75"/>
      <c r="AF337" s="75"/>
      <c r="AG337" s="75"/>
      <c r="AH337" s="75"/>
      <c r="AI337" s="75"/>
      <c r="AJ337" s="75">
        <v>0</v>
      </c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10" t="s">
        <v>61</v>
      </c>
      <c r="AY337" s="19" t="s">
        <v>261</v>
      </c>
      <c r="AZ337" s="29" t="s">
        <v>167</v>
      </c>
      <c r="BA337" s="29" t="s">
        <v>317</v>
      </c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16">
        <f t="shared" si="116"/>
        <v>0</v>
      </c>
      <c r="BQ337" s="16">
        <f t="shared" si="117"/>
        <v>5400</v>
      </c>
      <c r="BR337" s="16">
        <f t="shared" si="118"/>
        <v>5400</v>
      </c>
      <c r="BS337" s="16">
        <f t="shared" si="113"/>
        <v>5400</v>
      </c>
      <c r="BT337" s="17">
        <f t="shared" si="114"/>
        <v>0</v>
      </c>
      <c r="BU337" s="28">
        <f t="shared" si="120"/>
        <v>0</v>
      </c>
      <c r="BV337" s="28">
        <f t="shared" si="121"/>
        <v>0</v>
      </c>
      <c r="BW337" s="28">
        <f t="shared" si="122"/>
        <v>0</v>
      </c>
    </row>
    <row r="338" spans="1:75" ht="17.399999999999999" x14ac:dyDescent="0.25">
      <c r="A338" s="69">
        <f t="shared" si="109"/>
        <v>337</v>
      </c>
      <c r="B338" s="78" t="s">
        <v>368</v>
      </c>
      <c r="C338" s="78" t="s">
        <v>290</v>
      </c>
      <c r="D338" s="78" t="s">
        <v>369</v>
      </c>
      <c r="E338" s="78" t="s">
        <v>236</v>
      </c>
      <c r="F338" s="78"/>
      <c r="G338" s="78" t="s">
        <v>242</v>
      </c>
      <c r="H338" s="71" t="s">
        <v>370</v>
      </c>
      <c r="I338" s="71" t="str">
        <f>VLOOKUP(H338,[1]Sheet1!$C:$C,1,0)</f>
        <v>SC4688DC-Q-DC-40CR-4688</v>
      </c>
      <c r="J338" s="78"/>
      <c r="K338" s="78"/>
      <c r="L338" s="78"/>
      <c r="M338" s="78"/>
      <c r="N338" s="78"/>
      <c r="O338" s="78"/>
      <c r="P338" s="78"/>
      <c r="Q338" s="78"/>
      <c r="R338" s="101">
        <v>2.82</v>
      </c>
      <c r="S338" s="75">
        <f t="shared" si="111"/>
        <v>0</v>
      </c>
      <c r="T338" s="76"/>
      <c r="U338" s="76">
        <f t="shared" si="119"/>
        <v>0</v>
      </c>
      <c r="V338" s="72"/>
      <c r="W338" s="72"/>
      <c r="X338" s="72"/>
      <c r="Y338" s="72"/>
      <c r="Z338" s="72"/>
      <c r="AA338" s="72"/>
      <c r="AB338" s="72"/>
      <c r="AC338" s="72"/>
      <c r="AD338" s="77"/>
      <c r="AE338" s="75"/>
      <c r="AF338" s="75"/>
      <c r="AG338" s="75"/>
      <c r="AH338" s="75">
        <v>0</v>
      </c>
      <c r="AI338" s="75"/>
      <c r="AJ338" s="75">
        <v>0</v>
      </c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19" t="s">
        <v>61</v>
      </c>
      <c r="AY338" s="19" t="s">
        <v>371</v>
      </c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7">
        <f t="shared" si="116"/>
        <v>0</v>
      </c>
      <c r="BQ338" s="27">
        <f t="shared" si="117"/>
        <v>0</v>
      </c>
      <c r="BR338" s="27">
        <f t="shared" si="118"/>
        <v>0</v>
      </c>
      <c r="BS338" s="27">
        <f t="shared" si="113"/>
        <v>0</v>
      </c>
      <c r="BT338" s="28">
        <f t="shared" si="114"/>
        <v>0</v>
      </c>
      <c r="BU338" s="28">
        <f t="shared" si="120"/>
        <v>0</v>
      </c>
      <c r="BV338" s="28">
        <f t="shared" si="121"/>
        <v>0</v>
      </c>
      <c r="BW338" s="28">
        <f t="shared" si="122"/>
        <v>0</v>
      </c>
    </row>
    <row r="339" spans="1:75" ht="17.399999999999999" x14ac:dyDescent="0.25">
      <c r="A339" s="69">
        <f t="shared" si="109"/>
        <v>338</v>
      </c>
      <c r="B339" s="71" t="s">
        <v>1145</v>
      </c>
      <c r="C339" s="71" t="s">
        <v>290</v>
      </c>
      <c r="D339" s="71" t="s">
        <v>1145</v>
      </c>
      <c r="E339" s="71" t="s">
        <v>236</v>
      </c>
      <c r="F339" s="71"/>
      <c r="G339" s="71" t="s">
        <v>1146</v>
      </c>
      <c r="H339" s="71" t="s">
        <v>1147</v>
      </c>
      <c r="I339" s="71" t="str">
        <f>VLOOKUP(H339,[1]Sheet1!$C:$C,1,0)</f>
        <v>SC4688DC-DC-40AR-2425</v>
      </c>
      <c r="J339" s="87"/>
      <c r="K339" s="87"/>
      <c r="L339" s="78" t="s">
        <v>1148</v>
      </c>
      <c r="M339" s="71"/>
      <c r="N339" s="78" t="s">
        <v>361</v>
      </c>
      <c r="O339" s="73" t="s">
        <v>1149</v>
      </c>
      <c r="P339" s="71" t="s">
        <v>295</v>
      </c>
      <c r="Q339" s="74"/>
      <c r="R339" s="100">
        <v>2.25</v>
      </c>
      <c r="S339" s="75">
        <f t="shared" si="111"/>
        <v>1012500</v>
      </c>
      <c r="T339" s="76">
        <v>4000000</v>
      </c>
      <c r="U339" s="76">
        <f t="shared" si="119"/>
        <v>450000</v>
      </c>
      <c r="V339" s="72">
        <v>200000</v>
      </c>
      <c r="W339" s="72">
        <v>200000</v>
      </c>
      <c r="X339" s="72">
        <v>200000</v>
      </c>
      <c r="Y339" s="72">
        <v>200000</v>
      </c>
      <c r="Z339" s="72">
        <v>200000</v>
      </c>
      <c r="AA339" s="72">
        <v>200000</v>
      </c>
      <c r="AB339" s="72">
        <v>200000</v>
      </c>
      <c r="AC339" s="72">
        <v>200000</v>
      </c>
      <c r="AD339" s="77">
        <v>150000</v>
      </c>
      <c r="AE339" s="75">
        <v>150000</v>
      </c>
      <c r="AF339" s="75">
        <v>150000</v>
      </c>
      <c r="AG339" s="75">
        <v>150000</v>
      </c>
      <c r="AH339" s="75">
        <v>150000</v>
      </c>
      <c r="AI339" s="75">
        <v>150000</v>
      </c>
      <c r="AJ339" s="75">
        <v>150000</v>
      </c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0" t="s">
        <v>1074</v>
      </c>
      <c r="AX339" s="10" t="s">
        <v>85</v>
      </c>
      <c r="AY339" s="19" t="s">
        <v>371</v>
      </c>
      <c r="AZ339" s="9" t="s">
        <v>115</v>
      </c>
      <c r="BA339" s="10" t="s">
        <v>116</v>
      </c>
      <c r="BB339" s="10" t="s">
        <v>1150</v>
      </c>
      <c r="BC339" s="10"/>
      <c r="BD339" s="10"/>
      <c r="BE339" s="10"/>
      <c r="BF339" s="10"/>
      <c r="BG339" s="13"/>
      <c r="BH339" s="14"/>
      <c r="BI339" s="14"/>
      <c r="BJ339" s="14"/>
      <c r="BK339" s="14"/>
      <c r="BL339" s="14"/>
      <c r="BM339" s="14"/>
      <c r="BN339" s="15"/>
      <c r="BO339" s="16"/>
      <c r="BP339" s="16">
        <f t="shared" si="116"/>
        <v>450000</v>
      </c>
      <c r="BQ339" s="16">
        <f t="shared" si="117"/>
        <v>450000</v>
      </c>
      <c r="BR339" s="16">
        <f t="shared" si="118"/>
        <v>450000</v>
      </c>
      <c r="BS339" s="16">
        <f t="shared" si="113"/>
        <v>450000</v>
      </c>
      <c r="BT339" s="17">
        <f t="shared" si="114"/>
        <v>337500</v>
      </c>
      <c r="BU339" s="28">
        <f t="shared" si="120"/>
        <v>337500</v>
      </c>
      <c r="BV339" s="28">
        <f t="shared" si="121"/>
        <v>337500</v>
      </c>
      <c r="BW339" s="28">
        <f t="shared" si="122"/>
        <v>337500</v>
      </c>
    </row>
    <row r="340" spans="1:75" ht="17.399999999999999" x14ac:dyDescent="0.25">
      <c r="A340" s="69">
        <f t="shared" si="109"/>
        <v>339</v>
      </c>
      <c r="B340" s="73" t="s">
        <v>1947</v>
      </c>
      <c r="C340" s="71" t="s">
        <v>149</v>
      </c>
      <c r="D340" s="71" t="s">
        <v>1947</v>
      </c>
      <c r="E340" s="71" t="s">
        <v>1948</v>
      </c>
      <c r="F340" s="71" t="s">
        <v>1948</v>
      </c>
      <c r="G340" s="71" t="s">
        <v>810</v>
      </c>
      <c r="H340" s="71" t="s">
        <v>810</v>
      </c>
      <c r="I340" s="71" t="str">
        <f>VLOOKUP(H340,[1]Sheet1!$C:$C,1,0)</f>
        <v>SC60221-D-50</v>
      </c>
      <c r="J340" s="71"/>
      <c r="K340" s="71"/>
      <c r="L340" s="73"/>
      <c r="M340" s="80"/>
      <c r="N340" s="72"/>
      <c r="O340" s="73"/>
      <c r="P340" s="71"/>
      <c r="Q340" s="71"/>
      <c r="R340" s="100">
        <v>1.88</v>
      </c>
      <c r="S340" s="75"/>
      <c r="T340" s="91"/>
      <c r="U340" s="76">
        <f t="shared" si="119"/>
        <v>9000</v>
      </c>
      <c r="V340" s="80"/>
      <c r="W340" s="80"/>
      <c r="X340" s="80"/>
      <c r="Y340" s="72"/>
      <c r="Z340" s="72"/>
      <c r="AA340" s="72"/>
      <c r="AB340" s="72"/>
      <c r="AC340" s="72"/>
      <c r="AD340" s="77"/>
      <c r="AE340" s="75">
        <v>3000</v>
      </c>
      <c r="AF340" s="75">
        <v>3000</v>
      </c>
      <c r="AG340" s="75">
        <v>3000</v>
      </c>
      <c r="AH340" s="75">
        <v>3000</v>
      </c>
      <c r="AI340" s="75">
        <v>3000</v>
      </c>
      <c r="AJ340" s="75">
        <v>3000</v>
      </c>
      <c r="AK340" s="33"/>
      <c r="AL340" s="33"/>
      <c r="AM340" s="33"/>
      <c r="AN340" s="33"/>
      <c r="AO340" s="33"/>
      <c r="AP340" s="33"/>
      <c r="AQ340" s="33"/>
      <c r="AR340" s="33"/>
      <c r="AS340" s="33"/>
      <c r="AT340" s="33"/>
      <c r="AU340" s="33"/>
      <c r="AV340" s="33"/>
      <c r="AW340" s="19"/>
      <c r="AX340" s="19"/>
      <c r="AY340" s="19" t="s">
        <v>794</v>
      </c>
      <c r="AZ340" s="19"/>
      <c r="BA340" s="19"/>
      <c r="BB340" s="19"/>
      <c r="BC340" s="19"/>
      <c r="BD340" s="19"/>
      <c r="BE340" s="19"/>
      <c r="BF340" s="19"/>
      <c r="BG340" s="24"/>
      <c r="BH340" s="19"/>
      <c r="BI340" s="25"/>
      <c r="BJ340" s="25"/>
      <c r="BK340" s="25"/>
      <c r="BL340" s="25"/>
      <c r="BM340" s="25"/>
      <c r="BN340" s="37"/>
      <c r="BO340" s="21"/>
      <c r="BP340" s="27"/>
      <c r="BQ340" s="27"/>
      <c r="BR340" s="27"/>
      <c r="BS340" s="27"/>
      <c r="BT340" s="28"/>
      <c r="BU340" s="28">
        <f t="shared" si="120"/>
        <v>5640</v>
      </c>
      <c r="BV340" s="28">
        <f t="shared" si="121"/>
        <v>5640</v>
      </c>
      <c r="BW340" s="28">
        <f t="shared" si="122"/>
        <v>5640</v>
      </c>
    </row>
    <row r="341" spans="1:75" ht="17.399999999999999" customHeight="1" x14ac:dyDescent="0.3">
      <c r="A341" s="69">
        <f t="shared" si="109"/>
        <v>340</v>
      </c>
      <c r="B341" s="98" t="s">
        <v>237</v>
      </c>
      <c r="C341" s="71" t="s">
        <v>243</v>
      </c>
      <c r="D341" s="71" t="s">
        <v>1770</v>
      </c>
      <c r="E341" s="71" t="s">
        <v>236</v>
      </c>
      <c r="F341" s="98"/>
      <c r="G341" s="71" t="s">
        <v>238</v>
      </c>
      <c r="H341" s="71" t="s">
        <v>1771</v>
      </c>
      <c r="I341" s="71" t="str">
        <f>VLOOKUP(H341,[1]Sheet1!$C:$C,1,0)</f>
        <v>NM.SC60104</v>
      </c>
      <c r="J341" s="98"/>
      <c r="K341" s="98"/>
      <c r="L341" s="98"/>
      <c r="M341" s="98"/>
      <c r="N341" s="98"/>
      <c r="O341" s="98"/>
      <c r="P341" s="98"/>
      <c r="Q341" s="98"/>
      <c r="R341" s="100">
        <v>3</v>
      </c>
      <c r="S341" s="75">
        <f t="shared" ref="S341:S347" si="123">R341*U341</f>
        <v>240000</v>
      </c>
      <c r="T341" s="98"/>
      <c r="U341" s="76">
        <f t="shared" si="119"/>
        <v>80000</v>
      </c>
      <c r="V341" s="98"/>
      <c r="W341" s="98"/>
      <c r="X341" s="98"/>
      <c r="Y341" s="98"/>
      <c r="Z341" s="98"/>
      <c r="AA341" s="98"/>
      <c r="AB341" s="72">
        <v>10000</v>
      </c>
      <c r="AC341" s="72">
        <v>30000</v>
      </c>
      <c r="AD341" s="77">
        <v>40000</v>
      </c>
      <c r="AE341" s="75">
        <v>20000</v>
      </c>
      <c r="AF341" s="75">
        <v>20000</v>
      </c>
      <c r="AG341" s="75">
        <v>40000</v>
      </c>
      <c r="AH341" s="75">
        <v>40000</v>
      </c>
      <c r="AI341" s="75">
        <v>40000</v>
      </c>
      <c r="AJ341" s="75">
        <v>40000</v>
      </c>
      <c r="AK341" s="67"/>
      <c r="AL341" s="67"/>
      <c r="AM341" s="67"/>
      <c r="AN341" s="67"/>
      <c r="AO341" s="67"/>
      <c r="AP341" s="67"/>
      <c r="AQ341" s="67"/>
      <c r="AR341" s="67"/>
      <c r="AS341" s="67"/>
      <c r="AT341" s="67"/>
      <c r="AU341" s="67"/>
      <c r="AV341" s="67"/>
      <c r="AW341" s="67"/>
      <c r="AX341" s="10" t="s">
        <v>1706</v>
      </c>
      <c r="AY341" s="19" t="s">
        <v>794</v>
      </c>
      <c r="AZ341" s="67"/>
      <c r="BA341" s="67"/>
      <c r="BB341" s="67"/>
      <c r="BC341" s="67"/>
      <c r="BD341" s="67"/>
      <c r="BE341" s="67"/>
      <c r="BF341" s="67"/>
      <c r="BG341" s="67"/>
      <c r="BH341" s="67"/>
      <c r="BI341" s="67"/>
      <c r="BJ341" s="67"/>
      <c r="BK341" s="67"/>
      <c r="BL341" s="67"/>
      <c r="BM341" s="67"/>
      <c r="BN341" s="67"/>
      <c r="BO341" s="67"/>
      <c r="BP341" s="67"/>
      <c r="BQ341" s="16">
        <f t="shared" ref="BQ341:BT347" si="124">$R341*AA341</f>
        <v>0</v>
      </c>
      <c r="BR341" s="16">
        <f t="shared" si="124"/>
        <v>30000</v>
      </c>
      <c r="BS341" s="16">
        <f t="shared" si="124"/>
        <v>90000</v>
      </c>
      <c r="BT341" s="17">
        <f t="shared" si="124"/>
        <v>120000</v>
      </c>
      <c r="BU341" s="28">
        <f t="shared" si="120"/>
        <v>60000</v>
      </c>
      <c r="BV341" s="28">
        <f t="shared" si="121"/>
        <v>60000</v>
      </c>
      <c r="BW341" s="28">
        <f t="shared" si="122"/>
        <v>120000</v>
      </c>
    </row>
    <row r="342" spans="1:75" ht="17.399999999999999" customHeight="1" x14ac:dyDescent="0.25">
      <c r="A342" s="69">
        <f t="shared" si="109"/>
        <v>341</v>
      </c>
      <c r="B342" s="70" t="s">
        <v>1164</v>
      </c>
      <c r="C342" s="71" t="s">
        <v>243</v>
      </c>
      <c r="D342" s="71" t="s">
        <v>1165</v>
      </c>
      <c r="E342" s="71" t="s">
        <v>1166</v>
      </c>
      <c r="F342" s="71"/>
      <c r="G342" s="71" t="s">
        <v>1174</v>
      </c>
      <c r="H342" s="71" t="s">
        <v>1174</v>
      </c>
      <c r="I342" s="71" t="str">
        <f>VLOOKUP(H342,[1]Sheet1!$C:$C,1,0)</f>
        <v>SC60224-D-16</v>
      </c>
      <c r="J342" s="71"/>
      <c r="K342" s="71"/>
      <c r="L342" s="71" t="s">
        <v>1169</v>
      </c>
      <c r="M342" s="72">
        <v>10000</v>
      </c>
      <c r="N342" s="71" t="s">
        <v>367</v>
      </c>
      <c r="O342" s="73"/>
      <c r="P342" s="70"/>
      <c r="Q342" s="83"/>
      <c r="R342" s="100"/>
      <c r="S342" s="75">
        <f t="shared" si="123"/>
        <v>0</v>
      </c>
      <c r="T342" s="92"/>
      <c r="U342" s="76">
        <f t="shared" si="119"/>
        <v>0</v>
      </c>
      <c r="V342" s="72"/>
      <c r="W342" s="72"/>
      <c r="X342" s="72"/>
      <c r="Y342" s="72"/>
      <c r="Z342" s="72"/>
      <c r="AA342" s="72"/>
      <c r="AB342" s="72"/>
      <c r="AC342" s="72"/>
      <c r="AD342" s="77"/>
      <c r="AE342" s="75"/>
      <c r="AF342" s="75"/>
      <c r="AG342" s="75"/>
      <c r="AH342" s="75">
        <v>0</v>
      </c>
      <c r="AI342" s="75"/>
      <c r="AJ342" s="75">
        <f>AH342</f>
        <v>0</v>
      </c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0" t="s">
        <v>1162</v>
      </c>
      <c r="AX342" s="10" t="s">
        <v>1170</v>
      </c>
      <c r="AY342" s="19" t="s">
        <v>794</v>
      </c>
      <c r="AZ342" s="10" t="s">
        <v>167</v>
      </c>
      <c r="BA342" s="10" t="s">
        <v>168</v>
      </c>
      <c r="BB342" s="10" t="s">
        <v>1171</v>
      </c>
      <c r="BC342" s="10" t="s">
        <v>327</v>
      </c>
      <c r="BD342" s="10"/>
      <c r="BE342" s="10"/>
      <c r="BF342" s="10"/>
      <c r="BG342" s="13"/>
      <c r="BH342" s="10"/>
      <c r="BI342" s="10"/>
      <c r="BJ342" s="10"/>
      <c r="BK342" s="10"/>
      <c r="BL342" s="10"/>
      <c r="BM342" s="10"/>
      <c r="BN342" s="9"/>
      <c r="BO342" s="9"/>
      <c r="BP342" s="16">
        <f>$R342*Z342</f>
        <v>0</v>
      </c>
      <c r="BQ342" s="16">
        <f t="shared" si="124"/>
        <v>0</v>
      </c>
      <c r="BR342" s="16">
        <f t="shared" si="124"/>
        <v>0</v>
      </c>
      <c r="BS342" s="16">
        <f t="shared" si="124"/>
        <v>0</v>
      </c>
      <c r="BT342" s="17">
        <f t="shared" si="124"/>
        <v>0</v>
      </c>
      <c r="BU342" s="28">
        <f t="shared" si="120"/>
        <v>0</v>
      </c>
      <c r="BV342" s="28">
        <f t="shared" si="121"/>
        <v>0</v>
      </c>
      <c r="BW342" s="28">
        <f t="shared" si="122"/>
        <v>0</v>
      </c>
    </row>
    <row r="343" spans="1:75" ht="17.399999999999999" customHeight="1" x14ac:dyDescent="0.3">
      <c r="A343" s="69">
        <f t="shared" si="109"/>
        <v>342</v>
      </c>
      <c r="B343" s="98"/>
      <c r="C343" s="71" t="s">
        <v>243</v>
      </c>
      <c r="D343" s="71" t="s">
        <v>1770</v>
      </c>
      <c r="E343" s="71" t="s">
        <v>236</v>
      </c>
      <c r="F343" s="98"/>
      <c r="G343" s="71" t="s">
        <v>1018</v>
      </c>
      <c r="H343" s="98" t="s">
        <v>1019</v>
      </c>
      <c r="I343" s="71" t="str">
        <f>VLOOKUP(H343,[1]Sheet1!$C:$C,1,0)</f>
        <v>SC60228DC-DC-00AR-60228</v>
      </c>
      <c r="J343" s="98"/>
      <c r="K343" s="98"/>
      <c r="L343" s="98"/>
      <c r="M343" s="98"/>
      <c r="N343" s="98"/>
      <c r="O343" s="98"/>
      <c r="P343" s="98"/>
      <c r="Q343" s="98"/>
      <c r="R343" s="100">
        <v>2.85</v>
      </c>
      <c r="S343" s="75">
        <f t="shared" si="123"/>
        <v>0</v>
      </c>
      <c r="T343" s="98"/>
      <c r="U343" s="76">
        <f t="shared" si="119"/>
        <v>0</v>
      </c>
      <c r="V343" s="98"/>
      <c r="W343" s="98"/>
      <c r="X343" s="98"/>
      <c r="Y343" s="98"/>
      <c r="Z343" s="98"/>
      <c r="AA343" s="98"/>
      <c r="AB343" s="98"/>
      <c r="AC343" s="72">
        <v>20000</v>
      </c>
      <c r="AD343" s="77"/>
      <c r="AE343" s="75"/>
      <c r="AF343" s="75"/>
      <c r="AG343" s="75"/>
      <c r="AH343" s="75"/>
      <c r="AI343" s="75"/>
      <c r="AJ343" s="75">
        <v>0</v>
      </c>
      <c r="AK343" s="67"/>
      <c r="AL343" s="67"/>
      <c r="AM343" s="67"/>
      <c r="AN343" s="67"/>
      <c r="AO343" s="67"/>
      <c r="AP343" s="67"/>
      <c r="AQ343" s="67"/>
      <c r="AR343" s="67"/>
      <c r="AS343" s="67"/>
      <c r="AT343" s="67"/>
      <c r="AU343" s="67"/>
      <c r="AV343" s="67"/>
      <c r="AW343" s="67"/>
      <c r="AX343" s="10" t="s">
        <v>1706</v>
      </c>
      <c r="AY343" s="19" t="s">
        <v>794</v>
      </c>
      <c r="AZ343" s="67"/>
      <c r="BA343" s="67"/>
      <c r="BB343" s="67"/>
      <c r="BC343" s="67"/>
      <c r="BD343" s="67"/>
      <c r="BE343" s="67"/>
      <c r="BF343" s="67"/>
      <c r="BG343" s="67"/>
      <c r="BH343" s="67"/>
      <c r="BI343" s="67"/>
      <c r="BJ343" s="67"/>
      <c r="BK343" s="67"/>
      <c r="BL343" s="67"/>
      <c r="BM343" s="67"/>
      <c r="BN343" s="67"/>
      <c r="BO343" s="67"/>
      <c r="BP343" s="67"/>
      <c r="BQ343" s="16">
        <f t="shared" si="124"/>
        <v>0</v>
      </c>
      <c r="BR343" s="16">
        <f t="shared" si="124"/>
        <v>0</v>
      </c>
      <c r="BS343" s="16">
        <f t="shared" si="124"/>
        <v>57000</v>
      </c>
      <c r="BT343" s="17">
        <f t="shared" si="124"/>
        <v>0</v>
      </c>
      <c r="BU343" s="28">
        <f t="shared" si="120"/>
        <v>0</v>
      </c>
      <c r="BV343" s="28">
        <f t="shared" si="121"/>
        <v>0</v>
      </c>
      <c r="BW343" s="28">
        <f t="shared" si="122"/>
        <v>0</v>
      </c>
    </row>
    <row r="344" spans="1:75" ht="17.399999999999999" customHeight="1" x14ac:dyDescent="0.3">
      <c r="A344" s="69">
        <f t="shared" si="109"/>
        <v>343</v>
      </c>
      <c r="B344" s="98"/>
      <c r="C344" s="71" t="s">
        <v>243</v>
      </c>
      <c r="D344" s="71" t="s">
        <v>1770</v>
      </c>
      <c r="E344" s="71" t="s">
        <v>236</v>
      </c>
      <c r="F344" s="98"/>
      <c r="G344" s="71" t="s">
        <v>1018</v>
      </c>
      <c r="H344" s="98" t="s">
        <v>1772</v>
      </c>
      <c r="I344" s="71" t="str">
        <f>VLOOKUP(H344,[1]Sheet1!$C:$C,1,0)</f>
        <v>SC60228DC-DC-00AR-NM</v>
      </c>
      <c r="J344" s="98"/>
      <c r="K344" s="98"/>
      <c r="L344" s="98"/>
      <c r="M344" s="98"/>
      <c r="N344" s="98"/>
      <c r="O344" s="98"/>
      <c r="P344" s="98"/>
      <c r="Q344" s="98"/>
      <c r="R344" s="100">
        <v>2.85</v>
      </c>
      <c r="S344" s="75">
        <f t="shared" si="123"/>
        <v>0</v>
      </c>
      <c r="T344" s="98"/>
      <c r="U344" s="76">
        <f t="shared" si="119"/>
        <v>0</v>
      </c>
      <c r="V344" s="98"/>
      <c r="W344" s="98"/>
      <c r="X344" s="98"/>
      <c r="Y344" s="98"/>
      <c r="Z344" s="98"/>
      <c r="AA344" s="98"/>
      <c r="AB344" s="98"/>
      <c r="AC344" s="72">
        <v>20000</v>
      </c>
      <c r="AD344" s="77"/>
      <c r="AE344" s="75"/>
      <c r="AF344" s="75"/>
      <c r="AG344" s="75"/>
      <c r="AH344" s="75"/>
      <c r="AI344" s="75"/>
      <c r="AJ344" s="75">
        <v>0</v>
      </c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19" t="s">
        <v>1706</v>
      </c>
      <c r="AY344" s="19" t="s">
        <v>794</v>
      </c>
      <c r="AZ344" s="68"/>
      <c r="BA344" s="68"/>
      <c r="BB344" s="68"/>
      <c r="BC344" s="68"/>
      <c r="BD344" s="68"/>
      <c r="BE344" s="68"/>
      <c r="BF344" s="68"/>
      <c r="BG344" s="68"/>
      <c r="BH344" s="68"/>
      <c r="BI344" s="68"/>
      <c r="BJ344" s="68"/>
      <c r="BK344" s="68"/>
      <c r="BL344" s="68"/>
      <c r="BM344" s="68"/>
      <c r="BN344" s="68"/>
      <c r="BO344" s="68"/>
      <c r="BP344" s="68"/>
      <c r="BQ344" s="27">
        <f t="shared" si="124"/>
        <v>0</v>
      </c>
      <c r="BR344" s="27">
        <f t="shared" si="124"/>
        <v>0</v>
      </c>
      <c r="BS344" s="27">
        <f t="shared" si="124"/>
        <v>57000</v>
      </c>
      <c r="BT344" s="28">
        <f t="shared" si="124"/>
        <v>0</v>
      </c>
      <c r="BU344" s="28">
        <f t="shared" si="120"/>
        <v>0</v>
      </c>
      <c r="BV344" s="28">
        <f t="shared" si="121"/>
        <v>0</v>
      </c>
      <c r="BW344" s="28">
        <f t="shared" si="122"/>
        <v>0</v>
      </c>
    </row>
    <row r="345" spans="1:75" ht="17.399999999999999" x14ac:dyDescent="0.25">
      <c r="A345" s="69">
        <f t="shared" si="109"/>
        <v>344</v>
      </c>
      <c r="B345" s="73" t="s">
        <v>1773</v>
      </c>
      <c r="C345" s="71" t="s">
        <v>243</v>
      </c>
      <c r="D345" s="71" t="s">
        <v>1770</v>
      </c>
      <c r="E345" s="71" t="s">
        <v>236</v>
      </c>
      <c r="F345" s="71"/>
      <c r="G345" s="71" t="s">
        <v>242</v>
      </c>
      <c r="H345" s="71" t="s">
        <v>370</v>
      </c>
      <c r="I345" s="71" t="str">
        <f>VLOOKUP(H345,[1]Sheet1!$C:$C,1,0)</f>
        <v>SC4688DC-Q-DC-40CR-4688</v>
      </c>
      <c r="J345" s="71"/>
      <c r="K345" s="71"/>
      <c r="L345" s="71"/>
      <c r="M345" s="80"/>
      <c r="N345" s="72"/>
      <c r="O345" s="73"/>
      <c r="P345" s="71"/>
      <c r="Q345" s="71"/>
      <c r="R345" s="100">
        <v>2.4</v>
      </c>
      <c r="S345" s="75">
        <f t="shared" si="123"/>
        <v>0</v>
      </c>
      <c r="T345" s="91"/>
      <c r="U345" s="76">
        <f t="shared" si="119"/>
        <v>0</v>
      </c>
      <c r="V345" s="80"/>
      <c r="W345" s="80"/>
      <c r="X345" s="72"/>
      <c r="Y345" s="72"/>
      <c r="Z345" s="72"/>
      <c r="AA345" s="72"/>
      <c r="AB345" s="80">
        <v>60000</v>
      </c>
      <c r="AC345" s="72">
        <v>60000</v>
      </c>
      <c r="AD345" s="77"/>
      <c r="AE345" s="75"/>
      <c r="AF345" s="75"/>
      <c r="AG345" s="75"/>
      <c r="AH345" s="75"/>
      <c r="AI345" s="75"/>
      <c r="AJ345" s="75">
        <v>0</v>
      </c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10"/>
      <c r="AX345" s="10" t="s">
        <v>1706</v>
      </c>
      <c r="AY345" s="19" t="s">
        <v>371</v>
      </c>
      <c r="AZ345" s="10"/>
      <c r="BA345" s="10"/>
      <c r="BB345" s="10"/>
      <c r="BC345" s="10"/>
      <c r="BD345" s="10"/>
      <c r="BE345" s="10"/>
      <c r="BF345" s="10"/>
      <c r="BG345" s="13"/>
      <c r="BH345" s="10"/>
      <c r="BI345" s="14"/>
      <c r="BJ345" s="14"/>
      <c r="BK345" s="14"/>
      <c r="BL345" s="14"/>
      <c r="BM345" s="14"/>
      <c r="BN345" s="35"/>
      <c r="BO345" s="11"/>
      <c r="BP345" s="16"/>
      <c r="BQ345" s="16">
        <f t="shared" si="124"/>
        <v>0</v>
      </c>
      <c r="BR345" s="16">
        <f t="shared" si="124"/>
        <v>144000</v>
      </c>
      <c r="BS345" s="16">
        <f t="shared" si="124"/>
        <v>144000</v>
      </c>
      <c r="BT345" s="17">
        <f t="shared" si="124"/>
        <v>0</v>
      </c>
      <c r="BU345" s="28">
        <f t="shared" si="120"/>
        <v>0</v>
      </c>
      <c r="BV345" s="28">
        <f t="shared" si="121"/>
        <v>0</v>
      </c>
      <c r="BW345" s="28">
        <f t="shared" si="122"/>
        <v>0</v>
      </c>
    </row>
    <row r="346" spans="1:75" ht="17.399999999999999" customHeight="1" x14ac:dyDescent="0.3">
      <c r="A346" s="69">
        <f t="shared" si="109"/>
        <v>345</v>
      </c>
      <c r="B346" s="98"/>
      <c r="C346" s="71" t="s">
        <v>243</v>
      </c>
      <c r="D346" s="71" t="s">
        <v>1770</v>
      </c>
      <c r="E346" s="71" t="s">
        <v>236</v>
      </c>
      <c r="F346" s="98"/>
      <c r="G346" s="71" t="s">
        <v>434</v>
      </c>
      <c r="H346" s="71" t="s">
        <v>1774</v>
      </c>
      <c r="I346" s="71" t="str">
        <f>VLOOKUP(H346,[1]Sheet1!$C:$C,1,0)</f>
        <v>SC4688SA-Q-DC-40CK-4688</v>
      </c>
      <c r="J346" s="98"/>
      <c r="K346" s="98"/>
      <c r="L346" s="98"/>
      <c r="M346" s="98"/>
      <c r="N346" s="98"/>
      <c r="O346" s="98"/>
      <c r="P346" s="98"/>
      <c r="Q346" s="98"/>
      <c r="R346" s="100">
        <v>2.4</v>
      </c>
      <c r="S346" s="75">
        <f t="shared" si="123"/>
        <v>0</v>
      </c>
      <c r="T346" s="98"/>
      <c r="U346" s="76">
        <f t="shared" si="119"/>
        <v>0</v>
      </c>
      <c r="V346" s="98"/>
      <c r="W346" s="98"/>
      <c r="X346" s="98"/>
      <c r="Y346" s="98"/>
      <c r="Z346" s="98"/>
      <c r="AA346" s="98"/>
      <c r="AB346" s="72">
        <v>10000</v>
      </c>
      <c r="AC346" s="72">
        <v>10000</v>
      </c>
      <c r="AD346" s="77"/>
      <c r="AE346" s="75"/>
      <c r="AF346" s="75"/>
      <c r="AG346" s="75"/>
      <c r="AH346" s="75"/>
      <c r="AI346" s="75"/>
      <c r="AJ346" s="75">
        <v>0</v>
      </c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19" t="s">
        <v>1706</v>
      </c>
      <c r="AY346" s="19" t="s">
        <v>371</v>
      </c>
      <c r="AZ346" s="68"/>
      <c r="BA346" s="68"/>
      <c r="BB346" s="68"/>
      <c r="BC346" s="68"/>
      <c r="BD346" s="68"/>
      <c r="BE346" s="68"/>
      <c r="BF346" s="68"/>
      <c r="BG346" s="68"/>
      <c r="BH346" s="68"/>
      <c r="BI346" s="68"/>
      <c r="BJ346" s="68"/>
      <c r="BK346" s="68"/>
      <c r="BL346" s="68"/>
      <c r="BM346" s="68"/>
      <c r="BN346" s="68"/>
      <c r="BO346" s="68"/>
      <c r="BP346" s="68"/>
      <c r="BQ346" s="27">
        <f t="shared" si="124"/>
        <v>0</v>
      </c>
      <c r="BR346" s="27">
        <f t="shared" si="124"/>
        <v>24000</v>
      </c>
      <c r="BS346" s="27">
        <f t="shared" si="124"/>
        <v>24000</v>
      </c>
      <c r="BT346" s="28">
        <f t="shared" si="124"/>
        <v>0</v>
      </c>
      <c r="BU346" s="28">
        <f t="shared" si="120"/>
        <v>0</v>
      </c>
      <c r="BV346" s="28">
        <f t="shared" si="121"/>
        <v>0</v>
      </c>
      <c r="BW346" s="28">
        <f t="shared" si="122"/>
        <v>0</v>
      </c>
    </row>
    <row r="347" spans="1:75" ht="17.399999999999999" customHeight="1" x14ac:dyDescent="0.3">
      <c r="A347" s="69">
        <f t="shared" si="109"/>
        <v>346</v>
      </c>
      <c r="B347" s="98" t="s">
        <v>234</v>
      </c>
      <c r="C347" s="71" t="s">
        <v>243</v>
      </c>
      <c r="D347" s="71" t="s">
        <v>1770</v>
      </c>
      <c r="E347" s="71" t="s">
        <v>236</v>
      </c>
      <c r="F347" s="98"/>
      <c r="G347" s="71" t="s">
        <v>751</v>
      </c>
      <c r="H347" s="71" t="s">
        <v>752</v>
      </c>
      <c r="I347" s="71" t="str">
        <f>VLOOKUP(H347,[1]Sheet1!$C:$C,1,0)</f>
        <v>NA.SC60226SS-DC</v>
      </c>
      <c r="J347" s="98"/>
      <c r="K347" s="98"/>
      <c r="L347" s="98"/>
      <c r="M347" s="98"/>
      <c r="N347" s="98"/>
      <c r="O347" s="98"/>
      <c r="P347" s="98"/>
      <c r="Q347" s="98"/>
      <c r="R347" s="105">
        <v>3</v>
      </c>
      <c r="S347" s="75">
        <f t="shared" si="123"/>
        <v>1350000</v>
      </c>
      <c r="T347" s="98"/>
      <c r="U347" s="76">
        <f t="shared" si="119"/>
        <v>450000</v>
      </c>
      <c r="V347" s="98"/>
      <c r="W347" s="98"/>
      <c r="X347" s="98"/>
      <c r="Y347" s="98"/>
      <c r="Z347" s="98"/>
      <c r="AA347" s="98"/>
      <c r="AB347" s="72">
        <v>130000</v>
      </c>
      <c r="AC347" s="72">
        <v>150000</v>
      </c>
      <c r="AD347" s="77">
        <v>200000</v>
      </c>
      <c r="AE347" s="75">
        <v>150000</v>
      </c>
      <c r="AF347" s="75">
        <v>150000</v>
      </c>
      <c r="AG347" s="75">
        <v>150000</v>
      </c>
      <c r="AH347" s="75">
        <v>150000</v>
      </c>
      <c r="AI347" s="75">
        <v>150000</v>
      </c>
      <c r="AJ347" s="75">
        <v>150000</v>
      </c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19" t="s">
        <v>1706</v>
      </c>
      <c r="AY347" s="19" t="s">
        <v>794</v>
      </c>
      <c r="AZ347" s="68"/>
      <c r="BA347" s="68"/>
      <c r="BB347" s="68"/>
      <c r="BC347" s="68"/>
      <c r="BD347" s="68"/>
      <c r="BE347" s="68"/>
      <c r="BF347" s="68"/>
      <c r="BG347" s="68"/>
      <c r="BH347" s="68"/>
      <c r="BI347" s="68"/>
      <c r="BJ347" s="68"/>
      <c r="BK347" s="68"/>
      <c r="BL347" s="68"/>
      <c r="BM347" s="68"/>
      <c r="BN347" s="68"/>
      <c r="BO347" s="68"/>
      <c r="BP347" s="68"/>
      <c r="BQ347" s="27">
        <f t="shared" si="124"/>
        <v>0</v>
      </c>
      <c r="BR347" s="27">
        <f t="shared" si="124"/>
        <v>390000</v>
      </c>
      <c r="BS347" s="27">
        <f t="shared" si="124"/>
        <v>450000</v>
      </c>
      <c r="BT347" s="28">
        <f t="shared" si="124"/>
        <v>600000</v>
      </c>
      <c r="BU347" s="28">
        <f t="shared" si="120"/>
        <v>450000</v>
      </c>
      <c r="BV347" s="28">
        <f t="shared" si="121"/>
        <v>450000</v>
      </c>
      <c r="BW347" s="28">
        <f t="shared" si="122"/>
        <v>450000</v>
      </c>
    </row>
    <row r="348" spans="1:75" ht="17.399999999999999" x14ac:dyDescent="0.25">
      <c r="A348" s="69">
        <f t="shared" si="109"/>
        <v>347</v>
      </c>
      <c r="B348" s="73" t="s">
        <v>1814</v>
      </c>
      <c r="C348" s="71" t="s">
        <v>243</v>
      </c>
      <c r="D348" s="71" t="s">
        <v>1811</v>
      </c>
      <c r="E348" s="71" t="s">
        <v>978</v>
      </c>
      <c r="F348" s="71" t="s">
        <v>978</v>
      </c>
      <c r="G348" s="71" t="s">
        <v>1815</v>
      </c>
      <c r="H348" s="71" t="s">
        <v>1816</v>
      </c>
      <c r="I348" s="71" t="str">
        <f>VLOOKUP(H348,[1]Sheet1!$C:$C,1,0)</f>
        <v>SC1919UA-CD-90AK-919H</v>
      </c>
      <c r="J348" s="71"/>
      <c r="K348" s="71"/>
      <c r="L348" s="73"/>
      <c r="M348" s="80"/>
      <c r="N348" s="72"/>
      <c r="O348" s="73"/>
      <c r="P348" s="71"/>
      <c r="Q348" s="71"/>
      <c r="R348" s="100">
        <v>0.39</v>
      </c>
      <c r="S348" s="75"/>
      <c r="T348" s="91"/>
      <c r="U348" s="76">
        <f t="shared" si="119"/>
        <v>0</v>
      </c>
      <c r="V348" s="80"/>
      <c r="W348" s="80"/>
      <c r="X348" s="80"/>
      <c r="Y348" s="72"/>
      <c r="Z348" s="72"/>
      <c r="AA348" s="72"/>
      <c r="AB348" s="72"/>
      <c r="AC348" s="72"/>
      <c r="AD348" s="77"/>
      <c r="AE348" s="75"/>
      <c r="AF348" s="75"/>
      <c r="AG348" s="75"/>
      <c r="AH348" s="75"/>
      <c r="AI348" s="75"/>
      <c r="AJ348" s="75">
        <v>0</v>
      </c>
      <c r="AK348" s="33"/>
      <c r="AL348" s="33"/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19"/>
      <c r="AX348" s="19" t="s">
        <v>1706</v>
      </c>
      <c r="AY348" s="19" t="s">
        <v>261</v>
      </c>
      <c r="AZ348" s="19"/>
      <c r="BA348" s="19"/>
      <c r="BB348" s="19"/>
      <c r="BC348" s="19"/>
      <c r="BD348" s="19"/>
      <c r="BE348" s="19"/>
      <c r="BF348" s="19"/>
      <c r="BG348" s="24"/>
      <c r="BH348" s="19"/>
      <c r="BI348" s="25"/>
      <c r="BJ348" s="25"/>
      <c r="BK348" s="25"/>
      <c r="BL348" s="25"/>
      <c r="BM348" s="25"/>
      <c r="BN348" s="37"/>
      <c r="BO348" s="21"/>
      <c r="BP348" s="27"/>
      <c r="BQ348" s="27"/>
      <c r="BR348" s="27"/>
      <c r="BS348" s="27">
        <f>$R348*AC348</f>
        <v>0</v>
      </c>
      <c r="BT348" s="28">
        <f>$R348*AD348</f>
        <v>0</v>
      </c>
      <c r="BU348" s="28">
        <f t="shared" si="120"/>
        <v>0</v>
      </c>
      <c r="BV348" s="28">
        <f t="shared" si="121"/>
        <v>0</v>
      </c>
      <c r="BW348" s="28">
        <f t="shared" si="122"/>
        <v>0</v>
      </c>
    </row>
    <row r="349" spans="1:75" ht="17.399999999999999" x14ac:dyDescent="0.25">
      <c r="A349" s="69">
        <f t="shared" si="109"/>
        <v>348</v>
      </c>
      <c r="B349" s="73" t="s">
        <v>1840</v>
      </c>
      <c r="C349" s="71" t="s">
        <v>243</v>
      </c>
      <c r="D349" s="71" t="s">
        <v>163</v>
      </c>
      <c r="E349" s="71" t="s">
        <v>103</v>
      </c>
      <c r="F349" s="71"/>
      <c r="G349" s="71" t="s">
        <v>1841</v>
      </c>
      <c r="H349" s="71" t="s">
        <v>1842</v>
      </c>
      <c r="I349" s="71" t="str">
        <f>VLOOKUP(H349,[1]Sheet1!$C:$C,1,0)</f>
        <v>SC2402SO-N-GA-00NR-2402</v>
      </c>
      <c r="J349" s="71"/>
      <c r="K349" s="71"/>
      <c r="L349" s="71"/>
      <c r="M349" s="80"/>
      <c r="N349" s="72" t="s">
        <v>60</v>
      </c>
      <c r="O349" s="73"/>
      <c r="P349" s="71"/>
      <c r="Q349" s="83"/>
      <c r="R349" s="100">
        <v>0.16</v>
      </c>
      <c r="S349" s="75"/>
      <c r="T349" s="76"/>
      <c r="U349" s="76">
        <f t="shared" si="119"/>
        <v>0</v>
      </c>
      <c r="V349" s="72"/>
      <c r="W349" s="72"/>
      <c r="X349" s="72"/>
      <c r="Y349" s="72"/>
      <c r="Z349" s="72"/>
      <c r="AA349" s="72"/>
      <c r="AB349" s="72"/>
      <c r="AC349" s="72">
        <v>231000</v>
      </c>
      <c r="AD349" s="77"/>
      <c r="AE349" s="75"/>
      <c r="AF349" s="75"/>
      <c r="AG349" s="75"/>
      <c r="AH349" s="75"/>
      <c r="AI349" s="75"/>
      <c r="AJ349" s="75">
        <v>0</v>
      </c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0"/>
      <c r="AX349" s="10" t="s">
        <v>1706</v>
      </c>
      <c r="AY349" s="19" t="s">
        <v>261</v>
      </c>
      <c r="AZ349" s="10"/>
      <c r="BA349" s="10"/>
      <c r="BB349" s="10"/>
      <c r="BC349" s="32"/>
      <c r="BD349" s="10"/>
      <c r="BE349" s="10"/>
      <c r="BF349" s="10"/>
      <c r="BG349" s="13"/>
      <c r="BH349" s="10"/>
      <c r="BI349" s="10"/>
      <c r="BJ349" s="10"/>
      <c r="BK349" s="10"/>
      <c r="BL349" s="10"/>
      <c r="BM349" s="10"/>
      <c r="BN349" s="9"/>
      <c r="BO349" s="9"/>
      <c r="BP349" s="16"/>
      <c r="BQ349" s="16"/>
      <c r="BR349" s="16"/>
      <c r="BS349" s="16">
        <f>$R349*AC349</f>
        <v>36960</v>
      </c>
      <c r="BT349" s="17">
        <f>$R349*AD349</f>
        <v>0</v>
      </c>
      <c r="BU349" s="28">
        <f t="shared" si="120"/>
        <v>0</v>
      </c>
      <c r="BV349" s="28">
        <f t="shared" si="121"/>
        <v>0</v>
      </c>
      <c r="BW349" s="28">
        <f t="shared" si="122"/>
        <v>0</v>
      </c>
    </row>
    <row r="350" spans="1:75" ht="17.399999999999999" x14ac:dyDescent="0.25">
      <c r="A350" s="69">
        <f t="shared" si="109"/>
        <v>349</v>
      </c>
      <c r="B350" s="73" t="s">
        <v>1947</v>
      </c>
      <c r="C350" s="71" t="s">
        <v>149</v>
      </c>
      <c r="D350" s="71" t="s">
        <v>1947</v>
      </c>
      <c r="E350" s="71" t="s">
        <v>1948</v>
      </c>
      <c r="F350" s="71" t="s">
        <v>1948</v>
      </c>
      <c r="G350" s="71" t="s">
        <v>1978</v>
      </c>
      <c r="H350" s="71" t="s">
        <v>1979</v>
      </c>
      <c r="I350" s="71" t="str">
        <f>VLOOKUP(H350,[1]Sheet1!$C:$C,1,0)</f>
        <v>SC60228DC-DC-90AR-60228</v>
      </c>
      <c r="J350" s="71"/>
      <c r="K350" s="71"/>
      <c r="L350" s="73"/>
      <c r="M350" s="80"/>
      <c r="N350" s="72"/>
      <c r="O350" s="73"/>
      <c r="P350" s="71"/>
      <c r="Q350" s="71"/>
      <c r="R350" s="100">
        <v>1.02</v>
      </c>
      <c r="S350" s="75"/>
      <c r="T350" s="91"/>
      <c r="U350" s="76">
        <f t="shared" si="119"/>
        <v>9000</v>
      </c>
      <c r="V350" s="80"/>
      <c r="W350" s="80"/>
      <c r="X350" s="80"/>
      <c r="Y350" s="72"/>
      <c r="Z350" s="72"/>
      <c r="AA350" s="72"/>
      <c r="AB350" s="72"/>
      <c r="AC350" s="72"/>
      <c r="AD350" s="77"/>
      <c r="AE350" s="75">
        <v>3000</v>
      </c>
      <c r="AF350" s="75">
        <v>3000</v>
      </c>
      <c r="AG350" s="75">
        <v>3000</v>
      </c>
      <c r="AH350" s="75">
        <v>3000</v>
      </c>
      <c r="AI350" s="75">
        <v>3000</v>
      </c>
      <c r="AJ350" s="75">
        <v>3000</v>
      </c>
      <c r="AK350" s="33"/>
      <c r="AL350" s="33"/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19"/>
      <c r="AX350" s="19"/>
      <c r="AY350" s="19" t="s">
        <v>794</v>
      </c>
      <c r="AZ350" s="19"/>
      <c r="BA350" s="19"/>
      <c r="BB350" s="19"/>
      <c r="BC350" s="19"/>
      <c r="BD350" s="19"/>
      <c r="BE350" s="19"/>
      <c r="BF350" s="19"/>
      <c r="BG350" s="24"/>
      <c r="BH350" s="19"/>
      <c r="BI350" s="25"/>
      <c r="BJ350" s="25"/>
      <c r="BK350" s="25"/>
      <c r="BL350" s="25"/>
      <c r="BM350" s="25"/>
      <c r="BN350" s="37"/>
      <c r="BO350" s="21"/>
      <c r="BP350" s="27"/>
      <c r="BQ350" s="27"/>
      <c r="BR350" s="27"/>
      <c r="BS350" s="27"/>
      <c r="BT350" s="28"/>
      <c r="BU350" s="28">
        <f t="shared" si="120"/>
        <v>3060</v>
      </c>
      <c r="BV350" s="28">
        <f t="shared" si="121"/>
        <v>3060</v>
      </c>
      <c r="BW350" s="28">
        <f t="shared" si="122"/>
        <v>3060</v>
      </c>
    </row>
    <row r="351" spans="1:75" ht="17.399999999999999" x14ac:dyDescent="0.25">
      <c r="A351" s="69">
        <f t="shared" si="109"/>
        <v>350</v>
      </c>
      <c r="B351" s="70" t="s">
        <v>1164</v>
      </c>
      <c r="C351" s="71" t="s">
        <v>243</v>
      </c>
      <c r="D351" s="71" t="s">
        <v>1165</v>
      </c>
      <c r="E351" s="71" t="s">
        <v>1166</v>
      </c>
      <c r="F351" s="71"/>
      <c r="G351" s="71" t="s">
        <v>1167</v>
      </c>
      <c r="H351" s="71" t="s">
        <v>1168</v>
      </c>
      <c r="I351" s="71" t="str">
        <f>VLOOKUP(H351,[1]Sheet1!$C:$C,1,0)</f>
        <v>SC4002UA-CA-00AK-95A</v>
      </c>
      <c r="J351" s="71"/>
      <c r="K351" s="71"/>
      <c r="L351" s="71" t="s">
        <v>1169</v>
      </c>
      <c r="M351" s="72">
        <v>300000</v>
      </c>
      <c r="N351" s="71" t="s">
        <v>361</v>
      </c>
      <c r="O351" s="73"/>
      <c r="P351" s="70" t="s">
        <v>295</v>
      </c>
      <c r="Q351" s="83"/>
      <c r="R351" s="100">
        <v>0.496</v>
      </c>
      <c r="S351" s="75">
        <f>R351*U351</f>
        <v>44640</v>
      </c>
      <c r="T351" s="92"/>
      <c r="U351" s="76">
        <f t="shared" si="119"/>
        <v>90000</v>
      </c>
      <c r="V351" s="72"/>
      <c r="W351" s="72">
        <v>0</v>
      </c>
      <c r="X351" s="72"/>
      <c r="Y351" s="72">
        <v>0</v>
      </c>
      <c r="Z351" s="72">
        <v>0</v>
      </c>
      <c r="AA351" s="72">
        <v>0</v>
      </c>
      <c r="AB351" s="72">
        <v>30000</v>
      </c>
      <c r="AC351" s="72">
        <v>30000</v>
      </c>
      <c r="AD351" s="77">
        <v>30000</v>
      </c>
      <c r="AE351" s="75">
        <v>30000</v>
      </c>
      <c r="AF351" s="75">
        <v>30000</v>
      </c>
      <c r="AG351" s="75">
        <v>30000</v>
      </c>
      <c r="AH351" s="75">
        <v>30000</v>
      </c>
      <c r="AI351" s="75"/>
      <c r="AJ351" s="75">
        <f>AH351</f>
        <v>30000</v>
      </c>
      <c r="AK351" s="21"/>
      <c r="AL351" s="21">
        <v>0</v>
      </c>
      <c r="AM351" s="21"/>
      <c r="AN351" s="21">
        <v>0</v>
      </c>
      <c r="AO351" s="21">
        <v>0</v>
      </c>
      <c r="AP351" s="21"/>
      <c r="AQ351" s="21">
        <v>0</v>
      </c>
      <c r="AR351" s="21"/>
      <c r="AS351" s="21"/>
      <c r="AT351" s="21"/>
      <c r="AU351" s="21"/>
      <c r="AV351" s="21"/>
      <c r="AW351" s="19" t="s">
        <v>155</v>
      </c>
      <c r="AX351" s="19" t="s">
        <v>1170</v>
      </c>
      <c r="AY351" s="19" t="s">
        <v>261</v>
      </c>
      <c r="AZ351" s="19" t="s">
        <v>167</v>
      </c>
      <c r="BA351" s="19" t="s">
        <v>168</v>
      </c>
      <c r="BB351" s="19" t="s">
        <v>1171</v>
      </c>
      <c r="BC351" s="19" t="s">
        <v>327</v>
      </c>
      <c r="BD351" s="19"/>
      <c r="BE351" s="19"/>
      <c r="BF351" s="19"/>
      <c r="BG351" s="24"/>
      <c r="BH351" s="19"/>
      <c r="BI351" s="19"/>
      <c r="BJ351" s="19"/>
      <c r="BK351" s="19"/>
      <c r="BL351" s="19"/>
      <c r="BM351" s="19"/>
      <c r="BN351" s="18"/>
      <c r="BO351" s="18"/>
      <c r="BP351" s="27">
        <f t="shared" ref="BP351:BT355" si="125">$R351*Z351</f>
        <v>0</v>
      </c>
      <c r="BQ351" s="27">
        <f t="shared" si="125"/>
        <v>0</v>
      </c>
      <c r="BR351" s="27">
        <f t="shared" si="125"/>
        <v>14880</v>
      </c>
      <c r="BS351" s="27">
        <f t="shared" si="125"/>
        <v>14880</v>
      </c>
      <c r="BT351" s="28">
        <f t="shared" si="125"/>
        <v>14880</v>
      </c>
      <c r="BU351" s="28">
        <f t="shared" si="120"/>
        <v>14880</v>
      </c>
      <c r="BV351" s="28">
        <f t="shared" si="121"/>
        <v>14880</v>
      </c>
      <c r="BW351" s="28">
        <f t="shared" si="122"/>
        <v>14880</v>
      </c>
    </row>
    <row r="352" spans="1:75" ht="17.399999999999999" x14ac:dyDescent="0.25">
      <c r="A352" s="69">
        <f t="shared" si="109"/>
        <v>351</v>
      </c>
      <c r="B352" s="70" t="s">
        <v>1164</v>
      </c>
      <c r="C352" s="71" t="s">
        <v>243</v>
      </c>
      <c r="D352" s="71" t="s">
        <v>1165</v>
      </c>
      <c r="E352" s="71" t="s">
        <v>1166</v>
      </c>
      <c r="F352" s="71"/>
      <c r="G352" s="71" t="s">
        <v>1128</v>
      </c>
      <c r="H352" s="71" t="s">
        <v>308</v>
      </c>
      <c r="I352" s="71" t="str">
        <f>VLOOKUP(H352,[1]Sheet1!$C:$C,1,0)</f>
        <v>SC1138SO-N-Q-CC-00LR-1138</v>
      </c>
      <c r="J352" s="71"/>
      <c r="K352" s="71" t="s">
        <v>571</v>
      </c>
      <c r="L352" s="71" t="s">
        <v>1169</v>
      </c>
      <c r="M352" s="72">
        <v>600000</v>
      </c>
      <c r="N352" s="71" t="s">
        <v>361</v>
      </c>
      <c r="O352" s="73"/>
      <c r="P352" s="70" t="s">
        <v>295</v>
      </c>
      <c r="Q352" s="83"/>
      <c r="R352" s="100">
        <v>0.4</v>
      </c>
      <c r="S352" s="75">
        <f>R352*U352</f>
        <v>12000</v>
      </c>
      <c r="T352" s="92"/>
      <c r="U352" s="76">
        <f t="shared" si="119"/>
        <v>30000</v>
      </c>
      <c r="V352" s="72">
        <v>0</v>
      </c>
      <c r="W352" s="72"/>
      <c r="X352" s="72"/>
      <c r="Y352" s="72"/>
      <c r="Z352" s="72"/>
      <c r="AA352" s="72"/>
      <c r="AB352" s="72">
        <v>3000</v>
      </c>
      <c r="AC352" s="72">
        <v>3000</v>
      </c>
      <c r="AD352" s="77">
        <v>30000</v>
      </c>
      <c r="AE352" s="75">
        <v>0</v>
      </c>
      <c r="AF352" s="75">
        <v>30000</v>
      </c>
      <c r="AG352" s="75"/>
      <c r="AH352" s="75">
        <v>30000</v>
      </c>
      <c r="AI352" s="75"/>
      <c r="AJ352" s="75">
        <f>AH352</f>
        <v>30000</v>
      </c>
      <c r="AK352" s="11">
        <v>0</v>
      </c>
      <c r="AL352" s="11">
        <v>0</v>
      </c>
      <c r="AM352" s="11">
        <v>0</v>
      </c>
      <c r="AN352" s="11">
        <v>0</v>
      </c>
      <c r="AO352" s="11">
        <v>0</v>
      </c>
      <c r="AP352" s="11"/>
      <c r="AQ352" s="11">
        <v>0</v>
      </c>
      <c r="AR352" s="11"/>
      <c r="AS352" s="11"/>
      <c r="AT352" s="11"/>
      <c r="AU352" s="11"/>
      <c r="AV352" s="11"/>
      <c r="AW352" s="10" t="s">
        <v>155</v>
      </c>
      <c r="AX352" s="10" t="s">
        <v>1170</v>
      </c>
      <c r="AY352" s="19" t="s">
        <v>261</v>
      </c>
      <c r="AZ352" s="10" t="s">
        <v>167</v>
      </c>
      <c r="BA352" s="10" t="s">
        <v>168</v>
      </c>
      <c r="BB352" s="10" t="s">
        <v>1171</v>
      </c>
      <c r="BC352" s="10" t="s">
        <v>327</v>
      </c>
      <c r="BD352" s="10"/>
      <c r="BE352" s="10"/>
      <c r="BF352" s="10"/>
      <c r="BG352" s="13"/>
      <c r="BH352" s="10"/>
      <c r="BI352" s="10"/>
      <c r="BJ352" s="10"/>
      <c r="BK352" s="10"/>
      <c r="BL352" s="10"/>
      <c r="BM352" s="10"/>
      <c r="BN352" s="9"/>
      <c r="BO352" s="9"/>
      <c r="BP352" s="16">
        <f t="shared" si="125"/>
        <v>0</v>
      </c>
      <c r="BQ352" s="16">
        <f t="shared" si="125"/>
        <v>0</v>
      </c>
      <c r="BR352" s="16">
        <f t="shared" si="125"/>
        <v>1200</v>
      </c>
      <c r="BS352" s="16">
        <f t="shared" si="125"/>
        <v>1200</v>
      </c>
      <c r="BT352" s="17">
        <f t="shared" si="125"/>
        <v>12000</v>
      </c>
      <c r="BU352" s="28">
        <f t="shared" si="120"/>
        <v>0</v>
      </c>
      <c r="BV352" s="28">
        <f t="shared" si="121"/>
        <v>12000</v>
      </c>
      <c r="BW352" s="28">
        <f t="shared" si="122"/>
        <v>0</v>
      </c>
    </row>
    <row r="353" spans="1:75" ht="17.399999999999999" x14ac:dyDescent="0.25">
      <c r="A353" s="69">
        <f t="shared" si="109"/>
        <v>352</v>
      </c>
      <c r="B353" s="70" t="s">
        <v>1164</v>
      </c>
      <c r="C353" s="71" t="s">
        <v>243</v>
      </c>
      <c r="D353" s="71" t="s">
        <v>1165</v>
      </c>
      <c r="E353" s="71" t="s">
        <v>1166</v>
      </c>
      <c r="F353" s="71"/>
      <c r="G353" s="71" t="s">
        <v>434</v>
      </c>
      <c r="H353" s="71" t="s">
        <v>435</v>
      </c>
      <c r="I353" s="71" t="str">
        <f>VLOOKUP(H353,[1]Sheet1!$C:$C,1,0)</f>
        <v>SC4688SA-Q-DC-40CK-4688</v>
      </c>
      <c r="J353" s="71"/>
      <c r="K353" s="71"/>
      <c r="L353" s="71" t="s">
        <v>1169</v>
      </c>
      <c r="M353" s="72">
        <v>20000</v>
      </c>
      <c r="N353" s="71" t="s">
        <v>361</v>
      </c>
      <c r="O353" s="73"/>
      <c r="P353" s="70"/>
      <c r="Q353" s="83"/>
      <c r="R353" s="100">
        <v>2.6</v>
      </c>
      <c r="S353" s="75">
        <f>R353*U353</f>
        <v>405600</v>
      </c>
      <c r="T353" s="92"/>
      <c r="U353" s="76">
        <f t="shared" si="119"/>
        <v>156000</v>
      </c>
      <c r="V353" s="72"/>
      <c r="W353" s="72"/>
      <c r="X353" s="72"/>
      <c r="Y353" s="72"/>
      <c r="Z353" s="72"/>
      <c r="AA353" s="72"/>
      <c r="AB353" s="72">
        <v>10000</v>
      </c>
      <c r="AC353" s="72">
        <v>10000</v>
      </c>
      <c r="AD353" s="77">
        <v>30000</v>
      </c>
      <c r="AE353" s="75">
        <v>52000</v>
      </c>
      <c r="AF353" s="75">
        <v>52000</v>
      </c>
      <c r="AG353" s="75">
        <v>52000</v>
      </c>
      <c r="AH353" s="75">
        <v>104000</v>
      </c>
      <c r="AI353" s="75"/>
      <c r="AJ353" s="75">
        <v>52000</v>
      </c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19" t="s">
        <v>1162</v>
      </c>
      <c r="AX353" s="19" t="s">
        <v>1170</v>
      </c>
      <c r="AY353" s="19" t="s">
        <v>371</v>
      </c>
      <c r="AZ353" s="19" t="s">
        <v>167</v>
      </c>
      <c r="BA353" s="19" t="s">
        <v>168</v>
      </c>
      <c r="BB353" s="19" t="s">
        <v>1171</v>
      </c>
      <c r="BC353" s="19" t="s">
        <v>327</v>
      </c>
      <c r="BD353" s="19"/>
      <c r="BE353" s="19"/>
      <c r="BF353" s="19"/>
      <c r="BG353" s="24"/>
      <c r="BH353" s="19"/>
      <c r="BI353" s="19"/>
      <c r="BJ353" s="19"/>
      <c r="BK353" s="19"/>
      <c r="BL353" s="19"/>
      <c r="BM353" s="19"/>
      <c r="BN353" s="18"/>
      <c r="BO353" s="18"/>
      <c r="BP353" s="27">
        <f t="shared" si="125"/>
        <v>0</v>
      </c>
      <c r="BQ353" s="27">
        <f t="shared" si="125"/>
        <v>0</v>
      </c>
      <c r="BR353" s="27">
        <f t="shared" si="125"/>
        <v>26000</v>
      </c>
      <c r="BS353" s="27">
        <f t="shared" si="125"/>
        <v>26000</v>
      </c>
      <c r="BT353" s="28">
        <f t="shared" si="125"/>
        <v>78000</v>
      </c>
      <c r="BU353" s="28">
        <f t="shared" si="120"/>
        <v>135200</v>
      </c>
      <c r="BV353" s="28">
        <f t="shared" si="121"/>
        <v>135200</v>
      </c>
      <c r="BW353" s="28">
        <f t="shared" si="122"/>
        <v>135200</v>
      </c>
    </row>
    <row r="354" spans="1:75" ht="17.399999999999999" x14ac:dyDescent="0.25">
      <c r="A354" s="69">
        <f t="shared" si="109"/>
        <v>353</v>
      </c>
      <c r="B354" s="70" t="s">
        <v>1164</v>
      </c>
      <c r="C354" s="71" t="s">
        <v>243</v>
      </c>
      <c r="D354" s="71" t="s">
        <v>1165</v>
      </c>
      <c r="E354" s="71" t="s">
        <v>1166</v>
      </c>
      <c r="F354" s="71"/>
      <c r="G354" s="71" t="s">
        <v>242</v>
      </c>
      <c r="H354" s="71" t="s">
        <v>1172</v>
      </c>
      <c r="I354" s="71" t="str">
        <f>VLOOKUP(H354,[1]Sheet1!$C:$C,1,0)</f>
        <v>SC4688DC-Q-DC-40CR-4688</v>
      </c>
      <c r="J354" s="71"/>
      <c r="K354" s="71"/>
      <c r="L354" s="71" t="s">
        <v>1169</v>
      </c>
      <c r="M354" s="72"/>
      <c r="N354" s="71" t="s">
        <v>382</v>
      </c>
      <c r="O354" s="73" t="s">
        <v>1173</v>
      </c>
      <c r="P354" s="70"/>
      <c r="Q354" s="83"/>
      <c r="R354" s="100"/>
      <c r="S354" s="75">
        <f>R354*U354</f>
        <v>0</v>
      </c>
      <c r="T354" s="92"/>
      <c r="U354" s="76">
        <f t="shared" si="119"/>
        <v>0</v>
      </c>
      <c r="V354" s="72"/>
      <c r="W354" s="72"/>
      <c r="X354" s="72"/>
      <c r="Y354" s="72"/>
      <c r="Z354" s="72"/>
      <c r="AA354" s="72"/>
      <c r="AB354" s="72"/>
      <c r="AC354" s="72"/>
      <c r="AD354" s="77"/>
      <c r="AE354" s="75"/>
      <c r="AF354" s="75"/>
      <c r="AG354" s="75"/>
      <c r="AH354" s="75">
        <v>0</v>
      </c>
      <c r="AI354" s="75"/>
      <c r="AJ354" s="75">
        <f>AH354</f>
        <v>0</v>
      </c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0" t="s">
        <v>1162</v>
      </c>
      <c r="AX354" s="10" t="s">
        <v>1170</v>
      </c>
      <c r="AY354" s="19" t="s">
        <v>371</v>
      </c>
      <c r="AZ354" s="10" t="s">
        <v>167</v>
      </c>
      <c r="BA354" s="10" t="s">
        <v>168</v>
      </c>
      <c r="BB354" s="10" t="s">
        <v>1171</v>
      </c>
      <c r="BC354" s="10" t="s">
        <v>327</v>
      </c>
      <c r="BD354" s="10"/>
      <c r="BE354" s="10"/>
      <c r="BF354" s="10"/>
      <c r="BG354" s="13"/>
      <c r="BH354" s="10"/>
      <c r="BI354" s="10"/>
      <c r="BJ354" s="10"/>
      <c r="BK354" s="10"/>
      <c r="BL354" s="10"/>
      <c r="BM354" s="10"/>
      <c r="BN354" s="9"/>
      <c r="BO354" s="9"/>
      <c r="BP354" s="16">
        <f t="shared" si="125"/>
        <v>0</v>
      </c>
      <c r="BQ354" s="16">
        <f t="shared" si="125"/>
        <v>0</v>
      </c>
      <c r="BR354" s="16">
        <f t="shared" si="125"/>
        <v>0</v>
      </c>
      <c r="BS354" s="16">
        <f t="shared" si="125"/>
        <v>0</v>
      </c>
      <c r="BT354" s="17">
        <f t="shared" si="125"/>
        <v>0</v>
      </c>
      <c r="BU354" s="28">
        <f t="shared" si="120"/>
        <v>0</v>
      </c>
      <c r="BV354" s="28">
        <f t="shared" si="121"/>
        <v>0</v>
      </c>
      <c r="BW354" s="28">
        <f t="shared" si="122"/>
        <v>0</v>
      </c>
    </row>
    <row r="355" spans="1:75" ht="17.399999999999999" x14ac:dyDescent="0.25">
      <c r="A355" s="69">
        <f t="shared" si="109"/>
        <v>354</v>
      </c>
      <c r="B355" s="70" t="s">
        <v>1164</v>
      </c>
      <c r="C355" s="71" t="s">
        <v>243</v>
      </c>
      <c r="D355" s="71" t="s">
        <v>1165</v>
      </c>
      <c r="E355" s="71" t="s">
        <v>1166</v>
      </c>
      <c r="F355" s="71"/>
      <c r="G355" s="73" t="s">
        <v>1018</v>
      </c>
      <c r="H355" s="71" t="s">
        <v>1019</v>
      </c>
      <c r="I355" s="71" t="str">
        <f>VLOOKUP(H355,[1]Sheet1!$C:$C,1,0)</f>
        <v>SC60228DC-DC-00AR-60228</v>
      </c>
      <c r="J355" s="71"/>
      <c r="K355" s="71"/>
      <c r="L355" s="71" t="s">
        <v>1169</v>
      </c>
      <c r="M355" s="72"/>
      <c r="N355" s="71" t="s">
        <v>361</v>
      </c>
      <c r="O355" s="73"/>
      <c r="P355" s="70"/>
      <c r="Q355" s="83"/>
      <c r="R355" s="100"/>
      <c r="S355" s="75">
        <f>R355*U355</f>
        <v>0</v>
      </c>
      <c r="T355" s="92"/>
      <c r="U355" s="76">
        <f t="shared" si="119"/>
        <v>0</v>
      </c>
      <c r="V355" s="72"/>
      <c r="W355" s="72"/>
      <c r="X355" s="72"/>
      <c r="Y355" s="72"/>
      <c r="Z355" s="72"/>
      <c r="AA355" s="72"/>
      <c r="AB355" s="72"/>
      <c r="AC355" s="72"/>
      <c r="AD355" s="77"/>
      <c r="AE355" s="75"/>
      <c r="AF355" s="75"/>
      <c r="AG355" s="75"/>
      <c r="AH355" s="75">
        <v>0</v>
      </c>
      <c r="AI355" s="75"/>
      <c r="AJ355" s="75">
        <f>AH355</f>
        <v>0</v>
      </c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19" t="s">
        <v>1162</v>
      </c>
      <c r="AX355" s="19" t="s">
        <v>1170</v>
      </c>
      <c r="AY355" s="19" t="s">
        <v>794</v>
      </c>
      <c r="AZ355" s="19" t="s">
        <v>167</v>
      </c>
      <c r="BA355" s="19" t="s">
        <v>168</v>
      </c>
      <c r="BB355" s="19" t="s">
        <v>1171</v>
      </c>
      <c r="BC355" s="19" t="s">
        <v>327</v>
      </c>
      <c r="BD355" s="19"/>
      <c r="BE355" s="19"/>
      <c r="BF355" s="19"/>
      <c r="BG355" s="24"/>
      <c r="BH355" s="19"/>
      <c r="BI355" s="19"/>
      <c r="BJ355" s="19"/>
      <c r="BK355" s="19"/>
      <c r="BL355" s="19"/>
      <c r="BM355" s="19"/>
      <c r="BN355" s="18"/>
      <c r="BO355" s="18"/>
      <c r="BP355" s="27">
        <f t="shared" si="125"/>
        <v>0</v>
      </c>
      <c r="BQ355" s="27">
        <f t="shared" si="125"/>
        <v>0</v>
      </c>
      <c r="BR355" s="27">
        <f t="shared" si="125"/>
        <v>0</v>
      </c>
      <c r="BS355" s="27">
        <f t="shared" si="125"/>
        <v>0</v>
      </c>
      <c r="BT355" s="28">
        <f t="shared" si="125"/>
        <v>0</v>
      </c>
      <c r="BU355" s="28">
        <f t="shared" si="120"/>
        <v>0</v>
      </c>
      <c r="BV355" s="28">
        <f t="shared" si="121"/>
        <v>0</v>
      </c>
      <c r="BW355" s="28">
        <f t="shared" si="122"/>
        <v>0</v>
      </c>
    </row>
    <row r="356" spans="1:75" ht="17.399999999999999" x14ac:dyDescent="0.25">
      <c r="A356" s="69">
        <f t="shared" si="109"/>
        <v>355</v>
      </c>
      <c r="B356" s="79" t="s">
        <v>239</v>
      </c>
      <c r="C356" s="78" t="s">
        <v>290</v>
      </c>
      <c r="D356" s="79" t="s">
        <v>1770</v>
      </c>
      <c r="E356" s="71" t="s">
        <v>236</v>
      </c>
      <c r="F356" s="71"/>
      <c r="G356" s="71" t="s">
        <v>240</v>
      </c>
      <c r="H356" s="71"/>
      <c r="I356" s="71" t="e">
        <f>VLOOKUP(H356,[1]Sheet1!$C:$C,1,0)</f>
        <v>#N/A</v>
      </c>
      <c r="J356" s="71"/>
      <c r="K356" s="71"/>
      <c r="L356" s="79"/>
      <c r="M356" s="72"/>
      <c r="N356" s="71"/>
      <c r="O356" s="73"/>
      <c r="P356" s="79"/>
      <c r="Q356" s="83"/>
      <c r="R356" s="100">
        <v>5</v>
      </c>
      <c r="S356" s="75"/>
      <c r="T356" s="76"/>
      <c r="U356" s="76">
        <f t="shared" si="119"/>
        <v>15000</v>
      </c>
      <c r="V356" s="72"/>
      <c r="W356" s="72"/>
      <c r="X356" s="72"/>
      <c r="Y356" s="72"/>
      <c r="Z356" s="72"/>
      <c r="AA356" s="72"/>
      <c r="AB356" s="72"/>
      <c r="AC356" s="72">
        <v>5000</v>
      </c>
      <c r="AD356" s="77">
        <v>5000</v>
      </c>
      <c r="AE356" s="75">
        <v>5000</v>
      </c>
      <c r="AF356" s="75">
        <v>5000</v>
      </c>
      <c r="AG356" s="75">
        <v>5000</v>
      </c>
      <c r="AH356" s="75">
        <v>5000</v>
      </c>
      <c r="AI356" s="75">
        <v>5000</v>
      </c>
      <c r="AJ356" s="75">
        <v>5000</v>
      </c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19"/>
      <c r="AX356" s="19"/>
      <c r="AY356" s="19" t="s">
        <v>794</v>
      </c>
      <c r="AZ356" s="19"/>
      <c r="BA356" s="19"/>
      <c r="BB356" s="19"/>
      <c r="BC356" s="19"/>
      <c r="BD356" s="19"/>
      <c r="BE356" s="19"/>
      <c r="BF356" s="19"/>
      <c r="BG356" s="24"/>
      <c r="BH356" s="19"/>
      <c r="BI356" s="19"/>
      <c r="BJ356" s="19"/>
      <c r="BK356" s="19"/>
      <c r="BL356" s="19"/>
      <c r="BM356" s="19"/>
      <c r="BN356" s="18"/>
      <c r="BO356" s="18"/>
      <c r="BP356" s="27"/>
      <c r="BQ356" s="27"/>
      <c r="BR356" s="27"/>
      <c r="BS356" s="27"/>
      <c r="BT356" s="28">
        <f t="shared" ref="BT356:BT387" si="126">$R356*AD356</f>
        <v>25000</v>
      </c>
      <c r="BU356" s="28">
        <f t="shared" si="120"/>
        <v>25000</v>
      </c>
      <c r="BV356" s="28">
        <f t="shared" si="121"/>
        <v>25000</v>
      </c>
      <c r="BW356" s="28">
        <f t="shared" si="122"/>
        <v>25000</v>
      </c>
    </row>
    <row r="357" spans="1:75" ht="17.399999999999999" x14ac:dyDescent="0.25">
      <c r="A357" s="69">
        <f t="shared" si="109"/>
        <v>356</v>
      </c>
      <c r="B357" s="70" t="s">
        <v>1763</v>
      </c>
      <c r="C357" s="71" t="s">
        <v>243</v>
      </c>
      <c r="D357" s="71" t="s">
        <v>1165</v>
      </c>
      <c r="E357" s="71" t="s">
        <v>1166</v>
      </c>
      <c r="F357" s="71"/>
      <c r="G357" s="71" t="s">
        <v>616</v>
      </c>
      <c r="H357" s="71" t="s">
        <v>1764</v>
      </c>
      <c r="I357" s="71" t="str">
        <f>VLOOKUP(H357,[1]Sheet1!$C:$C,1,0)</f>
        <v>SC1134UA-CI-00AK-44E</v>
      </c>
      <c r="J357" s="71"/>
      <c r="K357" s="71"/>
      <c r="L357" s="71"/>
      <c r="M357" s="72"/>
      <c r="N357" s="71"/>
      <c r="O357" s="73"/>
      <c r="P357" s="70"/>
      <c r="Q357" s="83"/>
      <c r="R357" s="100">
        <v>0.2</v>
      </c>
      <c r="S357" s="75">
        <f t="shared" ref="S357:S362" si="127">R357*U357</f>
        <v>120000</v>
      </c>
      <c r="T357" s="92"/>
      <c r="U357" s="76">
        <f t="shared" si="119"/>
        <v>600000</v>
      </c>
      <c r="V357" s="72"/>
      <c r="W357" s="72"/>
      <c r="X357" s="72"/>
      <c r="Y357" s="72"/>
      <c r="Z357" s="72"/>
      <c r="AA357" s="72"/>
      <c r="AB357" s="72">
        <v>200000</v>
      </c>
      <c r="AC357" s="72">
        <v>200000</v>
      </c>
      <c r="AD357" s="77">
        <v>200000</v>
      </c>
      <c r="AE357" s="75">
        <v>200000</v>
      </c>
      <c r="AF357" s="75">
        <v>200000</v>
      </c>
      <c r="AG357" s="75">
        <v>200000</v>
      </c>
      <c r="AH357" s="75">
        <v>200000</v>
      </c>
      <c r="AI357" s="75"/>
      <c r="AJ357" s="75">
        <f>AH357</f>
        <v>200000</v>
      </c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19"/>
      <c r="AX357" s="19" t="s">
        <v>1170</v>
      </c>
      <c r="AY357" s="19" t="s">
        <v>261</v>
      </c>
      <c r="AZ357" s="19"/>
      <c r="BA357" s="19"/>
      <c r="BB357" s="19"/>
      <c r="BC357" s="19"/>
      <c r="BD357" s="19"/>
      <c r="BE357" s="19"/>
      <c r="BF357" s="19"/>
      <c r="BG357" s="24"/>
      <c r="BH357" s="19"/>
      <c r="BI357" s="19"/>
      <c r="BJ357" s="19"/>
      <c r="BK357" s="19"/>
      <c r="BL357" s="19"/>
      <c r="BM357" s="19"/>
      <c r="BN357" s="18"/>
      <c r="BO357" s="18"/>
      <c r="BP357" s="27"/>
      <c r="BQ357" s="27">
        <f t="shared" ref="BQ357:BS361" si="128">$R357*AA357</f>
        <v>0</v>
      </c>
      <c r="BR357" s="27">
        <f t="shared" si="128"/>
        <v>40000</v>
      </c>
      <c r="BS357" s="27">
        <f t="shared" si="128"/>
        <v>40000</v>
      </c>
      <c r="BT357" s="28">
        <f t="shared" si="126"/>
        <v>40000</v>
      </c>
      <c r="BU357" s="28">
        <f t="shared" si="120"/>
        <v>40000</v>
      </c>
      <c r="BV357" s="28">
        <f t="shared" si="121"/>
        <v>40000</v>
      </c>
      <c r="BW357" s="28">
        <f t="shared" si="122"/>
        <v>40000</v>
      </c>
    </row>
    <row r="358" spans="1:75" ht="17.399999999999999" x14ac:dyDescent="0.25">
      <c r="A358" s="69">
        <f t="shared" si="109"/>
        <v>357</v>
      </c>
      <c r="B358" s="70" t="s">
        <v>1765</v>
      </c>
      <c r="C358" s="71" t="s">
        <v>243</v>
      </c>
      <c r="D358" s="71" t="s">
        <v>1165</v>
      </c>
      <c r="E358" s="71" t="s">
        <v>1166</v>
      </c>
      <c r="F358" s="71"/>
      <c r="G358" s="71" t="s">
        <v>286</v>
      </c>
      <c r="H358" s="71" t="s">
        <v>287</v>
      </c>
      <c r="I358" s="71" t="str">
        <f>VLOOKUP(H358,[1]Sheet1!$C:$C,1,0)</f>
        <v>SC2063SO-GC-00NR-2063</v>
      </c>
      <c r="J358" s="71"/>
      <c r="K358" s="71"/>
      <c r="L358" s="71"/>
      <c r="M358" s="72"/>
      <c r="N358" s="71"/>
      <c r="O358" s="73"/>
      <c r="P358" s="70"/>
      <c r="Q358" s="83"/>
      <c r="R358" s="100">
        <v>0.121</v>
      </c>
      <c r="S358" s="75">
        <f t="shared" si="127"/>
        <v>14520</v>
      </c>
      <c r="T358" s="92"/>
      <c r="U358" s="76">
        <f t="shared" si="119"/>
        <v>120000</v>
      </c>
      <c r="V358" s="72"/>
      <c r="W358" s="72"/>
      <c r="X358" s="72"/>
      <c r="Y358" s="72"/>
      <c r="Z358" s="72"/>
      <c r="AA358" s="72"/>
      <c r="AB358" s="72">
        <v>39000</v>
      </c>
      <c r="AC358" s="72">
        <v>39000</v>
      </c>
      <c r="AD358" s="77"/>
      <c r="AE358" s="75">
        <v>60000</v>
      </c>
      <c r="AF358" s="75"/>
      <c r="AG358" s="75">
        <v>60000</v>
      </c>
      <c r="AH358" s="75"/>
      <c r="AI358" s="75"/>
      <c r="AJ358" s="75">
        <f>AH358</f>
        <v>0</v>
      </c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0"/>
      <c r="AX358" s="10" t="s">
        <v>1170</v>
      </c>
      <c r="AY358" s="19" t="s">
        <v>261</v>
      </c>
      <c r="AZ358" s="10"/>
      <c r="BA358" s="10"/>
      <c r="BB358" s="10"/>
      <c r="BC358" s="10"/>
      <c r="BD358" s="10"/>
      <c r="BE358" s="10"/>
      <c r="BF358" s="10"/>
      <c r="BG358" s="13"/>
      <c r="BH358" s="10"/>
      <c r="BI358" s="10"/>
      <c r="BJ358" s="10"/>
      <c r="BK358" s="10"/>
      <c r="BL358" s="10"/>
      <c r="BM358" s="10"/>
      <c r="BN358" s="9"/>
      <c r="BO358" s="9"/>
      <c r="BP358" s="16"/>
      <c r="BQ358" s="16">
        <f t="shared" si="128"/>
        <v>0</v>
      </c>
      <c r="BR358" s="16">
        <f t="shared" si="128"/>
        <v>4719</v>
      </c>
      <c r="BS358" s="16">
        <f t="shared" si="128"/>
        <v>4719</v>
      </c>
      <c r="BT358" s="17">
        <f t="shared" si="126"/>
        <v>0</v>
      </c>
      <c r="BU358" s="28">
        <f t="shared" si="120"/>
        <v>7260</v>
      </c>
      <c r="BV358" s="28">
        <f t="shared" si="121"/>
        <v>0</v>
      </c>
      <c r="BW358" s="28">
        <f t="shared" si="122"/>
        <v>7260</v>
      </c>
    </row>
    <row r="359" spans="1:75" ht="17.399999999999999" x14ac:dyDescent="0.25">
      <c r="A359" s="69">
        <f t="shared" si="109"/>
        <v>358</v>
      </c>
      <c r="B359" s="70" t="s">
        <v>1766</v>
      </c>
      <c r="C359" s="71" t="s">
        <v>243</v>
      </c>
      <c r="D359" s="71" t="s">
        <v>1165</v>
      </c>
      <c r="E359" s="71" t="s">
        <v>1166</v>
      </c>
      <c r="F359" s="71"/>
      <c r="G359" s="71" t="s">
        <v>275</v>
      </c>
      <c r="H359" s="71" t="s">
        <v>276</v>
      </c>
      <c r="I359" s="71" t="str">
        <f>VLOOKUP(H359,[1]Sheet1!$C:$C,1,0)</f>
        <v>SC2064SO-GC-00NR-2064</v>
      </c>
      <c r="J359" s="71"/>
      <c r="K359" s="71"/>
      <c r="L359" s="71"/>
      <c r="M359" s="72"/>
      <c r="N359" s="71"/>
      <c r="O359" s="73"/>
      <c r="P359" s="70"/>
      <c r="Q359" s="83"/>
      <c r="R359" s="100">
        <v>0.10199999999999999</v>
      </c>
      <c r="S359" s="75">
        <f t="shared" si="127"/>
        <v>30599.999999999996</v>
      </c>
      <c r="T359" s="92"/>
      <c r="U359" s="76">
        <f t="shared" si="119"/>
        <v>300000</v>
      </c>
      <c r="V359" s="72"/>
      <c r="W359" s="72"/>
      <c r="X359" s="72"/>
      <c r="Y359" s="72"/>
      <c r="Z359" s="72"/>
      <c r="AA359" s="72"/>
      <c r="AB359" s="72">
        <v>33000</v>
      </c>
      <c r="AC359" s="72">
        <v>33000</v>
      </c>
      <c r="AD359" s="77"/>
      <c r="AE359" s="75">
        <v>200000</v>
      </c>
      <c r="AF359" s="75">
        <v>100000</v>
      </c>
      <c r="AG359" s="75"/>
      <c r="AH359" s="75"/>
      <c r="AI359" s="75"/>
      <c r="AJ359" s="75">
        <f>AH359</f>
        <v>0</v>
      </c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19"/>
      <c r="AX359" s="19" t="s">
        <v>1170</v>
      </c>
      <c r="AY359" s="19" t="s">
        <v>261</v>
      </c>
      <c r="AZ359" s="19"/>
      <c r="BA359" s="19"/>
      <c r="BB359" s="19"/>
      <c r="BC359" s="19"/>
      <c r="BD359" s="19"/>
      <c r="BE359" s="19"/>
      <c r="BF359" s="19"/>
      <c r="BG359" s="24"/>
      <c r="BH359" s="19"/>
      <c r="BI359" s="19"/>
      <c r="BJ359" s="19"/>
      <c r="BK359" s="19"/>
      <c r="BL359" s="19"/>
      <c r="BM359" s="19"/>
      <c r="BN359" s="18"/>
      <c r="BO359" s="18"/>
      <c r="BP359" s="27"/>
      <c r="BQ359" s="27">
        <f t="shared" si="128"/>
        <v>0</v>
      </c>
      <c r="BR359" s="27">
        <f t="shared" si="128"/>
        <v>3366</v>
      </c>
      <c r="BS359" s="27">
        <f t="shared" si="128"/>
        <v>3366</v>
      </c>
      <c r="BT359" s="28">
        <f t="shared" si="126"/>
        <v>0</v>
      </c>
      <c r="BU359" s="28">
        <f t="shared" si="120"/>
        <v>20400</v>
      </c>
      <c r="BV359" s="28">
        <f t="shared" si="121"/>
        <v>10200</v>
      </c>
      <c r="BW359" s="28">
        <f t="shared" si="122"/>
        <v>0</v>
      </c>
    </row>
    <row r="360" spans="1:75" ht="17.399999999999999" x14ac:dyDescent="0.25">
      <c r="A360" s="69">
        <f t="shared" si="109"/>
        <v>359</v>
      </c>
      <c r="B360" s="71" t="s">
        <v>1767</v>
      </c>
      <c r="C360" s="71" t="s">
        <v>243</v>
      </c>
      <c r="D360" s="71" t="s">
        <v>1767</v>
      </c>
      <c r="E360" s="71" t="s">
        <v>978</v>
      </c>
      <c r="F360" s="71"/>
      <c r="G360" s="71" t="s">
        <v>1236</v>
      </c>
      <c r="H360" s="71" t="s">
        <v>1759</v>
      </c>
      <c r="I360" s="71" t="str">
        <f>VLOOKUP(H360,[1]Sheet1!$C:$C,1,0)</f>
        <v>SC9632VB-CE-00CK-9632</v>
      </c>
      <c r="J360" s="71"/>
      <c r="K360" s="71"/>
      <c r="L360" s="71"/>
      <c r="M360" s="72"/>
      <c r="N360" s="71"/>
      <c r="O360" s="73"/>
      <c r="P360" s="70"/>
      <c r="Q360" s="83"/>
      <c r="R360" s="100">
        <v>5.15</v>
      </c>
      <c r="S360" s="75">
        <f t="shared" si="127"/>
        <v>1236000</v>
      </c>
      <c r="T360" s="92"/>
      <c r="U360" s="76">
        <f t="shared" si="119"/>
        <v>240000</v>
      </c>
      <c r="V360" s="72"/>
      <c r="W360" s="72"/>
      <c r="X360" s="72"/>
      <c r="Y360" s="72"/>
      <c r="Z360" s="72"/>
      <c r="AA360" s="72">
        <v>80000</v>
      </c>
      <c r="AB360" s="72">
        <v>80000</v>
      </c>
      <c r="AC360" s="72">
        <v>80000</v>
      </c>
      <c r="AD360" s="77">
        <v>80000</v>
      </c>
      <c r="AE360" s="75">
        <v>80000</v>
      </c>
      <c r="AF360" s="75">
        <v>80000</v>
      </c>
      <c r="AG360" s="75">
        <v>80000</v>
      </c>
      <c r="AH360" s="75">
        <v>80000</v>
      </c>
      <c r="AI360" s="75">
        <v>80000</v>
      </c>
      <c r="AJ360" s="75">
        <v>80000</v>
      </c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0"/>
      <c r="AX360" s="10" t="s">
        <v>1170</v>
      </c>
      <c r="AY360" s="19" t="s">
        <v>386</v>
      </c>
      <c r="AZ360" s="10"/>
      <c r="BA360" s="10"/>
      <c r="BB360" s="10"/>
      <c r="BC360" s="10"/>
      <c r="BD360" s="10"/>
      <c r="BE360" s="10"/>
      <c r="BF360" s="10"/>
      <c r="BG360" s="13"/>
      <c r="BH360" s="10"/>
      <c r="BI360" s="10"/>
      <c r="BJ360" s="10"/>
      <c r="BK360" s="10"/>
      <c r="BL360" s="10"/>
      <c r="BM360" s="10"/>
      <c r="BN360" s="9"/>
      <c r="BO360" s="9"/>
      <c r="BP360" s="16"/>
      <c r="BQ360" s="16">
        <f t="shared" si="128"/>
        <v>412000</v>
      </c>
      <c r="BR360" s="16">
        <f t="shared" si="128"/>
        <v>412000</v>
      </c>
      <c r="BS360" s="16">
        <f t="shared" si="128"/>
        <v>412000</v>
      </c>
      <c r="BT360" s="17">
        <f t="shared" si="126"/>
        <v>412000</v>
      </c>
      <c r="BU360" s="28">
        <f t="shared" si="120"/>
        <v>412000</v>
      </c>
      <c r="BV360" s="28">
        <f t="shared" si="121"/>
        <v>412000</v>
      </c>
      <c r="BW360" s="28">
        <f t="shared" si="122"/>
        <v>412000</v>
      </c>
    </row>
    <row r="361" spans="1:75" ht="17.399999999999999" x14ac:dyDescent="0.25">
      <c r="A361" s="69">
        <f t="shared" ref="A361:A424" si="129">ROW()-1</f>
        <v>360</v>
      </c>
      <c r="B361" s="71" t="s">
        <v>1767</v>
      </c>
      <c r="C361" s="71" t="s">
        <v>243</v>
      </c>
      <c r="D361" s="71" t="s">
        <v>1767</v>
      </c>
      <c r="E361" s="71" t="s">
        <v>978</v>
      </c>
      <c r="F361" s="71"/>
      <c r="G361" s="71" t="s">
        <v>1768</v>
      </c>
      <c r="H361" s="71" t="s">
        <v>1769</v>
      </c>
      <c r="I361" s="71" t="str">
        <f>VLOOKUP(H361,[1]Sheet1!$C:$C,1,0)</f>
        <v>SC9633VB-CF-00CK-9633</v>
      </c>
      <c r="J361" s="71"/>
      <c r="K361" s="71"/>
      <c r="L361" s="71"/>
      <c r="M361" s="72"/>
      <c r="N361" s="71"/>
      <c r="O361" s="73"/>
      <c r="P361" s="70"/>
      <c r="Q361" s="83"/>
      <c r="R361" s="100">
        <v>5.15</v>
      </c>
      <c r="S361" s="75">
        <f t="shared" si="127"/>
        <v>309000</v>
      </c>
      <c r="T361" s="92"/>
      <c r="U361" s="76">
        <f t="shared" si="119"/>
        <v>60000</v>
      </c>
      <c r="V361" s="72">
        <v>20000</v>
      </c>
      <c r="W361" s="72">
        <v>20000</v>
      </c>
      <c r="X361" s="72">
        <v>20000</v>
      </c>
      <c r="Y361" s="72">
        <v>20000</v>
      </c>
      <c r="Z361" s="72">
        <v>20000</v>
      </c>
      <c r="AA361" s="72">
        <v>20000</v>
      </c>
      <c r="AB361" s="72"/>
      <c r="AC361" s="72"/>
      <c r="AD361" s="77"/>
      <c r="AE361" s="75">
        <v>20000</v>
      </c>
      <c r="AF361" s="75">
        <v>20000</v>
      </c>
      <c r="AG361" s="75">
        <v>20000</v>
      </c>
      <c r="AH361" s="75">
        <v>20000</v>
      </c>
      <c r="AI361" s="75">
        <v>20000</v>
      </c>
      <c r="AJ361" s="75">
        <v>20000</v>
      </c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19"/>
      <c r="AX361" s="19" t="s">
        <v>1170</v>
      </c>
      <c r="AY361" s="19" t="s">
        <v>386</v>
      </c>
      <c r="AZ361" s="19"/>
      <c r="BA361" s="19"/>
      <c r="BB361" s="19"/>
      <c r="BC361" s="19"/>
      <c r="BD361" s="19"/>
      <c r="BE361" s="19"/>
      <c r="BF361" s="19"/>
      <c r="BG361" s="24"/>
      <c r="BH361" s="19"/>
      <c r="BI361" s="19"/>
      <c r="BJ361" s="19"/>
      <c r="BK361" s="19"/>
      <c r="BL361" s="19"/>
      <c r="BM361" s="19"/>
      <c r="BN361" s="18"/>
      <c r="BO361" s="18"/>
      <c r="BP361" s="27"/>
      <c r="BQ361" s="27">
        <f t="shared" si="128"/>
        <v>103000</v>
      </c>
      <c r="BR361" s="27">
        <f t="shared" si="128"/>
        <v>0</v>
      </c>
      <c r="BS361" s="27">
        <f t="shared" si="128"/>
        <v>0</v>
      </c>
      <c r="BT361" s="28">
        <f t="shared" si="126"/>
        <v>0</v>
      </c>
      <c r="BU361" s="28">
        <f t="shared" si="120"/>
        <v>103000</v>
      </c>
      <c r="BV361" s="28">
        <f t="shared" si="121"/>
        <v>103000</v>
      </c>
      <c r="BW361" s="28">
        <f t="shared" si="122"/>
        <v>103000</v>
      </c>
    </row>
    <row r="362" spans="1:75" ht="17.399999999999999" x14ac:dyDescent="0.25">
      <c r="A362" s="69">
        <f t="shared" si="129"/>
        <v>361</v>
      </c>
      <c r="B362" s="73" t="s">
        <v>1801</v>
      </c>
      <c r="C362" s="71" t="s">
        <v>243</v>
      </c>
      <c r="D362" s="71" t="s">
        <v>1802</v>
      </c>
      <c r="E362" s="71" t="s">
        <v>1302</v>
      </c>
      <c r="F362" s="71"/>
      <c r="G362" s="71" t="s">
        <v>1006</v>
      </c>
      <c r="H362" s="71" t="s">
        <v>1803</v>
      </c>
      <c r="I362" s="71" t="str">
        <f>VLOOKUP(H362,[1]Sheet1!$C:$C,1,0)</f>
        <v>SC1245A3-CD-00CK-41F</v>
      </c>
      <c r="J362" s="71"/>
      <c r="K362" s="71"/>
      <c r="L362" s="73"/>
      <c r="M362" s="80"/>
      <c r="N362" s="72"/>
      <c r="O362" s="73"/>
      <c r="P362" s="71"/>
      <c r="Q362" s="71"/>
      <c r="R362" s="100">
        <v>0.25</v>
      </c>
      <c r="S362" s="75">
        <f t="shared" si="127"/>
        <v>300000</v>
      </c>
      <c r="T362" s="91"/>
      <c r="U362" s="76">
        <f t="shared" si="119"/>
        <v>1200000</v>
      </c>
      <c r="V362" s="80"/>
      <c r="W362" s="80"/>
      <c r="X362" s="80"/>
      <c r="Y362" s="72"/>
      <c r="Z362" s="72"/>
      <c r="AA362" s="72"/>
      <c r="AB362" s="72">
        <v>400000</v>
      </c>
      <c r="AC362" s="72">
        <v>400000</v>
      </c>
      <c r="AD362" s="77">
        <v>400000</v>
      </c>
      <c r="AE362" s="75">
        <v>400000</v>
      </c>
      <c r="AF362" s="75">
        <v>400000</v>
      </c>
      <c r="AG362" s="75">
        <v>400000</v>
      </c>
      <c r="AH362" s="75">
        <v>400000</v>
      </c>
      <c r="AI362" s="75"/>
      <c r="AJ362" s="75">
        <v>0</v>
      </c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10"/>
      <c r="AX362" s="10" t="s">
        <v>1170</v>
      </c>
      <c r="AY362" s="19" t="s">
        <v>261</v>
      </c>
      <c r="AZ362" s="10"/>
      <c r="BA362" s="10"/>
      <c r="BB362" s="10"/>
      <c r="BC362" s="10"/>
      <c r="BD362" s="10"/>
      <c r="BE362" s="10"/>
      <c r="BF362" s="10"/>
      <c r="BG362" s="13"/>
      <c r="BH362" s="10"/>
      <c r="BI362" s="14"/>
      <c r="BJ362" s="14"/>
      <c r="BK362" s="14"/>
      <c r="BL362" s="14"/>
      <c r="BM362" s="14"/>
      <c r="BN362" s="35"/>
      <c r="BO362" s="11"/>
      <c r="BP362" s="16"/>
      <c r="BQ362" s="16"/>
      <c r="BR362" s="16"/>
      <c r="BS362" s="16">
        <f>$R362*AC362</f>
        <v>100000</v>
      </c>
      <c r="BT362" s="17">
        <f t="shared" si="126"/>
        <v>100000</v>
      </c>
      <c r="BU362" s="28">
        <f t="shared" si="120"/>
        <v>100000</v>
      </c>
      <c r="BV362" s="28">
        <f t="shared" si="121"/>
        <v>100000</v>
      </c>
      <c r="BW362" s="28">
        <f t="shared" si="122"/>
        <v>100000</v>
      </c>
    </row>
    <row r="363" spans="1:75" ht="17.399999999999999" x14ac:dyDescent="0.25">
      <c r="A363" s="69">
        <f t="shared" si="129"/>
        <v>362</v>
      </c>
      <c r="B363" s="73" t="s">
        <v>1804</v>
      </c>
      <c r="C363" s="71" t="s">
        <v>243</v>
      </c>
      <c r="D363" s="71" t="s">
        <v>1802</v>
      </c>
      <c r="E363" s="71" t="s">
        <v>1302</v>
      </c>
      <c r="F363" s="71"/>
      <c r="G363" s="71" t="s">
        <v>525</v>
      </c>
      <c r="H363" s="71" t="s">
        <v>1288</v>
      </c>
      <c r="I363" s="71" t="str">
        <f>VLOOKUP(H363,[1]Sheet1!$C:$C,1,0)</f>
        <v>SC2442SO-N-Q-DB-60CR-2442</v>
      </c>
      <c r="J363" s="71"/>
      <c r="K363" s="71"/>
      <c r="L363" s="73"/>
      <c r="M363" s="80"/>
      <c r="N363" s="72"/>
      <c r="O363" s="73"/>
      <c r="P363" s="71"/>
      <c r="Q363" s="71"/>
      <c r="R363" s="100">
        <v>0.51600000000000001</v>
      </c>
      <c r="S363" s="75"/>
      <c r="T363" s="91"/>
      <c r="U363" s="76">
        <f t="shared" si="119"/>
        <v>240000</v>
      </c>
      <c r="V363" s="80"/>
      <c r="W363" s="80"/>
      <c r="X363" s="80"/>
      <c r="Y363" s="72"/>
      <c r="Z363" s="72"/>
      <c r="AA363" s="72"/>
      <c r="AB363" s="72"/>
      <c r="AC363" s="72">
        <v>80000</v>
      </c>
      <c r="AD363" s="77">
        <v>80000</v>
      </c>
      <c r="AE363" s="75">
        <v>80000</v>
      </c>
      <c r="AF363" s="75">
        <v>80000</v>
      </c>
      <c r="AG363" s="75">
        <v>80000</v>
      </c>
      <c r="AH363" s="75">
        <v>80000</v>
      </c>
      <c r="AI363" s="75"/>
      <c r="AJ363" s="75">
        <v>0</v>
      </c>
      <c r="AK363" s="33"/>
      <c r="AL363" s="33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19"/>
      <c r="AX363" s="19" t="s">
        <v>1170</v>
      </c>
      <c r="AY363" s="19" t="s">
        <v>261</v>
      </c>
      <c r="AZ363" s="19"/>
      <c r="BA363" s="19"/>
      <c r="BB363" s="19"/>
      <c r="BC363" s="19"/>
      <c r="BD363" s="19"/>
      <c r="BE363" s="19"/>
      <c r="BF363" s="19"/>
      <c r="BG363" s="24"/>
      <c r="BH363" s="19"/>
      <c r="BI363" s="25"/>
      <c r="BJ363" s="25"/>
      <c r="BK363" s="25"/>
      <c r="BL363" s="25"/>
      <c r="BM363" s="25"/>
      <c r="BN363" s="37"/>
      <c r="BO363" s="21"/>
      <c r="BP363" s="27"/>
      <c r="BQ363" s="27"/>
      <c r="BR363" s="27"/>
      <c r="BS363" s="27">
        <f>$R363*AC363</f>
        <v>41280</v>
      </c>
      <c r="BT363" s="28">
        <f t="shared" si="126"/>
        <v>41280</v>
      </c>
      <c r="BU363" s="28">
        <f t="shared" si="120"/>
        <v>41280</v>
      </c>
      <c r="BV363" s="28">
        <f t="shared" si="121"/>
        <v>41280</v>
      </c>
      <c r="BW363" s="28">
        <f t="shared" si="122"/>
        <v>41280</v>
      </c>
    </row>
    <row r="364" spans="1:75" ht="17.399999999999999" x14ac:dyDescent="0.25">
      <c r="A364" s="69">
        <f t="shared" si="129"/>
        <v>363</v>
      </c>
      <c r="B364" s="87" t="s">
        <v>1130</v>
      </c>
      <c r="C364" s="71" t="s">
        <v>290</v>
      </c>
      <c r="D364" s="71" t="s">
        <v>487</v>
      </c>
      <c r="E364" s="71" t="s">
        <v>461</v>
      </c>
      <c r="F364" s="73"/>
      <c r="G364" s="71" t="s">
        <v>1131</v>
      </c>
      <c r="H364" s="71" t="s">
        <v>1132</v>
      </c>
      <c r="I364" s="71" t="str">
        <f>VLOOKUP(H364,[1]Sheet1!$C:$C,1,0)</f>
        <v>SC60370(STC9D05C)-60370</v>
      </c>
      <c r="J364" s="87"/>
      <c r="K364" s="87"/>
      <c r="L364" s="71"/>
      <c r="M364" s="73" t="s">
        <v>1133</v>
      </c>
      <c r="N364" s="72">
        <v>100000</v>
      </c>
      <c r="O364" s="73" t="s">
        <v>362</v>
      </c>
      <c r="P364" s="71" t="s">
        <v>95</v>
      </c>
      <c r="Q364" s="74" t="s">
        <v>1073</v>
      </c>
      <c r="R364" s="100">
        <v>8.5</v>
      </c>
      <c r="S364" s="75">
        <f>R364*U364</f>
        <v>425000</v>
      </c>
      <c r="T364" s="76">
        <v>425000</v>
      </c>
      <c r="U364" s="76">
        <f t="shared" si="119"/>
        <v>50000</v>
      </c>
      <c r="V364" s="72">
        <v>50000</v>
      </c>
      <c r="W364" s="72">
        <v>0</v>
      </c>
      <c r="X364" s="72">
        <v>0</v>
      </c>
      <c r="Y364" s="72">
        <v>0</v>
      </c>
      <c r="Z364" s="72">
        <v>0</v>
      </c>
      <c r="AA364" s="72">
        <v>0</v>
      </c>
      <c r="AB364" s="72">
        <v>0</v>
      </c>
      <c r="AC364" s="72">
        <v>0</v>
      </c>
      <c r="AD364" s="77">
        <v>0</v>
      </c>
      <c r="AE364" s="75">
        <v>0</v>
      </c>
      <c r="AF364" s="75">
        <v>0</v>
      </c>
      <c r="AG364" s="75">
        <v>50000</v>
      </c>
      <c r="AH364" s="75">
        <v>50000</v>
      </c>
      <c r="AI364" s="75">
        <v>50000</v>
      </c>
      <c r="AJ364" s="75">
        <v>50000</v>
      </c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19" t="s">
        <v>1074</v>
      </c>
      <c r="AX364" s="19" t="s">
        <v>85</v>
      </c>
      <c r="AY364" s="19" t="s">
        <v>794</v>
      </c>
      <c r="AZ364" s="18" t="s">
        <v>167</v>
      </c>
      <c r="BA364" s="18" t="s">
        <v>346</v>
      </c>
      <c r="BB364" s="18" t="s">
        <v>347</v>
      </c>
      <c r="BC364" s="19" t="s">
        <v>1134</v>
      </c>
      <c r="BD364" s="19" t="s">
        <v>1135</v>
      </c>
      <c r="BE364" s="19"/>
      <c r="BF364" s="19"/>
      <c r="BG364" s="24">
        <v>1</v>
      </c>
      <c r="BH364" s="25"/>
      <c r="BI364" s="25"/>
      <c r="BJ364" s="25"/>
      <c r="BK364" s="25"/>
      <c r="BL364" s="25"/>
      <c r="BM364" s="25"/>
      <c r="BN364" s="26" t="s">
        <v>504</v>
      </c>
      <c r="BO364" s="27"/>
      <c r="BP364" s="27">
        <f t="shared" ref="BP364:BR365" si="130">$R364*Z364</f>
        <v>0</v>
      </c>
      <c r="BQ364" s="27">
        <f t="shared" si="130"/>
        <v>0</v>
      </c>
      <c r="BR364" s="27">
        <f t="shared" si="130"/>
        <v>0</v>
      </c>
      <c r="BS364" s="27">
        <f>$R364*AC364</f>
        <v>0</v>
      </c>
      <c r="BT364" s="28">
        <f t="shared" si="126"/>
        <v>0</v>
      </c>
      <c r="BU364" s="28">
        <f t="shared" si="120"/>
        <v>0</v>
      </c>
      <c r="BV364" s="28">
        <f t="shared" si="121"/>
        <v>0</v>
      </c>
      <c r="BW364" s="28">
        <f t="shared" si="122"/>
        <v>425000</v>
      </c>
    </row>
    <row r="365" spans="1:75" ht="17.399999999999999" x14ac:dyDescent="0.25">
      <c r="A365" s="69">
        <f t="shared" si="129"/>
        <v>364</v>
      </c>
      <c r="B365" s="78" t="s">
        <v>197</v>
      </c>
      <c r="C365" s="78" t="s">
        <v>243</v>
      </c>
      <c r="D365" s="78" t="s">
        <v>198</v>
      </c>
      <c r="E365" s="78" t="s">
        <v>199</v>
      </c>
      <c r="F365" s="78" t="s">
        <v>108</v>
      </c>
      <c r="G365" s="71" t="s">
        <v>207</v>
      </c>
      <c r="H365" s="71" t="s">
        <v>1876</v>
      </c>
      <c r="I365" s="71" t="str">
        <f>VLOOKUP(H365,[1]Sheet1!$C:$C,1,0)</f>
        <v>SC69401DC-SPI3P3-Q-HD-4XCR-69401</v>
      </c>
      <c r="J365" s="71"/>
      <c r="K365" s="71"/>
      <c r="L365" s="78" t="s">
        <v>201</v>
      </c>
      <c r="M365" s="78"/>
      <c r="N365" s="78" t="s">
        <v>202</v>
      </c>
      <c r="O365" s="78"/>
      <c r="P365" s="78"/>
      <c r="Q365" s="78"/>
      <c r="R365" s="101">
        <v>3.6</v>
      </c>
      <c r="S365" s="75">
        <f>R365*U365</f>
        <v>18000</v>
      </c>
      <c r="T365" s="76">
        <v>324000</v>
      </c>
      <c r="U365" s="76">
        <f t="shared" si="119"/>
        <v>5000</v>
      </c>
      <c r="V365" s="78"/>
      <c r="W365" s="78"/>
      <c r="X365" s="78"/>
      <c r="Y365" s="72">
        <v>3000</v>
      </c>
      <c r="Z365" s="72">
        <v>6000</v>
      </c>
      <c r="AA365" s="72">
        <v>6000</v>
      </c>
      <c r="AB365" s="72">
        <v>6000</v>
      </c>
      <c r="AC365" s="72">
        <v>12000</v>
      </c>
      <c r="AD365" s="77"/>
      <c r="AE365" s="75">
        <v>1000</v>
      </c>
      <c r="AF365" s="75">
        <v>2000</v>
      </c>
      <c r="AG365" s="75">
        <v>2000</v>
      </c>
      <c r="AH365" s="75">
        <v>4000</v>
      </c>
      <c r="AI365" s="75">
        <v>4000</v>
      </c>
      <c r="AJ365" s="75">
        <v>4000</v>
      </c>
      <c r="AK365" s="29"/>
      <c r="AL365" s="29"/>
      <c r="AM365" s="29"/>
      <c r="AN365" s="29"/>
      <c r="AO365" s="29"/>
      <c r="AP365" s="29"/>
      <c r="AQ365" s="29"/>
      <c r="AR365" s="29"/>
      <c r="AS365" s="29"/>
      <c r="AT365" s="29">
        <v>1</v>
      </c>
      <c r="AU365" s="29"/>
      <c r="AV365" s="29"/>
      <c r="AW365" s="29" t="s">
        <v>203</v>
      </c>
      <c r="AX365" s="10" t="s">
        <v>61</v>
      </c>
      <c r="AY365" s="19" t="s">
        <v>371</v>
      </c>
      <c r="AZ365" s="29" t="s">
        <v>62</v>
      </c>
      <c r="BA365" s="29" t="s">
        <v>204</v>
      </c>
      <c r="BB365" s="29" t="s">
        <v>205</v>
      </c>
      <c r="BC365" s="29" t="s">
        <v>206</v>
      </c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16">
        <f t="shared" si="130"/>
        <v>21600</v>
      </c>
      <c r="BQ365" s="16">
        <f t="shared" si="130"/>
        <v>21600</v>
      </c>
      <c r="BR365" s="16">
        <f t="shared" si="130"/>
        <v>21600</v>
      </c>
      <c r="BS365" s="16">
        <f>$R365*AC365</f>
        <v>43200</v>
      </c>
      <c r="BT365" s="17">
        <f t="shared" si="126"/>
        <v>0</v>
      </c>
      <c r="BU365" s="28">
        <f t="shared" si="120"/>
        <v>3600</v>
      </c>
      <c r="BV365" s="28">
        <f t="shared" si="121"/>
        <v>7200</v>
      </c>
      <c r="BW365" s="28">
        <f t="shared" si="122"/>
        <v>7200</v>
      </c>
    </row>
    <row r="366" spans="1:75" ht="17.399999999999999" x14ac:dyDescent="0.25">
      <c r="A366" s="69">
        <f t="shared" si="129"/>
        <v>365</v>
      </c>
      <c r="B366" s="73" t="s">
        <v>1849</v>
      </c>
      <c r="C366" s="71" t="s">
        <v>243</v>
      </c>
      <c r="D366" s="71" t="s">
        <v>1165</v>
      </c>
      <c r="E366" s="71" t="s">
        <v>1166</v>
      </c>
      <c r="F366" s="71"/>
      <c r="G366" s="71" t="s">
        <v>288</v>
      </c>
      <c r="H366" s="71" t="s">
        <v>289</v>
      </c>
      <c r="I366" s="71" t="str">
        <f>VLOOKUP(H366,[1]Sheet1!$C:$C,1,0)</f>
        <v>SC2462SO-CJ-10CR-2462</v>
      </c>
      <c r="J366" s="71"/>
      <c r="K366" s="71"/>
      <c r="L366" s="73"/>
      <c r="M366" s="80"/>
      <c r="N366" s="72"/>
      <c r="O366" s="73"/>
      <c r="P366" s="71"/>
      <c r="Q366" s="71"/>
      <c r="R366" s="100">
        <v>0.4</v>
      </c>
      <c r="S366" s="75"/>
      <c r="T366" s="91"/>
      <c r="U366" s="76">
        <f t="shared" si="119"/>
        <v>120000</v>
      </c>
      <c r="V366" s="80"/>
      <c r="W366" s="80"/>
      <c r="X366" s="80"/>
      <c r="Y366" s="98"/>
      <c r="Z366" s="80"/>
      <c r="AA366" s="80"/>
      <c r="AB366" s="80"/>
      <c r="AC366" s="72"/>
      <c r="AD366" s="77">
        <v>30000</v>
      </c>
      <c r="AE366" s="75">
        <v>45000</v>
      </c>
      <c r="AF366" s="75">
        <v>30000</v>
      </c>
      <c r="AG366" s="75">
        <v>45000</v>
      </c>
      <c r="AH366" s="75">
        <v>30000</v>
      </c>
      <c r="AI366" s="75"/>
      <c r="AJ366" s="75">
        <f>AH366</f>
        <v>30000</v>
      </c>
      <c r="AK366" s="33"/>
      <c r="AL366" s="33"/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19"/>
      <c r="AX366" s="19" t="s">
        <v>1170</v>
      </c>
      <c r="AY366" s="19" t="s">
        <v>261</v>
      </c>
      <c r="AZ366" s="19"/>
      <c r="BA366" s="19"/>
      <c r="BB366" s="19"/>
      <c r="BC366" s="19"/>
      <c r="BD366" s="19"/>
      <c r="BE366" s="19"/>
      <c r="BF366" s="19"/>
      <c r="BG366" s="24"/>
      <c r="BH366" s="19"/>
      <c r="BI366" s="25"/>
      <c r="BJ366" s="25"/>
      <c r="BK366" s="25"/>
      <c r="BL366" s="25"/>
      <c r="BM366" s="25"/>
      <c r="BN366" s="37"/>
      <c r="BO366" s="21"/>
      <c r="BP366" s="27"/>
      <c r="BQ366" s="27"/>
      <c r="BR366" s="27"/>
      <c r="BS366" s="27"/>
      <c r="BT366" s="28">
        <f t="shared" si="126"/>
        <v>12000</v>
      </c>
      <c r="BU366" s="28">
        <f t="shared" si="120"/>
        <v>18000</v>
      </c>
      <c r="BV366" s="28">
        <f t="shared" si="121"/>
        <v>12000</v>
      </c>
      <c r="BW366" s="28">
        <f t="shared" si="122"/>
        <v>18000</v>
      </c>
    </row>
    <row r="367" spans="1:75" ht="17.399999999999999" x14ac:dyDescent="0.25">
      <c r="A367" s="69">
        <f t="shared" si="129"/>
        <v>366</v>
      </c>
      <c r="B367" s="71" t="s">
        <v>225</v>
      </c>
      <c r="C367" s="78" t="s">
        <v>235</v>
      </c>
      <c r="D367" s="71" t="s">
        <v>219</v>
      </c>
      <c r="E367" s="71" t="s">
        <v>58</v>
      </c>
      <c r="F367" s="71" t="s">
        <v>432</v>
      </c>
      <c r="G367" s="71" t="s">
        <v>227</v>
      </c>
      <c r="H367" s="71" t="s">
        <v>443</v>
      </c>
      <c r="I367" s="71" t="str">
        <f>VLOOKUP(H367,[1]Sheet1!$C:$C,1,0)</f>
        <v>SC9675T3-Q-AB-4XAR-9675</v>
      </c>
      <c r="J367" s="71"/>
      <c r="K367" s="71"/>
      <c r="L367" s="71" t="s">
        <v>438</v>
      </c>
      <c r="M367" s="72">
        <v>400000</v>
      </c>
      <c r="N367" s="71" t="s">
        <v>48</v>
      </c>
      <c r="O367" s="71"/>
      <c r="P367" s="71" t="s">
        <v>444</v>
      </c>
      <c r="Q367" s="70"/>
      <c r="R367" s="100"/>
      <c r="S367" s="75">
        <f>R367*U367</f>
        <v>0</v>
      </c>
      <c r="T367" s="76">
        <v>0</v>
      </c>
      <c r="U367" s="76">
        <f t="shared" si="119"/>
        <v>0</v>
      </c>
      <c r="V367" s="72"/>
      <c r="W367" s="72"/>
      <c r="X367" s="72"/>
      <c r="Y367" s="72"/>
      <c r="Z367" s="72"/>
      <c r="AA367" s="72"/>
      <c r="AB367" s="72"/>
      <c r="AC367" s="72"/>
      <c r="AD367" s="77"/>
      <c r="AE367" s="75"/>
      <c r="AF367" s="75"/>
      <c r="AG367" s="75"/>
      <c r="AH367" s="75"/>
      <c r="AI367" s="75"/>
      <c r="AJ367" s="75">
        <v>0</v>
      </c>
      <c r="AK367" s="12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0" t="s">
        <v>61</v>
      </c>
      <c r="AY367" s="19" t="s">
        <v>386</v>
      </c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>
        <f t="shared" ref="BP367:BS368" si="131">$R367*Z367</f>
        <v>0</v>
      </c>
      <c r="BQ367" s="16">
        <f t="shared" si="131"/>
        <v>0</v>
      </c>
      <c r="BR367" s="16">
        <f t="shared" si="131"/>
        <v>0</v>
      </c>
      <c r="BS367" s="16">
        <f t="shared" si="131"/>
        <v>0</v>
      </c>
      <c r="BT367" s="17">
        <f t="shared" si="126"/>
        <v>0</v>
      </c>
      <c r="BU367" s="28">
        <f t="shared" si="120"/>
        <v>0</v>
      </c>
      <c r="BV367" s="28">
        <f t="shared" si="121"/>
        <v>0</v>
      </c>
      <c r="BW367" s="28">
        <f t="shared" si="122"/>
        <v>0</v>
      </c>
    </row>
    <row r="368" spans="1:75" ht="17.399999999999999" x14ac:dyDescent="0.25">
      <c r="A368" s="69">
        <f t="shared" si="129"/>
        <v>367</v>
      </c>
      <c r="B368" s="69" t="s">
        <v>1450</v>
      </c>
      <c r="C368" s="71" t="s">
        <v>56</v>
      </c>
      <c r="D368" s="71" t="s">
        <v>1353</v>
      </c>
      <c r="E368" s="71" t="s">
        <v>1302</v>
      </c>
      <c r="F368" s="73" t="s">
        <v>1451</v>
      </c>
      <c r="G368" s="69" t="s">
        <v>642</v>
      </c>
      <c r="H368" s="69" t="s">
        <v>1452</v>
      </c>
      <c r="I368" s="71" t="str">
        <f>VLOOKUP(H368,[1]Sheet1!$C:$C,1,0)</f>
        <v>SC9675T3-Q-AB-4XAR-9675</v>
      </c>
      <c r="J368" s="69"/>
      <c r="K368" s="69"/>
      <c r="L368" s="69" t="s">
        <v>1453</v>
      </c>
      <c r="M368" s="80">
        <v>200000</v>
      </c>
      <c r="N368" s="72" t="s">
        <v>367</v>
      </c>
      <c r="O368" s="95" t="s">
        <v>1454</v>
      </c>
      <c r="P368" s="69" t="s">
        <v>1455</v>
      </c>
      <c r="Q368" s="69"/>
      <c r="R368" s="100">
        <v>4.07</v>
      </c>
      <c r="S368" s="75">
        <f>R368*U368</f>
        <v>0</v>
      </c>
      <c r="T368" s="88">
        <f>R368*SUM(AK368:AP368)</f>
        <v>0</v>
      </c>
      <c r="U368" s="76">
        <f t="shared" si="119"/>
        <v>0</v>
      </c>
      <c r="V368" s="80">
        <v>0</v>
      </c>
      <c r="W368" s="80">
        <v>0</v>
      </c>
      <c r="X368" s="80">
        <v>0</v>
      </c>
      <c r="Y368" s="69">
        <v>0</v>
      </c>
      <c r="Z368" s="80">
        <v>0</v>
      </c>
      <c r="AA368" s="69">
        <v>0</v>
      </c>
      <c r="AB368" s="80">
        <v>0</v>
      </c>
      <c r="AC368" s="69">
        <v>0</v>
      </c>
      <c r="AD368" s="77">
        <v>0</v>
      </c>
      <c r="AE368" s="75">
        <v>0</v>
      </c>
      <c r="AF368" s="75">
        <v>0</v>
      </c>
      <c r="AG368" s="75">
        <v>0</v>
      </c>
      <c r="AH368" s="75">
        <v>0</v>
      </c>
      <c r="AI368" s="75"/>
      <c r="AJ368" s="75">
        <v>0</v>
      </c>
      <c r="AK368" s="33">
        <v>0</v>
      </c>
      <c r="AL368" s="33">
        <v>0</v>
      </c>
      <c r="AM368" s="33">
        <v>0</v>
      </c>
      <c r="AN368" s="33">
        <v>0</v>
      </c>
      <c r="AO368" s="33">
        <v>0</v>
      </c>
      <c r="AP368" s="33">
        <v>0</v>
      </c>
      <c r="AQ368" s="33">
        <v>0</v>
      </c>
      <c r="AR368" s="33">
        <v>0</v>
      </c>
      <c r="AS368" s="33">
        <v>0</v>
      </c>
      <c r="AT368" s="33">
        <v>0</v>
      </c>
      <c r="AU368" s="33">
        <v>0</v>
      </c>
      <c r="AV368" s="33">
        <v>0</v>
      </c>
      <c r="AW368" s="22" t="s">
        <v>1375</v>
      </c>
      <c r="AX368" s="19" t="s">
        <v>85</v>
      </c>
      <c r="AY368" s="19" t="s">
        <v>386</v>
      </c>
      <c r="AZ368" s="22" t="s">
        <v>62</v>
      </c>
      <c r="BA368" s="22" t="s">
        <v>77</v>
      </c>
      <c r="BB368" s="22" t="s">
        <v>78</v>
      </c>
      <c r="BC368" s="22" t="s">
        <v>191</v>
      </c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7">
        <f t="shared" si="131"/>
        <v>0</v>
      </c>
      <c r="BQ368" s="27">
        <f t="shared" si="131"/>
        <v>0</v>
      </c>
      <c r="BR368" s="27">
        <f t="shared" si="131"/>
        <v>0</v>
      </c>
      <c r="BS368" s="27">
        <f t="shared" si="131"/>
        <v>0</v>
      </c>
      <c r="BT368" s="28">
        <f t="shared" si="126"/>
        <v>0</v>
      </c>
      <c r="BU368" s="28">
        <f t="shared" si="120"/>
        <v>0</v>
      </c>
      <c r="BV368" s="28">
        <f t="shared" si="121"/>
        <v>0</v>
      </c>
      <c r="BW368" s="28">
        <f t="shared" si="122"/>
        <v>0</v>
      </c>
    </row>
    <row r="369" spans="1:75" ht="17.399999999999999" x14ac:dyDescent="0.25">
      <c r="A369" s="69">
        <f t="shared" si="129"/>
        <v>368</v>
      </c>
      <c r="B369" s="115" t="s">
        <v>1852</v>
      </c>
      <c r="C369" s="71" t="s">
        <v>243</v>
      </c>
      <c r="D369" s="71" t="s">
        <v>1165</v>
      </c>
      <c r="E369" s="71" t="s">
        <v>1166</v>
      </c>
      <c r="F369" s="71"/>
      <c r="G369" s="71" t="s">
        <v>1853</v>
      </c>
      <c r="H369" s="71" t="s">
        <v>1733</v>
      </c>
      <c r="I369" s="71" t="str">
        <f>VLOOKUP(H369,[1]Sheet1!$C:$C,1,0)</f>
        <v>SC2432SO-CM-10CR-2432</v>
      </c>
      <c r="J369" s="71"/>
      <c r="K369" s="71"/>
      <c r="L369" s="73"/>
      <c r="M369" s="80"/>
      <c r="N369" s="72"/>
      <c r="O369" s="73"/>
      <c r="P369" s="71"/>
      <c r="Q369" s="71"/>
      <c r="R369" s="100">
        <v>0.45</v>
      </c>
      <c r="S369" s="75"/>
      <c r="T369" s="91"/>
      <c r="U369" s="76">
        <f t="shared" si="119"/>
        <v>105000</v>
      </c>
      <c r="V369" s="80"/>
      <c r="W369" s="80"/>
      <c r="X369" s="80"/>
      <c r="Y369" s="98"/>
      <c r="Z369" s="80"/>
      <c r="AA369" s="80"/>
      <c r="AB369" s="80"/>
      <c r="AC369" s="72"/>
      <c r="AD369" s="77">
        <v>45000</v>
      </c>
      <c r="AE369" s="75">
        <v>30000</v>
      </c>
      <c r="AF369" s="75">
        <v>45000</v>
      </c>
      <c r="AG369" s="75">
        <v>30000</v>
      </c>
      <c r="AH369" s="75">
        <v>45000</v>
      </c>
      <c r="AI369" s="75"/>
      <c r="AJ369" s="75">
        <f>AH369</f>
        <v>45000</v>
      </c>
      <c r="AK369" s="31"/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10"/>
      <c r="AX369" s="10"/>
      <c r="AY369" s="19" t="s">
        <v>261</v>
      </c>
      <c r="AZ369" s="10"/>
      <c r="BA369" s="10"/>
      <c r="BB369" s="10"/>
      <c r="BC369" s="10"/>
      <c r="BD369" s="10"/>
      <c r="BE369" s="10"/>
      <c r="BF369" s="10"/>
      <c r="BG369" s="13"/>
      <c r="BH369" s="10"/>
      <c r="BI369" s="14"/>
      <c r="BJ369" s="14"/>
      <c r="BK369" s="14"/>
      <c r="BL369" s="14"/>
      <c r="BM369" s="14"/>
      <c r="BN369" s="35"/>
      <c r="BO369" s="11"/>
      <c r="BP369" s="16"/>
      <c r="BQ369" s="16"/>
      <c r="BR369" s="16"/>
      <c r="BS369" s="16"/>
      <c r="BT369" s="17">
        <f t="shared" si="126"/>
        <v>20250</v>
      </c>
      <c r="BU369" s="28">
        <f t="shared" si="120"/>
        <v>13500</v>
      </c>
      <c r="BV369" s="28">
        <f t="shared" si="121"/>
        <v>20250</v>
      </c>
      <c r="BW369" s="28">
        <f t="shared" si="122"/>
        <v>13500</v>
      </c>
    </row>
    <row r="370" spans="1:75" ht="17.399999999999999" x14ac:dyDescent="0.25">
      <c r="A370" s="69">
        <f t="shared" si="129"/>
        <v>369</v>
      </c>
      <c r="B370" s="115" t="s">
        <v>1854</v>
      </c>
      <c r="C370" s="71" t="s">
        <v>243</v>
      </c>
      <c r="D370" s="71" t="s">
        <v>1165</v>
      </c>
      <c r="E370" s="71" t="s">
        <v>1166</v>
      </c>
      <c r="F370" s="71"/>
      <c r="G370" s="71" t="s">
        <v>322</v>
      </c>
      <c r="H370" s="71" t="s">
        <v>617</v>
      </c>
      <c r="I370" s="71" t="str">
        <f>VLOOKUP(H370,[1]Sheet1!$C:$C,1,0)</f>
        <v>SC2442UA-CP-10AK-2442</v>
      </c>
      <c r="J370" s="71"/>
      <c r="K370" s="71"/>
      <c r="L370" s="73"/>
      <c r="M370" s="80"/>
      <c r="N370" s="72"/>
      <c r="O370" s="73"/>
      <c r="P370" s="71"/>
      <c r="Q370" s="71"/>
      <c r="R370" s="100">
        <v>0.26</v>
      </c>
      <c r="S370" s="75"/>
      <c r="T370" s="91"/>
      <c r="U370" s="76">
        <f t="shared" si="119"/>
        <v>504000</v>
      </c>
      <c r="V370" s="80"/>
      <c r="W370" s="80"/>
      <c r="X370" s="80"/>
      <c r="Y370" s="98"/>
      <c r="Z370" s="80"/>
      <c r="AA370" s="80"/>
      <c r="AB370" s="80"/>
      <c r="AC370" s="72"/>
      <c r="AD370" s="77">
        <v>400000</v>
      </c>
      <c r="AE370" s="75">
        <v>400000</v>
      </c>
      <c r="AF370" s="75"/>
      <c r="AG370" s="75">
        <v>104000</v>
      </c>
      <c r="AH370" s="75">
        <v>104000</v>
      </c>
      <c r="AI370" s="75"/>
      <c r="AJ370" s="75">
        <v>104000</v>
      </c>
      <c r="AK370" s="33"/>
      <c r="AL370" s="33"/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19"/>
      <c r="AX370" s="19"/>
      <c r="AY370" s="19" t="s">
        <v>261</v>
      </c>
      <c r="AZ370" s="19"/>
      <c r="BA370" s="19"/>
      <c r="BB370" s="19"/>
      <c r="BC370" s="19"/>
      <c r="BD370" s="19"/>
      <c r="BE370" s="19"/>
      <c r="BF370" s="19"/>
      <c r="BG370" s="24"/>
      <c r="BH370" s="19"/>
      <c r="BI370" s="25"/>
      <c r="BJ370" s="25"/>
      <c r="BK370" s="25"/>
      <c r="BL370" s="25"/>
      <c r="BM370" s="25"/>
      <c r="BN370" s="37"/>
      <c r="BO370" s="21"/>
      <c r="BP370" s="27"/>
      <c r="BQ370" s="27"/>
      <c r="BR370" s="27"/>
      <c r="BS370" s="27"/>
      <c r="BT370" s="28">
        <f t="shared" si="126"/>
        <v>104000</v>
      </c>
      <c r="BU370" s="28">
        <f t="shared" si="120"/>
        <v>104000</v>
      </c>
      <c r="BV370" s="28">
        <f t="shared" si="121"/>
        <v>0</v>
      </c>
      <c r="BW370" s="28">
        <f t="shared" si="122"/>
        <v>27040</v>
      </c>
    </row>
    <row r="371" spans="1:75" ht="17.399999999999999" x14ac:dyDescent="0.25">
      <c r="A371" s="69">
        <f t="shared" si="129"/>
        <v>370</v>
      </c>
      <c r="B371" s="73" t="s">
        <v>1855</v>
      </c>
      <c r="C371" s="71" t="s">
        <v>243</v>
      </c>
      <c r="D371" s="71" t="s">
        <v>1165</v>
      </c>
      <c r="E371" s="71" t="s">
        <v>1166</v>
      </c>
      <c r="F371" s="71"/>
      <c r="G371" s="71" t="s">
        <v>1856</v>
      </c>
      <c r="H371" s="71" t="s">
        <v>1485</v>
      </c>
      <c r="I371" s="71" t="str">
        <f>VLOOKUP(H371,[1]Sheet1!$C:$C,1,0)</f>
        <v>SC2442UA-Q-DB-60AK-2442</v>
      </c>
      <c r="J371" s="71"/>
      <c r="K371" s="71"/>
      <c r="L371" s="73"/>
      <c r="M371" s="80"/>
      <c r="N371" s="72"/>
      <c r="O371" s="73"/>
      <c r="P371" s="71"/>
      <c r="Q371" s="71"/>
      <c r="R371" s="100">
        <v>0.26</v>
      </c>
      <c r="S371" s="75"/>
      <c r="T371" s="91"/>
      <c r="U371" s="76">
        <f t="shared" si="119"/>
        <v>0</v>
      </c>
      <c r="V371" s="80"/>
      <c r="W371" s="80"/>
      <c r="X371" s="80"/>
      <c r="Y371" s="98"/>
      <c r="Z371" s="80"/>
      <c r="AA371" s="80"/>
      <c r="AB371" s="80"/>
      <c r="AC371" s="72"/>
      <c r="AD371" s="77"/>
      <c r="AE371" s="75"/>
      <c r="AF371" s="75"/>
      <c r="AG371" s="75"/>
      <c r="AH371" s="75"/>
      <c r="AI371" s="75"/>
      <c r="AJ371" s="75">
        <f>AH371</f>
        <v>0</v>
      </c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10"/>
      <c r="AX371" s="10"/>
      <c r="AY371" s="19" t="s">
        <v>261</v>
      </c>
      <c r="AZ371" s="10"/>
      <c r="BA371" s="10"/>
      <c r="BB371" s="10"/>
      <c r="BC371" s="10"/>
      <c r="BD371" s="10"/>
      <c r="BE371" s="10"/>
      <c r="BF371" s="10"/>
      <c r="BG371" s="13"/>
      <c r="BH371" s="10"/>
      <c r="BI371" s="14"/>
      <c r="BJ371" s="14"/>
      <c r="BK371" s="14"/>
      <c r="BL371" s="14"/>
      <c r="BM371" s="14"/>
      <c r="BN371" s="35"/>
      <c r="BO371" s="11"/>
      <c r="BP371" s="16"/>
      <c r="BQ371" s="16"/>
      <c r="BR371" s="16"/>
      <c r="BS371" s="16"/>
      <c r="BT371" s="17">
        <f t="shared" si="126"/>
        <v>0</v>
      </c>
      <c r="BU371" s="28">
        <f t="shared" si="120"/>
        <v>0</v>
      </c>
      <c r="BV371" s="28">
        <f t="shared" si="121"/>
        <v>0</v>
      </c>
      <c r="BW371" s="28">
        <f t="shared" si="122"/>
        <v>0</v>
      </c>
    </row>
    <row r="372" spans="1:75" ht="17.399999999999999" x14ac:dyDescent="0.25">
      <c r="A372" s="69">
        <f t="shared" si="129"/>
        <v>371</v>
      </c>
      <c r="B372" s="71" t="s">
        <v>532</v>
      </c>
      <c r="C372" s="71" t="s">
        <v>235</v>
      </c>
      <c r="D372" s="71" t="s">
        <v>532</v>
      </c>
      <c r="E372" s="71" t="s">
        <v>533</v>
      </c>
      <c r="F372" s="71"/>
      <c r="G372" s="71" t="s">
        <v>534</v>
      </c>
      <c r="H372" s="71" t="s">
        <v>535</v>
      </c>
      <c r="I372" s="71" t="str">
        <f>VLOOKUP(H372,[1]Sheet1!$C:$C,1,0)</f>
        <v>SC4643SA-Q-DE-40HK-2100</v>
      </c>
      <c r="J372" s="71"/>
      <c r="K372" s="71"/>
      <c r="L372" s="71" t="s">
        <v>253</v>
      </c>
      <c r="M372" s="85"/>
      <c r="N372" s="85"/>
      <c r="O372" s="85"/>
      <c r="P372" s="85"/>
      <c r="Q372" s="85"/>
      <c r="R372" s="100">
        <v>1.8080000000000001</v>
      </c>
      <c r="S372" s="75">
        <f t="shared" ref="S372:S403" si="132">R372*U372</f>
        <v>948115.20000000007</v>
      </c>
      <c r="T372" s="76">
        <v>13379199.999999998</v>
      </c>
      <c r="U372" s="76">
        <f t="shared" si="119"/>
        <v>524400</v>
      </c>
      <c r="V372" s="85">
        <v>1020793</v>
      </c>
      <c r="W372" s="85">
        <v>939261</v>
      </c>
      <c r="X372" s="85">
        <v>1130556</v>
      </c>
      <c r="Y372" s="85">
        <v>800000</v>
      </c>
      <c r="Z372" s="72">
        <v>1000000</v>
      </c>
      <c r="AA372" s="72">
        <v>800000</v>
      </c>
      <c r="AB372" s="72">
        <v>300000</v>
      </c>
      <c r="AC372" s="72">
        <v>151320</v>
      </c>
      <c r="AD372" s="77">
        <v>174800</v>
      </c>
      <c r="AE372" s="75">
        <v>174800</v>
      </c>
      <c r="AF372" s="75">
        <v>174800</v>
      </c>
      <c r="AG372" s="75">
        <v>174800</v>
      </c>
      <c r="AH372" s="106">
        <v>174800</v>
      </c>
      <c r="AI372" s="106">
        <v>139840</v>
      </c>
      <c r="AJ372" s="75">
        <v>139840</v>
      </c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 t="s">
        <v>494</v>
      </c>
      <c r="AY372" s="19" t="s">
        <v>247</v>
      </c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>
        <f t="shared" ref="BP372:BP403" si="133">$R372*Z372</f>
        <v>1808000</v>
      </c>
      <c r="BQ372" s="16">
        <f t="shared" ref="BQ372:BQ403" si="134">$R372*AA372</f>
        <v>1446400</v>
      </c>
      <c r="BR372" s="16">
        <f t="shared" ref="BR372:BR403" si="135">$R372*AB372</f>
        <v>542400</v>
      </c>
      <c r="BS372" s="16">
        <f t="shared" ref="BS372:BS403" si="136">$R372*AC372</f>
        <v>273586.56</v>
      </c>
      <c r="BT372" s="17">
        <f t="shared" si="126"/>
        <v>316038.40000000002</v>
      </c>
      <c r="BU372" s="28">
        <f t="shared" si="120"/>
        <v>316038.40000000002</v>
      </c>
      <c r="BV372" s="28">
        <f t="shared" si="121"/>
        <v>316038.40000000002</v>
      </c>
      <c r="BW372" s="28">
        <f t="shared" si="122"/>
        <v>316038.40000000002</v>
      </c>
    </row>
    <row r="373" spans="1:75" ht="17.399999999999999" x14ac:dyDescent="0.25">
      <c r="A373" s="69">
        <f t="shared" si="129"/>
        <v>372</v>
      </c>
      <c r="B373" s="71" t="s">
        <v>532</v>
      </c>
      <c r="C373" s="71" t="s">
        <v>235</v>
      </c>
      <c r="D373" s="71" t="s">
        <v>532</v>
      </c>
      <c r="E373" s="71" t="s">
        <v>533</v>
      </c>
      <c r="F373" s="71"/>
      <c r="G373" s="71" t="s">
        <v>536</v>
      </c>
      <c r="H373" s="71" t="s">
        <v>537</v>
      </c>
      <c r="I373" s="71" t="str">
        <f>VLOOKUP(H373,[1]Sheet1!$C:$C,1,0)</f>
        <v>SC4643SA-HBL-Q-DE-40HK-2100</v>
      </c>
      <c r="J373" s="71"/>
      <c r="K373" s="71"/>
      <c r="L373" s="71" t="s">
        <v>253</v>
      </c>
      <c r="M373" s="85"/>
      <c r="N373" s="85"/>
      <c r="O373" s="85"/>
      <c r="P373" s="85"/>
      <c r="Q373" s="85"/>
      <c r="R373" s="100">
        <v>2.2374000000000001</v>
      </c>
      <c r="S373" s="75">
        <f t="shared" si="132"/>
        <v>186822.9</v>
      </c>
      <c r="T373" s="76">
        <v>425105.99999999994</v>
      </c>
      <c r="U373" s="76">
        <f t="shared" si="119"/>
        <v>83500</v>
      </c>
      <c r="V373" s="85">
        <v>30000</v>
      </c>
      <c r="W373" s="85">
        <v>15000</v>
      </c>
      <c r="X373" s="85">
        <v>20000</v>
      </c>
      <c r="Y373" s="85">
        <v>20000</v>
      </c>
      <c r="Z373" s="72">
        <v>20000</v>
      </c>
      <c r="AA373" s="72">
        <v>20000</v>
      </c>
      <c r="AB373" s="72">
        <v>20000</v>
      </c>
      <c r="AC373" s="72">
        <v>21150</v>
      </c>
      <c r="AD373" s="77">
        <v>23500</v>
      </c>
      <c r="AE373" s="75">
        <v>23500</v>
      </c>
      <c r="AF373" s="75">
        <v>30000</v>
      </c>
      <c r="AG373" s="75">
        <v>30000</v>
      </c>
      <c r="AH373" s="106">
        <v>30000</v>
      </c>
      <c r="AI373" s="106">
        <v>24000</v>
      </c>
      <c r="AJ373" s="75">
        <v>24000</v>
      </c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 t="s">
        <v>494</v>
      </c>
      <c r="AY373" s="19" t="s">
        <v>247</v>
      </c>
      <c r="AZ373" s="27"/>
      <c r="BA373" s="27"/>
      <c r="BB373" s="27"/>
      <c r="BC373" s="27"/>
      <c r="BD373" s="27"/>
      <c r="BE373" s="27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>
        <f t="shared" si="133"/>
        <v>44748</v>
      </c>
      <c r="BQ373" s="27">
        <f t="shared" si="134"/>
        <v>44748</v>
      </c>
      <c r="BR373" s="27">
        <f t="shared" si="135"/>
        <v>44748</v>
      </c>
      <c r="BS373" s="27">
        <f t="shared" si="136"/>
        <v>47321.01</v>
      </c>
      <c r="BT373" s="28">
        <f t="shared" si="126"/>
        <v>52578.9</v>
      </c>
      <c r="BU373" s="28">
        <f t="shared" si="120"/>
        <v>52578.9</v>
      </c>
      <c r="BV373" s="28">
        <f t="shared" si="121"/>
        <v>67122</v>
      </c>
      <c r="BW373" s="28">
        <f t="shared" si="122"/>
        <v>67122</v>
      </c>
    </row>
    <row r="374" spans="1:75" ht="17.399999999999999" x14ac:dyDescent="0.25">
      <c r="A374" s="69">
        <f t="shared" si="129"/>
        <v>373</v>
      </c>
      <c r="B374" s="71" t="s">
        <v>532</v>
      </c>
      <c r="C374" s="71" t="s">
        <v>235</v>
      </c>
      <c r="D374" s="71" t="s">
        <v>532</v>
      </c>
      <c r="E374" s="71" t="s">
        <v>533</v>
      </c>
      <c r="F374" s="71"/>
      <c r="G374" s="71" t="s">
        <v>538</v>
      </c>
      <c r="H374" s="71" t="s">
        <v>539</v>
      </c>
      <c r="I374" s="71" t="str">
        <f>VLOOKUP(H374,[1]Sheet1!$C:$C,1,0)</f>
        <v>SC4643SA-S-Q-DE-40HR-2100</v>
      </c>
      <c r="J374" s="71"/>
      <c r="K374" s="71"/>
      <c r="L374" s="71" t="s">
        <v>253</v>
      </c>
      <c r="M374" s="85"/>
      <c r="N374" s="85"/>
      <c r="O374" s="85"/>
      <c r="P374" s="85"/>
      <c r="Q374" s="85"/>
      <c r="R374" s="100">
        <v>2.2373999999999996</v>
      </c>
      <c r="S374" s="75">
        <f t="shared" si="132"/>
        <v>8390.2499999999982</v>
      </c>
      <c r="T374" s="76">
        <v>1968911.9999999998</v>
      </c>
      <c r="U374" s="76">
        <f t="shared" si="119"/>
        <v>3750</v>
      </c>
      <c r="V374" s="85">
        <v>100000</v>
      </c>
      <c r="W374" s="85">
        <v>80000</v>
      </c>
      <c r="X374" s="85">
        <v>100000</v>
      </c>
      <c r="Y374" s="85">
        <v>100000</v>
      </c>
      <c r="Z374" s="72">
        <v>10000</v>
      </c>
      <c r="AA374" s="72">
        <v>5000</v>
      </c>
      <c r="AB374" s="72">
        <v>5000</v>
      </c>
      <c r="AC374" s="72">
        <v>4750</v>
      </c>
      <c r="AD374" s="77">
        <v>3750</v>
      </c>
      <c r="AE374" s="75">
        <v>3750</v>
      </c>
      <c r="AF374" s="75"/>
      <c r="AG374" s="75"/>
      <c r="AH374" s="75"/>
      <c r="AI374" s="75"/>
      <c r="AJ374" s="75">
        <v>0</v>
      </c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 t="s">
        <v>494</v>
      </c>
      <c r="AY374" s="19" t="s">
        <v>247</v>
      </c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>
        <f t="shared" si="133"/>
        <v>22373.999999999996</v>
      </c>
      <c r="BQ374" s="16">
        <f t="shared" si="134"/>
        <v>11186.999999999998</v>
      </c>
      <c r="BR374" s="16">
        <f t="shared" si="135"/>
        <v>11186.999999999998</v>
      </c>
      <c r="BS374" s="16">
        <f t="shared" si="136"/>
        <v>10627.649999999998</v>
      </c>
      <c r="BT374" s="17">
        <f t="shared" si="126"/>
        <v>8390.2499999999982</v>
      </c>
      <c r="BU374" s="28">
        <f t="shared" si="120"/>
        <v>8390.2499999999982</v>
      </c>
      <c r="BV374" s="28">
        <f t="shared" si="121"/>
        <v>0</v>
      </c>
      <c r="BW374" s="28">
        <f t="shared" si="122"/>
        <v>0</v>
      </c>
    </row>
    <row r="375" spans="1:75" ht="17.399999999999999" x14ac:dyDescent="0.25">
      <c r="A375" s="69">
        <f t="shared" si="129"/>
        <v>374</v>
      </c>
      <c r="B375" s="71" t="s">
        <v>540</v>
      </c>
      <c r="C375" s="71" t="s">
        <v>290</v>
      </c>
      <c r="D375" s="71" t="s">
        <v>541</v>
      </c>
      <c r="E375" s="71" t="s">
        <v>533</v>
      </c>
      <c r="F375" s="71" t="s">
        <v>542</v>
      </c>
      <c r="G375" s="71" t="s">
        <v>543</v>
      </c>
      <c r="H375" s="71" t="s">
        <v>544</v>
      </c>
      <c r="I375" s="71" t="str">
        <f>VLOOKUP(H375,[1]Sheet1!$C:$C,1,0)</f>
        <v>SC9641TS-PC-Q-AI-10LR-9641PC</v>
      </c>
      <c r="J375" s="71"/>
      <c r="K375" s="71"/>
      <c r="L375" s="71" t="s">
        <v>448</v>
      </c>
      <c r="M375" s="85"/>
      <c r="N375" s="85"/>
      <c r="O375" s="85"/>
      <c r="P375" s="85"/>
      <c r="Q375" s="85"/>
      <c r="R375" s="100">
        <v>1.9691000000000001</v>
      </c>
      <c r="S375" s="75">
        <f t="shared" si="132"/>
        <v>2067555</v>
      </c>
      <c r="T375" s="76">
        <v>5580835.3999999994</v>
      </c>
      <c r="U375" s="76">
        <f t="shared" si="119"/>
        <v>1050000</v>
      </c>
      <c r="V375" s="85"/>
      <c r="W375" s="85"/>
      <c r="X375" s="85"/>
      <c r="Y375" s="85"/>
      <c r="Z375" s="72">
        <v>291070</v>
      </c>
      <c r="AA375" s="72">
        <v>350000</v>
      </c>
      <c r="AB375" s="72">
        <v>350000</v>
      </c>
      <c r="AC375" s="72">
        <v>323570</v>
      </c>
      <c r="AD375" s="77">
        <v>350000</v>
      </c>
      <c r="AE375" s="75">
        <v>350000</v>
      </c>
      <c r="AF375" s="75">
        <v>350000</v>
      </c>
      <c r="AG375" s="75">
        <v>350000</v>
      </c>
      <c r="AH375" s="75">
        <v>392330</v>
      </c>
      <c r="AI375" s="75">
        <v>350000</v>
      </c>
      <c r="AJ375" s="75">
        <v>175000</v>
      </c>
      <c r="AK375" s="27">
        <v>350000</v>
      </c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 t="s">
        <v>494</v>
      </c>
      <c r="AY375" s="19" t="s">
        <v>386</v>
      </c>
      <c r="AZ375" s="27"/>
      <c r="BA375" s="27"/>
      <c r="BB375" s="27"/>
      <c r="BC375" s="27"/>
      <c r="BD375" s="27"/>
      <c r="BE375" s="27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>
        <f t="shared" si="133"/>
        <v>573145.93700000003</v>
      </c>
      <c r="BQ375" s="27">
        <f t="shared" si="134"/>
        <v>689185</v>
      </c>
      <c r="BR375" s="27">
        <f t="shared" si="135"/>
        <v>689185</v>
      </c>
      <c r="BS375" s="27">
        <f t="shared" si="136"/>
        <v>637141.68700000003</v>
      </c>
      <c r="BT375" s="28">
        <f t="shared" si="126"/>
        <v>689185</v>
      </c>
      <c r="BU375" s="28">
        <f t="shared" si="120"/>
        <v>689185</v>
      </c>
      <c r="BV375" s="28">
        <f t="shared" si="121"/>
        <v>689185</v>
      </c>
      <c r="BW375" s="28">
        <f t="shared" si="122"/>
        <v>689185</v>
      </c>
    </row>
    <row r="376" spans="1:75" ht="17.399999999999999" x14ac:dyDescent="0.25">
      <c r="A376" s="69">
        <f t="shared" si="129"/>
        <v>375</v>
      </c>
      <c r="B376" s="71" t="s">
        <v>540</v>
      </c>
      <c r="C376" s="71" t="s">
        <v>290</v>
      </c>
      <c r="D376" s="71" t="s">
        <v>541</v>
      </c>
      <c r="E376" s="71" t="s">
        <v>533</v>
      </c>
      <c r="F376" s="71" t="s">
        <v>542</v>
      </c>
      <c r="G376" s="71" t="s">
        <v>545</v>
      </c>
      <c r="H376" s="71" t="s">
        <v>447</v>
      </c>
      <c r="I376" s="71" t="str">
        <f>VLOOKUP(H376,[1]Sheet1!$C:$C,1,0)</f>
        <v>SC9642TS-EC-Q-AH-4XLR-9642</v>
      </c>
      <c r="J376" s="71"/>
      <c r="K376" s="71"/>
      <c r="L376" s="71" t="s">
        <v>448</v>
      </c>
      <c r="M376" s="85"/>
      <c r="N376" s="85"/>
      <c r="O376" s="85"/>
      <c r="P376" s="85"/>
      <c r="Q376" s="85"/>
      <c r="R376" s="100">
        <v>2.0680000000000001</v>
      </c>
      <c r="S376" s="75">
        <f t="shared" si="132"/>
        <v>0</v>
      </c>
      <c r="T376" s="76">
        <v>977709.04</v>
      </c>
      <c r="U376" s="76">
        <f t="shared" si="119"/>
        <v>0</v>
      </c>
      <c r="V376" s="85"/>
      <c r="W376" s="85"/>
      <c r="X376" s="85"/>
      <c r="Y376" s="85"/>
      <c r="Z376" s="72">
        <v>73924</v>
      </c>
      <c r="AA376" s="72">
        <v>66856</v>
      </c>
      <c r="AB376" s="72">
        <v>80000</v>
      </c>
      <c r="AC376" s="72">
        <v>80000</v>
      </c>
      <c r="AD376" s="77"/>
      <c r="AE376" s="75"/>
      <c r="AF376" s="75"/>
      <c r="AG376" s="75"/>
      <c r="AH376" s="75"/>
      <c r="AI376" s="75"/>
      <c r="AJ376" s="75">
        <v>0</v>
      </c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 t="s">
        <v>494</v>
      </c>
      <c r="AY376" s="19" t="s">
        <v>386</v>
      </c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>
        <f t="shared" si="133"/>
        <v>152874.83199999999</v>
      </c>
      <c r="BQ376" s="16">
        <f t="shared" si="134"/>
        <v>138258.20800000001</v>
      </c>
      <c r="BR376" s="16">
        <f t="shared" si="135"/>
        <v>165440</v>
      </c>
      <c r="BS376" s="16">
        <f t="shared" si="136"/>
        <v>165440</v>
      </c>
      <c r="BT376" s="17">
        <f t="shared" si="126"/>
        <v>0</v>
      </c>
      <c r="BU376" s="28">
        <f t="shared" si="120"/>
        <v>0</v>
      </c>
      <c r="BV376" s="28">
        <f t="shared" si="121"/>
        <v>0</v>
      </c>
      <c r="BW376" s="28">
        <f t="shared" si="122"/>
        <v>0</v>
      </c>
    </row>
    <row r="377" spans="1:75" ht="17.399999999999999" x14ac:dyDescent="0.25">
      <c r="A377" s="69">
        <f t="shared" si="129"/>
        <v>376</v>
      </c>
      <c r="B377" s="71" t="s">
        <v>546</v>
      </c>
      <c r="C377" s="71" t="s">
        <v>243</v>
      </c>
      <c r="D377" s="71" t="s">
        <v>541</v>
      </c>
      <c r="E377" s="71" t="s">
        <v>533</v>
      </c>
      <c r="F377" s="71" t="s">
        <v>542</v>
      </c>
      <c r="G377" s="71" t="s">
        <v>547</v>
      </c>
      <c r="H377" s="71" t="s">
        <v>246</v>
      </c>
      <c r="I377" s="71" t="str">
        <f>VLOOKUP(H377,[1]Sheet1!$C:$C,1,0)</f>
        <v>SC4643VB-Q-DE-40CK-4643</v>
      </c>
      <c r="J377" s="71"/>
      <c r="K377" s="71"/>
      <c r="L377" s="71" t="s">
        <v>253</v>
      </c>
      <c r="M377" s="85"/>
      <c r="N377" s="85"/>
      <c r="O377" s="85"/>
      <c r="P377" s="85"/>
      <c r="Q377" s="85"/>
      <c r="R377" s="100">
        <v>2.17</v>
      </c>
      <c r="S377" s="75">
        <f t="shared" si="132"/>
        <v>585900</v>
      </c>
      <c r="T377" s="76">
        <v>121520</v>
      </c>
      <c r="U377" s="76">
        <f t="shared" si="119"/>
        <v>270000</v>
      </c>
      <c r="V377" s="85"/>
      <c r="W377" s="85"/>
      <c r="X377" s="85"/>
      <c r="Y377" s="85"/>
      <c r="Z377" s="73">
        <v>6000</v>
      </c>
      <c r="AA377" s="73">
        <v>6000</v>
      </c>
      <c r="AB377" s="73">
        <v>6000</v>
      </c>
      <c r="AC377" s="73">
        <v>75000</v>
      </c>
      <c r="AD377" s="77">
        <v>80000</v>
      </c>
      <c r="AE377" s="75">
        <v>90000</v>
      </c>
      <c r="AF377" s="75">
        <v>90000</v>
      </c>
      <c r="AG377" s="75">
        <v>90000</v>
      </c>
      <c r="AH377" s="75">
        <v>90000</v>
      </c>
      <c r="AI377" s="75">
        <v>45000</v>
      </c>
      <c r="AJ377" s="75">
        <v>90000</v>
      </c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 t="s">
        <v>494</v>
      </c>
      <c r="AY377" s="19" t="s">
        <v>247</v>
      </c>
      <c r="AZ377" s="27"/>
      <c r="BA377" s="27"/>
      <c r="BB377" s="27"/>
      <c r="BC377" s="27"/>
      <c r="BD377" s="27"/>
      <c r="BE377" s="27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>
        <f t="shared" si="133"/>
        <v>13020</v>
      </c>
      <c r="BQ377" s="27">
        <f t="shared" si="134"/>
        <v>13020</v>
      </c>
      <c r="BR377" s="27">
        <f t="shared" si="135"/>
        <v>13020</v>
      </c>
      <c r="BS377" s="27">
        <f t="shared" si="136"/>
        <v>162750</v>
      </c>
      <c r="BT377" s="28">
        <f t="shared" si="126"/>
        <v>173600</v>
      </c>
      <c r="BU377" s="28">
        <f t="shared" si="120"/>
        <v>195300</v>
      </c>
      <c r="BV377" s="28">
        <f t="shared" si="121"/>
        <v>195300</v>
      </c>
      <c r="BW377" s="28">
        <f t="shared" si="122"/>
        <v>195300</v>
      </c>
    </row>
    <row r="378" spans="1:75" ht="17.399999999999999" x14ac:dyDescent="0.25">
      <c r="A378" s="69">
        <f t="shared" si="129"/>
        <v>377</v>
      </c>
      <c r="B378" s="71" t="s">
        <v>548</v>
      </c>
      <c r="C378" s="71" t="s">
        <v>235</v>
      </c>
      <c r="D378" s="71" t="s">
        <v>549</v>
      </c>
      <c r="E378" s="71" t="s">
        <v>533</v>
      </c>
      <c r="F378" s="71" t="s">
        <v>550</v>
      </c>
      <c r="G378" s="71" t="s">
        <v>551</v>
      </c>
      <c r="H378" s="71" t="s">
        <v>552</v>
      </c>
      <c r="I378" s="71" t="e">
        <f>VLOOKUP(H378,[1]Sheet1!$C:$C,1,0)</f>
        <v>#N/A</v>
      </c>
      <c r="J378" s="71"/>
      <c r="K378" s="71"/>
      <c r="L378" s="71" t="s">
        <v>448</v>
      </c>
      <c r="M378" s="85"/>
      <c r="N378" s="85"/>
      <c r="O378" s="85"/>
      <c r="P378" s="85"/>
      <c r="Q378" s="85"/>
      <c r="R378" s="100">
        <v>2.1549999999999998</v>
      </c>
      <c r="S378" s="75">
        <f t="shared" si="132"/>
        <v>1292999.9999999998</v>
      </c>
      <c r="T378" s="76">
        <v>4278752.5</v>
      </c>
      <c r="U378" s="76">
        <f t="shared" si="119"/>
        <v>600000</v>
      </c>
      <c r="V378" s="85"/>
      <c r="W378" s="85"/>
      <c r="X378" s="85"/>
      <c r="Y378" s="85"/>
      <c r="Z378" s="72">
        <v>189000</v>
      </c>
      <c r="AA378" s="72">
        <v>196500</v>
      </c>
      <c r="AB378" s="72">
        <v>200000</v>
      </c>
      <c r="AC378" s="72"/>
      <c r="AD378" s="77"/>
      <c r="AE378" s="75">
        <v>0</v>
      </c>
      <c r="AF378" s="75">
        <v>400000</v>
      </c>
      <c r="AG378" s="75">
        <v>200000</v>
      </c>
      <c r="AH378" s="75">
        <v>200000</v>
      </c>
      <c r="AI378" s="75">
        <v>100000</v>
      </c>
      <c r="AJ378" s="75">
        <v>200000</v>
      </c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 t="s">
        <v>494</v>
      </c>
      <c r="AY378" s="19" t="s">
        <v>386</v>
      </c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>
        <f t="shared" si="133"/>
        <v>407294.99999999994</v>
      </c>
      <c r="BQ378" s="16">
        <f t="shared" si="134"/>
        <v>423457.49999999994</v>
      </c>
      <c r="BR378" s="16">
        <f t="shared" si="135"/>
        <v>430999.99999999994</v>
      </c>
      <c r="BS378" s="16">
        <f t="shared" si="136"/>
        <v>0</v>
      </c>
      <c r="BT378" s="17">
        <f t="shared" si="126"/>
        <v>0</v>
      </c>
      <c r="BU378" s="28">
        <f t="shared" si="120"/>
        <v>0</v>
      </c>
      <c r="BV378" s="28">
        <f t="shared" si="121"/>
        <v>861999.99999999988</v>
      </c>
      <c r="BW378" s="28">
        <f t="shared" si="122"/>
        <v>430999.99999999994</v>
      </c>
    </row>
    <row r="379" spans="1:75" ht="17.399999999999999" x14ac:dyDescent="0.25">
      <c r="A379" s="69">
        <f t="shared" si="129"/>
        <v>378</v>
      </c>
      <c r="B379" s="71" t="s">
        <v>548</v>
      </c>
      <c r="C379" s="71" t="s">
        <v>235</v>
      </c>
      <c r="D379" s="71" t="s">
        <v>549</v>
      </c>
      <c r="E379" s="71" t="s">
        <v>533</v>
      </c>
      <c r="F379" s="71" t="s">
        <v>550</v>
      </c>
      <c r="G379" s="71" t="s">
        <v>553</v>
      </c>
      <c r="H379" s="71" t="s">
        <v>554</v>
      </c>
      <c r="I379" s="71" t="str">
        <f>VLOOKUP(H379,[1]Sheet1!$C:$C,1,0)</f>
        <v>SC9641TS-Q-CB-10LR-9641</v>
      </c>
      <c r="J379" s="71"/>
      <c r="K379" s="71"/>
      <c r="L379" s="71" t="s">
        <v>448</v>
      </c>
      <c r="M379" s="85"/>
      <c r="N379" s="85"/>
      <c r="O379" s="85"/>
      <c r="P379" s="85"/>
      <c r="Q379" s="85"/>
      <c r="R379" s="100">
        <v>2</v>
      </c>
      <c r="S379" s="75">
        <f t="shared" si="132"/>
        <v>810000</v>
      </c>
      <c r="T379" s="76">
        <v>2610000</v>
      </c>
      <c r="U379" s="76">
        <f t="shared" si="119"/>
        <v>405000</v>
      </c>
      <c r="V379" s="85">
        <v>240000</v>
      </c>
      <c r="W379" s="85">
        <v>180000</v>
      </c>
      <c r="X379" s="85">
        <v>90000</v>
      </c>
      <c r="Y379" s="85">
        <v>100000</v>
      </c>
      <c r="Z379" s="72">
        <v>135000</v>
      </c>
      <c r="AA379" s="72">
        <v>210000</v>
      </c>
      <c r="AB379" s="72">
        <v>210000</v>
      </c>
      <c r="AC379" s="72">
        <v>240000</v>
      </c>
      <c r="AD379" s="77">
        <v>250500</v>
      </c>
      <c r="AE379" s="75">
        <v>150000</v>
      </c>
      <c r="AF379" s="75">
        <v>150000</v>
      </c>
      <c r="AG379" s="75">
        <v>105000</v>
      </c>
      <c r="AH379" s="75">
        <v>105000</v>
      </c>
      <c r="AI379" s="75">
        <v>50000</v>
      </c>
      <c r="AJ379" s="75">
        <v>105000</v>
      </c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 t="s">
        <v>494</v>
      </c>
      <c r="AY379" s="19" t="s">
        <v>386</v>
      </c>
      <c r="AZ379" s="27"/>
      <c r="BA379" s="27"/>
      <c r="BB379" s="27"/>
      <c r="BC379" s="27"/>
      <c r="BD379" s="27"/>
      <c r="BE379" s="27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>
        <f t="shared" si="133"/>
        <v>270000</v>
      </c>
      <c r="BQ379" s="27">
        <f t="shared" si="134"/>
        <v>420000</v>
      </c>
      <c r="BR379" s="27">
        <f t="shared" si="135"/>
        <v>420000</v>
      </c>
      <c r="BS379" s="27">
        <f t="shared" si="136"/>
        <v>480000</v>
      </c>
      <c r="BT379" s="28">
        <f t="shared" si="126"/>
        <v>501000</v>
      </c>
      <c r="BU379" s="28">
        <f t="shared" si="120"/>
        <v>300000</v>
      </c>
      <c r="BV379" s="28">
        <f t="shared" si="121"/>
        <v>300000</v>
      </c>
      <c r="BW379" s="28">
        <f t="shared" si="122"/>
        <v>210000</v>
      </c>
    </row>
    <row r="380" spans="1:75" ht="17.399999999999999" x14ac:dyDescent="0.25">
      <c r="A380" s="69">
        <f t="shared" si="129"/>
        <v>379</v>
      </c>
      <c r="B380" s="71" t="s">
        <v>555</v>
      </c>
      <c r="C380" s="71" t="s">
        <v>235</v>
      </c>
      <c r="D380" s="71" t="s">
        <v>556</v>
      </c>
      <c r="E380" s="71" t="s">
        <v>533</v>
      </c>
      <c r="F380" s="71" t="s">
        <v>557</v>
      </c>
      <c r="G380" s="71" t="s">
        <v>543</v>
      </c>
      <c r="H380" s="71" t="s">
        <v>544</v>
      </c>
      <c r="I380" s="71" t="str">
        <f>VLOOKUP(H380,[1]Sheet1!$C:$C,1,0)</f>
        <v>SC9641TS-PC-Q-AI-10LR-9641PC</v>
      </c>
      <c r="J380" s="71"/>
      <c r="K380" s="71"/>
      <c r="L380" s="71" t="s">
        <v>448</v>
      </c>
      <c r="M380" s="85"/>
      <c r="N380" s="85"/>
      <c r="O380" s="85"/>
      <c r="P380" s="85"/>
      <c r="Q380" s="85"/>
      <c r="R380" s="100">
        <v>2.25</v>
      </c>
      <c r="S380" s="75">
        <f t="shared" si="132"/>
        <v>1350000</v>
      </c>
      <c r="T380" s="76">
        <v>3647999.9999999995</v>
      </c>
      <c r="U380" s="76">
        <f t="shared" si="119"/>
        <v>600000</v>
      </c>
      <c r="V380" s="85"/>
      <c r="W380" s="85"/>
      <c r="X380" s="85"/>
      <c r="Y380" s="85"/>
      <c r="Z380" s="72">
        <v>200000</v>
      </c>
      <c r="AA380" s="72">
        <v>200000</v>
      </c>
      <c r="AB380" s="72">
        <v>200000</v>
      </c>
      <c r="AC380" s="72">
        <v>250000</v>
      </c>
      <c r="AD380" s="77">
        <v>200000</v>
      </c>
      <c r="AE380" s="75">
        <v>200000</v>
      </c>
      <c r="AF380" s="75">
        <v>200000</v>
      </c>
      <c r="AG380" s="75">
        <v>200000</v>
      </c>
      <c r="AH380" s="75">
        <v>200000</v>
      </c>
      <c r="AI380" s="75">
        <v>100000</v>
      </c>
      <c r="AJ380" s="75">
        <v>200000</v>
      </c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 t="s">
        <v>494</v>
      </c>
      <c r="AY380" s="19" t="s">
        <v>386</v>
      </c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>
        <f t="shared" si="133"/>
        <v>450000</v>
      </c>
      <c r="BQ380" s="16">
        <f t="shared" si="134"/>
        <v>450000</v>
      </c>
      <c r="BR380" s="16">
        <f t="shared" si="135"/>
        <v>450000</v>
      </c>
      <c r="BS380" s="16">
        <f t="shared" si="136"/>
        <v>562500</v>
      </c>
      <c r="BT380" s="17">
        <f t="shared" si="126"/>
        <v>450000</v>
      </c>
      <c r="BU380" s="28">
        <f t="shared" si="120"/>
        <v>450000</v>
      </c>
      <c r="BV380" s="28">
        <f t="shared" si="121"/>
        <v>450000</v>
      </c>
      <c r="BW380" s="28">
        <f t="shared" si="122"/>
        <v>450000</v>
      </c>
    </row>
    <row r="381" spans="1:75" ht="17.399999999999999" x14ac:dyDescent="0.25">
      <c r="A381" s="69">
        <f t="shared" si="129"/>
        <v>380</v>
      </c>
      <c r="B381" s="71" t="s">
        <v>599</v>
      </c>
      <c r="C381" s="71" t="s">
        <v>235</v>
      </c>
      <c r="D381" s="71" t="s">
        <v>600</v>
      </c>
      <c r="E381" s="71" t="s">
        <v>533</v>
      </c>
      <c r="F381" s="71" t="s">
        <v>601</v>
      </c>
      <c r="G381" s="71" t="s">
        <v>553</v>
      </c>
      <c r="H381" s="71" t="s">
        <v>602</v>
      </c>
      <c r="I381" s="71" t="str">
        <f>VLOOKUP(H381,[1]Sheet1!$C:$C,1,0)</f>
        <v>SC9641TS-362-Q-CB-10LR-9641</v>
      </c>
      <c r="J381" s="71"/>
      <c r="K381" s="71"/>
      <c r="L381" s="71" t="s">
        <v>448</v>
      </c>
      <c r="M381" s="85"/>
      <c r="N381" s="85"/>
      <c r="O381" s="85"/>
      <c r="P381" s="85"/>
      <c r="Q381" s="85"/>
      <c r="R381" s="100">
        <v>1.95</v>
      </c>
      <c r="S381" s="75">
        <f t="shared" si="132"/>
        <v>585000</v>
      </c>
      <c r="T381" s="76">
        <v>4263000</v>
      </c>
      <c r="U381" s="76">
        <f t="shared" si="119"/>
        <v>300000</v>
      </c>
      <c r="V381" s="85">
        <v>300000</v>
      </c>
      <c r="W381" s="85">
        <v>200000</v>
      </c>
      <c r="X381" s="85">
        <v>200000</v>
      </c>
      <c r="Y381" s="85">
        <v>200000</v>
      </c>
      <c r="Z381" s="72">
        <v>200000</v>
      </c>
      <c r="AA381" s="72">
        <v>200000</v>
      </c>
      <c r="AB381" s="72">
        <v>200000</v>
      </c>
      <c r="AC381" s="72">
        <v>100000</v>
      </c>
      <c r="AD381" s="77">
        <v>100000</v>
      </c>
      <c r="AE381" s="75">
        <v>100000</v>
      </c>
      <c r="AF381" s="75">
        <v>100000</v>
      </c>
      <c r="AG381" s="75">
        <v>100000</v>
      </c>
      <c r="AH381" s="75">
        <v>100000</v>
      </c>
      <c r="AI381" s="75">
        <v>50000</v>
      </c>
      <c r="AJ381" s="75">
        <v>100000</v>
      </c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 t="s">
        <v>494</v>
      </c>
      <c r="AY381" s="19" t="s">
        <v>386</v>
      </c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>
        <f t="shared" si="133"/>
        <v>390000</v>
      </c>
      <c r="BQ381" s="16">
        <f t="shared" si="134"/>
        <v>390000</v>
      </c>
      <c r="BR381" s="16">
        <f t="shared" si="135"/>
        <v>390000</v>
      </c>
      <c r="BS381" s="16">
        <f t="shared" si="136"/>
        <v>195000</v>
      </c>
      <c r="BT381" s="17">
        <f t="shared" si="126"/>
        <v>195000</v>
      </c>
      <c r="BU381" s="28">
        <f t="shared" si="120"/>
        <v>195000</v>
      </c>
      <c r="BV381" s="28">
        <f t="shared" si="121"/>
        <v>195000</v>
      </c>
      <c r="BW381" s="28">
        <f t="shared" si="122"/>
        <v>195000</v>
      </c>
    </row>
    <row r="382" spans="1:75" ht="17.399999999999999" x14ac:dyDescent="0.25">
      <c r="A382" s="69">
        <f t="shared" si="129"/>
        <v>381</v>
      </c>
      <c r="B382" s="71" t="s">
        <v>599</v>
      </c>
      <c r="C382" s="71" t="s">
        <v>235</v>
      </c>
      <c r="D382" s="71" t="s">
        <v>600</v>
      </c>
      <c r="E382" s="71" t="s">
        <v>533</v>
      </c>
      <c r="F382" s="71" t="s">
        <v>601</v>
      </c>
      <c r="G382" s="71" t="s">
        <v>440</v>
      </c>
      <c r="H382" s="71" t="s">
        <v>441</v>
      </c>
      <c r="I382" s="71" t="str">
        <f>VLOOKUP(H382,[1]Sheet1!$C:$C,1,0)</f>
        <v>SC9314UA-Q-CF-0XAK-94M</v>
      </c>
      <c r="J382" s="71"/>
      <c r="K382" s="71"/>
      <c r="L382" s="71" t="s">
        <v>438</v>
      </c>
      <c r="M382" s="85"/>
      <c r="N382" s="85"/>
      <c r="O382" s="85"/>
      <c r="P382" s="85"/>
      <c r="Q382" s="85"/>
      <c r="R382" s="100">
        <v>1.5</v>
      </c>
      <c r="S382" s="75">
        <f t="shared" si="132"/>
        <v>0</v>
      </c>
      <c r="T382" s="76">
        <v>240000</v>
      </c>
      <c r="U382" s="76">
        <f t="shared" si="119"/>
        <v>0</v>
      </c>
      <c r="V382" s="85"/>
      <c r="W382" s="85"/>
      <c r="X382" s="85"/>
      <c r="Y382" s="85"/>
      <c r="Z382" s="72">
        <v>20000</v>
      </c>
      <c r="AA382" s="72">
        <v>20000</v>
      </c>
      <c r="AB382" s="72">
        <v>20000</v>
      </c>
      <c r="AC382" s="72"/>
      <c r="AD382" s="77"/>
      <c r="AE382" s="75"/>
      <c r="AF382" s="75"/>
      <c r="AG382" s="75"/>
      <c r="AH382" s="75">
        <v>0</v>
      </c>
      <c r="AI382" s="75"/>
      <c r="AJ382" s="75">
        <v>0</v>
      </c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 t="s">
        <v>494</v>
      </c>
      <c r="AY382" s="19" t="s">
        <v>386</v>
      </c>
      <c r="AZ382" s="27"/>
      <c r="BA382" s="27"/>
      <c r="BB382" s="27"/>
      <c r="BC382" s="27"/>
      <c r="BD382" s="27"/>
      <c r="BE382" s="27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>
        <f t="shared" si="133"/>
        <v>30000</v>
      </c>
      <c r="BQ382" s="27">
        <f t="shared" si="134"/>
        <v>30000</v>
      </c>
      <c r="BR382" s="27">
        <f t="shared" si="135"/>
        <v>30000</v>
      </c>
      <c r="BS382" s="27">
        <f t="shared" si="136"/>
        <v>0</v>
      </c>
      <c r="BT382" s="28">
        <f t="shared" si="126"/>
        <v>0</v>
      </c>
      <c r="BU382" s="28">
        <f t="shared" si="120"/>
        <v>0</v>
      </c>
      <c r="BV382" s="28">
        <f t="shared" si="121"/>
        <v>0</v>
      </c>
      <c r="BW382" s="28">
        <f t="shared" si="122"/>
        <v>0</v>
      </c>
    </row>
    <row r="383" spans="1:75" ht="17.399999999999999" x14ac:dyDescent="0.25">
      <c r="A383" s="69">
        <f t="shared" si="129"/>
        <v>382</v>
      </c>
      <c r="B383" s="71" t="s">
        <v>603</v>
      </c>
      <c r="C383" s="71" t="s">
        <v>235</v>
      </c>
      <c r="D383" s="71" t="s">
        <v>600</v>
      </c>
      <c r="E383" s="71" t="s">
        <v>533</v>
      </c>
      <c r="F383" s="71" t="s">
        <v>601</v>
      </c>
      <c r="G383" s="71" t="s">
        <v>263</v>
      </c>
      <c r="H383" s="71" t="s">
        <v>264</v>
      </c>
      <c r="I383" s="71" t="str">
        <f>VLOOKUP(H383,[1]Sheet1!$C:$C,1,0)</f>
        <v>SC2442SO-Q-DB-60CR-2442</v>
      </c>
      <c r="J383" s="71"/>
      <c r="K383" s="71"/>
      <c r="L383" s="71" t="s">
        <v>604</v>
      </c>
      <c r="M383" s="85"/>
      <c r="N383" s="85"/>
      <c r="O383" s="85"/>
      <c r="P383" s="85"/>
      <c r="Q383" s="85"/>
      <c r="R383" s="100">
        <v>0.35</v>
      </c>
      <c r="S383" s="75">
        <f t="shared" si="132"/>
        <v>210000</v>
      </c>
      <c r="T383" s="76">
        <v>546000</v>
      </c>
      <c r="U383" s="76">
        <f t="shared" si="119"/>
        <v>600000</v>
      </c>
      <c r="V383" s="85"/>
      <c r="W383" s="85"/>
      <c r="X383" s="85"/>
      <c r="Y383" s="85"/>
      <c r="Z383" s="72">
        <v>120000</v>
      </c>
      <c r="AA383" s="72">
        <v>120000</v>
      </c>
      <c r="AB383" s="72">
        <v>120000</v>
      </c>
      <c r="AC383" s="72">
        <v>120000</v>
      </c>
      <c r="AD383" s="77">
        <v>200000</v>
      </c>
      <c r="AE383" s="75">
        <v>200000</v>
      </c>
      <c r="AF383" s="75">
        <v>200000</v>
      </c>
      <c r="AG383" s="75">
        <v>200000</v>
      </c>
      <c r="AH383" s="75">
        <v>200000</v>
      </c>
      <c r="AI383" s="75">
        <v>100000</v>
      </c>
      <c r="AJ383" s="75">
        <v>200000</v>
      </c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 t="s">
        <v>494</v>
      </c>
      <c r="AY383" s="19" t="s">
        <v>261</v>
      </c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>
        <f t="shared" si="133"/>
        <v>42000</v>
      </c>
      <c r="BQ383" s="16">
        <f t="shared" si="134"/>
        <v>42000</v>
      </c>
      <c r="BR383" s="16">
        <f t="shared" si="135"/>
        <v>42000</v>
      </c>
      <c r="BS383" s="16">
        <f t="shared" si="136"/>
        <v>42000</v>
      </c>
      <c r="BT383" s="17">
        <f t="shared" si="126"/>
        <v>70000</v>
      </c>
      <c r="BU383" s="28">
        <f t="shared" si="120"/>
        <v>70000</v>
      </c>
      <c r="BV383" s="28">
        <f t="shared" si="121"/>
        <v>70000</v>
      </c>
      <c r="BW383" s="28">
        <f t="shared" si="122"/>
        <v>70000</v>
      </c>
    </row>
    <row r="384" spans="1:75" ht="17.399999999999999" x14ac:dyDescent="0.25">
      <c r="A384" s="69">
        <f t="shared" si="129"/>
        <v>383</v>
      </c>
      <c r="B384" s="71" t="s">
        <v>605</v>
      </c>
      <c r="C384" s="71" t="s">
        <v>243</v>
      </c>
      <c r="D384" s="71" t="s">
        <v>606</v>
      </c>
      <c r="E384" s="71" t="s">
        <v>533</v>
      </c>
      <c r="F384" s="71" t="s">
        <v>607</v>
      </c>
      <c r="G384" s="71" t="s">
        <v>477</v>
      </c>
      <c r="H384" s="71" t="s">
        <v>478</v>
      </c>
      <c r="I384" s="71" t="str">
        <f>VLOOKUP(H384,[1]Sheet1!$C:$C,1,0)</f>
        <v>SC9642TS-E-Q-AH-4XLR-9642</v>
      </c>
      <c r="J384" s="71"/>
      <c r="K384" s="71"/>
      <c r="L384" s="71" t="s">
        <v>448</v>
      </c>
      <c r="M384" s="85"/>
      <c r="N384" s="85"/>
      <c r="O384" s="85"/>
      <c r="P384" s="85"/>
      <c r="Q384" s="85"/>
      <c r="R384" s="100">
        <v>1.8</v>
      </c>
      <c r="S384" s="75">
        <f t="shared" si="132"/>
        <v>108000</v>
      </c>
      <c r="T384" s="76">
        <v>288000</v>
      </c>
      <c r="U384" s="76">
        <f t="shared" si="119"/>
        <v>60000</v>
      </c>
      <c r="V384" s="85"/>
      <c r="W384" s="85"/>
      <c r="X384" s="85"/>
      <c r="Y384" s="85"/>
      <c r="Z384" s="72">
        <v>20000</v>
      </c>
      <c r="AA384" s="72">
        <v>20000</v>
      </c>
      <c r="AB384" s="72">
        <v>20000</v>
      </c>
      <c r="AC384" s="72">
        <v>20000</v>
      </c>
      <c r="AD384" s="77">
        <v>20000</v>
      </c>
      <c r="AE384" s="75">
        <v>20000</v>
      </c>
      <c r="AF384" s="75">
        <v>20000</v>
      </c>
      <c r="AG384" s="75">
        <v>20000</v>
      </c>
      <c r="AH384" s="75">
        <v>20000</v>
      </c>
      <c r="AI384" s="75">
        <v>10000</v>
      </c>
      <c r="AJ384" s="75">
        <v>20000</v>
      </c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 t="s">
        <v>494</v>
      </c>
      <c r="AY384" s="19" t="s">
        <v>386</v>
      </c>
      <c r="AZ384" s="27"/>
      <c r="BA384" s="27"/>
      <c r="BB384" s="27"/>
      <c r="BC384" s="27"/>
      <c r="BD384" s="27"/>
      <c r="BE384" s="27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>
        <f t="shared" si="133"/>
        <v>36000</v>
      </c>
      <c r="BQ384" s="27">
        <f t="shared" si="134"/>
        <v>36000</v>
      </c>
      <c r="BR384" s="27">
        <f t="shared" si="135"/>
        <v>36000</v>
      </c>
      <c r="BS384" s="27">
        <f t="shared" si="136"/>
        <v>36000</v>
      </c>
      <c r="BT384" s="28">
        <f t="shared" si="126"/>
        <v>36000</v>
      </c>
      <c r="BU384" s="28">
        <f t="shared" si="120"/>
        <v>36000</v>
      </c>
      <c r="BV384" s="28">
        <f t="shared" si="121"/>
        <v>36000</v>
      </c>
      <c r="BW384" s="28">
        <f t="shared" si="122"/>
        <v>36000</v>
      </c>
    </row>
    <row r="385" spans="1:75" ht="17.399999999999999" x14ac:dyDescent="0.25">
      <c r="A385" s="69">
        <f t="shared" si="129"/>
        <v>384</v>
      </c>
      <c r="B385" s="71" t="s">
        <v>608</v>
      </c>
      <c r="C385" s="71" t="s">
        <v>243</v>
      </c>
      <c r="D385" s="71" t="s">
        <v>606</v>
      </c>
      <c r="E385" s="71" t="s">
        <v>533</v>
      </c>
      <c r="F385" s="71" t="s">
        <v>607</v>
      </c>
      <c r="G385" s="78" t="s">
        <v>222</v>
      </c>
      <c r="H385" s="71" t="s">
        <v>388</v>
      </c>
      <c r="I385" s="71" t="str">
        <f>VLOOKUP(H385,[1]Sheet1!$C:$C,1,0)</f>
        <v>SC9625VB-CE-00CK-9625L</v>
      </c>
      <c r="J385" s="71"/>
      <c r="K385" s="71"/>
      <c r="L385" s="71" t="s">
        <v>439</v>
      </c>
      <c r="M385" s="85"/>
      <c r="N385" s="85"/>
      <c r="O385" s="85"/>
      <c r="P385" s="85"/>
      <c r="Q385" s="85"/>
      <c r="R385" s="100">
        <v>1.6</v>
      </c>
      <c r="S385" s="75">
        <f t="shared" si="132"/>
        <v>64000</v>
      </c>
      <c r="T385" s="76">
        <v>512000</v>
      </c>
      <c r="U385" s="76">
        <f t="shared" ref="U385:U448" si="137">SUM(AE385:AG385)</f>
        <v>40000</v>
      </c>
      <c r="V385" s="85"/>
      <c r="W385" s="85"/>
      <c r="X385" s="85"/>
      <c r="Y385" s="85"/>
      <c r="Z385" s="72">
        <v>40000</v>
      </c>
      <c r="AA385" s="72">
        <v>40000</v>
      </c>
      <c r="AB385" s="72">
        <v>40000</v>
      </c>
      <c r="AC385" s="72">
        <v>40000</v>
      </c>
      <c r="AD385" s="77">
        <v>0</v>
      </c>
      <c r="AE385" s="75">
        <v>0</v>
      </c>
      <c r="AF385" s="75">
        <v>0</v>
      </c>
      <c r="AG385" s="75">
        <v>40000</v>
      </c>
      <c r="AH385" s="75">
        <v>40000</v>
      </c>
      <c r="AI385" s="75">
        <v>32000</v>
      </c>
      <c r="AJ385" s="75">
        <v>32000</v>
      </c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 t="s">
        <v>494</v>
      </c>
      <c r="AY385" s="19" t="s">
        <v>386</v>
      </c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>
        <f t="shared" si="133"/>
        <v>64000</v>
      </c>
      <c r="BQ385" s="16">
        <f t="shared" si="134"/>
        <v>64000</v>
      </c>
      <c r="BR385" s="16">
        <f t="shared" si="135"/>
        <v>64000</v>
      </c>
      <c r="BS385" s="16">
        <f t="shared" si="136"/>
        <v>64000</v>
      </c>
      <c r="BT385" s="17">
        <f t="shared" si="126"/>
        <v>0</v>
      </c>
      <c r="BU385" s="28">
        <f t="shared" si="120"/>
        <v>0</v>
      </c>
      <c r="BV385" s="28">
        <f t="shared" si="121"/>
        <v>0</v>
      </c>
      <c r="BW385" s="28">
        <f t="shared" si="122"/>
        <v>64000</v>
      </c>
    </row>
    <row r="386" spans="1:75" ht="17.399999999999999" x14ac:dyDescent="0.25">
      <c r="A386" s="69">
        <f t="shared" si="129"/>
        <v>385</v>
      </c>
      <c r="B386" s="71" t="s">
        <v>609</v>
      </c>
      <c r="C386" s="71" t="s">
        <v>243</v>
      </c>
      <c r="D386" s="71" t="s">
        <v>606</v>
      </c>
      <c r="E386" s="71" t="s">
        <v>533</v>
      </c>
      <c r="F386" s="71" t="s">
        <v>607</v>
      </c>
      <c r="G386" s="71" t="s">
        <v>610</v>
      </c>
      <c r="H386" s="71" t="s">
        <v>611</v>
      </c>
      <c r="I386" s="71" t="str">
        <f>VLOOKUP(H386,[1]Sheet1!$C:$C,1,0)</f>
        <v>SC69401HS-Q-HD-4XTR-69401</v>
      </c>
      <c r="J386" s="71"/>
      <c r="K386" s="71"/>
      <c r="L386" s="71" t="s">
        <v>593</v>
      </c>
      <c r="M386" s="85"/>
      <c r="N386" s="85"/>
      <c r="O386" s="85"/>
      <c r="P386" s="85"/>
      <c r="Q386" s="85"/>
      <c r="R386" s="100">
        <v>7</v>
      </c>
      <c r="S386" s="75">
        <f t="shared" si="132"/>
        <v>490000</v>
      </c>
      <c r="T386" s="76">
        <v>525000</v>
      </c>
      <c r="U386" s="76">
        <f t="shared" si="137"/>
        <v>70000</v>
      </c>
      <c r="V386" s="85"/>
      <c r="W386" s="85"/>
      <c r="X386" s="85"/>
      <c r="Y386" s="85"/>
      <c r="Z386" s="72">
        <v>0</v>
      </c>
      <c r="AA386" s="72">
        <v>0</v>
      </c>
      <c r="AB386" s="72">
        <v>0</v>
      </c>
      <c r="AC386" s="72">
        <v>0</v>
      </c>
      <c r="AD386" s="77">
        <v>5000</v>
      </c>
      <c r="AE386" s="75">
        <v>10000</v>
      </c>
      <c r="AF386" s="75">
        <v>30000</v>
      </c>
      <c r="AG386" s="75">
        <v>30000</v>
      </c>
      <c r="AH386" s="75">
        <v>30000</v>
      </c>
      <c r="AI386" s="75">
        <v>24000</v>
      </c>
      <c r="AJ386" s="75">
        <v>24000</v>
      </c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 t="s">
        <v>494</v>
      </c>
      <c r="AY386" s="19" t="s">
        <v>371</v>
      </c>
      <c r="AZ386" s="27"/>
      <c r="BA386" s="27"/>
      <c r="BB386" s="27"/>
      <c r="BC386" s="27"/>
      <c r="BD386" s="27"/>
      <c r="BE386" s="27"/>
      <c r="BF386" s="27"/>
      <c r="BG386" s="27"/>
      <c r="BH386" s="27"/>
      <c r="BI386" s="27"/>
      <c r="BJ386" s="27"/>
      <c r="BK386" s="27"/>
      <c r="BL386" s="27"/>
      <c r="BM386" s="27"/>
      <c r="BN386" s="27"/>
      <c r="BO386" s="27"/>
      <c r="BP386" s="27">
        <f t="shared" si="133"/>
        <v>0</v>
      </c>
      <c r="BQ386" s="27">
        <f t="shared" si="134"/>
        <v>0</v>
      </c>
      <c r="BR386" s="27">
        <f t="shared" si="135"/>
        <v>0</v>
      </c>
      <c r="BS386" s="27">
        <f t="shared" si="136"/>
        <v>0</v>
      </c>
      <c r="BT386" s="28">
        <f t="shared" si="126"/>
        <v>35000</v>
      </c>
      <c r="BU386" s="28">
        <f t="shared" si="120"/>
        <v>70000</v>
      </c>
      <c r="BV386" s="28">
        <f t="shared" si="121"/>
        <v>210000</v>
      </c>
      <c r="BW386" s="28">
        <f t="shared" si="122"/>
        <v>210000</v>
      </c>
    </row>
    <row r="387" spans="1:75" ht="17.399999999999999" x14ac:dyDescent="0.25">
      <c r="A387" s="69">
        <f t="shared" si="129"/>
        <v>386</v>
      </c>
      <c r="B387" s="71" t="s">
        <v>612</v>
      </c>
      <c r="C387" s="71" t="s">
        <v>243</v>
      </c>
      <c r="D387" s="71" t="s">
        <v>606</v>
      </c>
      <c r="E387" s="71" t="s">
        <v>533</v>
      </c>
      <c r="F387" s="71" t="s">
        <v>607</v>
      </c>
      <c r="G387" s="71" t="s">
        <v>384</v>
      </c>
      <c r="H387" s="71" t="s">
        <v>613</v>
      </c>
      <c r="I387" s="71" t="str">
        <f>VLOOKUP(H387,[1]Sheet1!$C:$C,1,0)</f>
        <v>SC9314UA-CF-0XAK-94M</v>
      </c>
      <c r="J387" s="71"/>
      <c r="K387" s="71"/>
      <c r="L387" s="71" t="s">
        <v>438</v>
      </c>
      <c r="M387" s="85"/>
      <c r="N387" s="85"/>
      <c r="O387" s="85"/>
      <c r="P387" s="85"/>
      <c r="Q387" s="85"/>
      <c r="R387" s="100">
        <v>0.97</v>
      </c>
      <c r="S387" s="75">
        <f t="shared" si="132"/>
        <v>87300</v>
      </c>
      <c r="T387" s="76">
        <v>155200</v>
      </c>
      <c r="U387" s="76">
        <f t="shared" si="137"/>
        <v>90000</v>
      </c>
      <c r="V387" s="85"/>
      <c r="W387" s="85"/>
      <c r="X387" s="85"/>
      <c r="Y387" s="85"/>
      <c r="Z387" s="72">
        <v>20000</v>
      </c>
      <c r="AA387" s="72">
        <v>20000</v>
      </c>
      <c r="AB387" s="72">
        <v>20000</v>
      </c>
      <c r="AC387" s="72">
        <v>20000</v>
      </c>
      <c r="AD387" s="77">
        <v>20000</v>
      </c>
      <c r="AE387" s="75">
        <v>30000</v>
      </c>
      <c r="AF387" s="75">
        <v>30000</v>
      </c>
      <c r="AG387" s="75">
        <v>30000</v>
      </c>
      <c r="AH387" s="75">
        <v>30000</v>
      </c>
      <c r="AI387" s="75">
        <v>15000</v>
      </c>
      <c r="AJ387" s="75">
        <v>30000</v>
      </c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 t="s">
        <v>494</v>
      </c>
      <c r="AY387" s="19" t="s">
        <v>386</v>
      </c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>
        <f t="shared" si="133"/>
        <v>19400</v>
      </c>
      <c r="BQ387" s="16">
        <f t="shared" si="134"/>
        <v>19400</v>
      </c>
      <c r="BR387" s="16">
        <f t="shared" si="135"/>
        <v>19400</v>
      </c>
      <c r="BS387" s="16">
        <f t="shared" si="136"/>
        <v>19400</v>
      </c>
      <c r="BT387" s="17">
        <f t="shared" si="126"/>
        <v>19400</v>
      </c>
      <c r="BU387" s="28">
        <f t="shared" ref="BU387:BU450" si="138">$R387*AE387</f>
        <v>29100</v>
      </c>
      <c r="BV387" s="28">
        <f t="shared" ref="BV387:BV450" si="139">$R387*AF387</f>
        <v>29100</v>
      </c>
      <c r="BW387" s="28">
        <f t="shared" ref="BW387:BW450" si="140">$R387*AG387</f>
        <v>29100</v>
      </c>
    </row>
    <row r="388" spans="1:75" ht="17.399999999999999" x14ac:dyDescent="0.25">
      <c r="A388" s="69">
        <f t="shared" si="129"/>
        <v>387</v>
      </c>
      <c r="B388" s="71" t="s">
        <v>612</v>
      </c>
      <c r="C388" s="71" t="s">
        <v>243</v>
      </c>
      <c r="D388" s="71" t="s">
        <v>606</v>
      </c>
      <c r="E388" s="71" t="s">
        <v>533</v>
      </c>
      <c r="F388" s="71" t="s">
        <v>607</v>
      </c>
      <c r="G388" s="71" t="s">
        <v>434</v>
      </c>
      <c r="H388" s="71" t="s">
        <v>435</v>
      </c>
      <c r="I388" s="71" t="str">
        <f>VLOOKUP(H388,[1]Sheet1!$C:$C,1,0)</f>
        <v>SC4688SA-Q-DC-40CK-4688</v>
      </c>
      <c r="J388" s="71"/>
      <c r="K388" s="71"/>
      <c r="L388" s="71" t="s">
        <v>593</v>
      </c>
      <c r="M388" s="85"/>
      <c r="N388" s="85"/>
      <c r="O388" s="85"/>
      <c r="P388" s="85"/>
      <c r="Q388" s="85"/>
      <c r="R388" s="100">
        <v>2.6</v>
      </c>
      <c r="S388" s="75">
        <f t="shared" si="132"/>
        <v>46800</v>
      </c>
      <c r="T388" s="76">
        <v>124800</v>
      </c>
      <c r="U388" s="76">
        <f t="shared" si="137"/>
        <v>18000</v>
      </c>
      <c r="V388" s="85"/>
      <c r="W388" s="85"/>
      <c r="X388" s="85"/>
      <c r="Y388" s="85"/>
      <c r="Z388" s="72">
        <v>6000</v>
      </c>
      <c r="AA388" s="72">
        <v>6000</v>
      </c>
      <c r="AB388" s="72">
        <v>6000</v>
      </c>
      <c r="AC388" s="72">
        <v>6000</v>
      </c>
      <c r="AD388" s="77">
        <v>6000</v>
      </c>
      <c r="AE388" s="75">
        <v>6000</v>
      </c>
      <c r="AF388" s="75">
        <v>6000</v>
      </c>
      <c r="AG388" s="75">
        <v>6000</v>
      </c>
      <c r="AH388" s="75">
        <v>6000</v>
      </c>
      <c r="AI388" s="75">
        <v>6000</v>
      </c>
      <c r="AJ388" s="75">
        <v>6000</v>
      </c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 t="s">
        <v>494</v>
      </c>
      <c r="AY388" s="19" t="s">
        <v>371</v>
      </c>
      <c r="AZ388" s="27"/>
      <c r="BA388" s="27"/>
      <c r="BB388" s="27"/>
      <c r="BC388" s="27"/>
      <c r="BD388" s="27"/>
      <c r="BE388" s="27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>
        <f t="shared" si="133"/>
        <v>15600</v>
      </c>
      <c r="BQ388" s="27">
        <f t="shared" si="134"/>
        <v>15600</v>
      </c>
      <c r="BR388" s="27">
        <f t="shared" si="135"/>
        <v>15600</v>
      </c>
      <c r="BS388" s="27">
        <f t="shared" si="136"/>
        <v>15600</v>
      </c>
      <c r="BT388" s="28">
        <f t="shared" ref="BT388:BT419" si="141">$R388*AD388</f>
        <v>15600</v>
      </c>
      <c r="BU388" s="28">
        <f t="shared" si="138"/>
        <v>15600</v>
      </c>
      <c r="BV388" s="28">
        <f t="shared" si="139"/>
        <v>15600</v>
      </c>
      <c r="BW388" s="28">
        <f t="shared" si="140"/>
        <v>15600</v>
      </c>
    </row>
    <row r="389" spans="1:75" ht="17.399999999999999" x14ac:dyDescent="0.25">
      <c r="A389" s="69">
        <f t="shared" si="129"/>
        <v>388</v>
      </c>
      <c r="B389" s="71" t="s">
        <v>614</v>
      </c>
      <c r="C389" s="71" t="s">
        <v>243</v>
      </c>
      <c r="D389" s="71" t="s">
        <v>606</v>
      </c>
      <c r="E389" s="71" t="s">
        <v>533</v>
      </c>
      <c r="F389" s="71" t="s">
        <v>607</v>
      </c>
      <c r="G389" s="78" t="s">
        <v>222</v>
      </c>
      <c r="H389" s="71" t="s">
        <v>388</v>
      </c>
      <c r="I389" s="71" t="str">
        <f>VLOOKUP(H389,[1]Sheet1!$C:$C,1,0)</f>
        <v>SC9625VB-CE-00CK-9625L</v>
      </c>
      <c r="J389" s="71"/>
      <c r="K389" s="71"/>
      <c r="L389" s="71" t="s">
        <v>439</v>
      </c>
      <c r="M389" s="85"/>
      <c r="N389" s="85"/>
      <c r="O389" s="85"/>
      <c r="P389" s="85"/>
      <c r="Q389" s="85"/>
      <c r="R389" s="100">
        <v>1.6</v>
      </c>
      <c r="S389" s="75">
        <f t="shared" si="132"/>
        <v>425006.4</v>
      </c>
      <c r="T389" s="76">
        <v>656000</v>
      </c>
      <c r="U389" s="76">
        <f t="shared" si="137"/>
        <v>265629</v>
      </c>
      <c r="V389" s="85"/>
      <c r="W389" s="85"/>
      <c r="X389" s="85"/>
      <c r="Y389" s="85"/>
      <c r="Z389" s="72">
        <v>130000</v>
      </c>
      <c r="AA389" s="72">
        <v>100000</v>
      </c>
      <c r="AB389" s="72">
        <v>30000</v>
      </c>
      <c r="AC389" s="72">
        <v>150000</v>
      </c>
      <c r="AD389" s="77">
        <v>0</v>
      </c>
      <c r="AE389" s="75">
        <v>85629</v>
      </c>
      <c r="AF389" s="75">
        <v>150000</v>
      </c>
      <c r="AG389" s="75">
        <v>30000</v>
      </c>
      <c r="AH389" s="75">
        <v>30000</v>
      </c>
      <c r="AI389" s="75">
        <v>30000</v>
      </c>
      <c r="AJ389" s="75">
        <v>30000</v>
      </c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 t="s">
        <v>494</v>
      </c>
      <c r="AY389" s="19" t="s">
        <v>386</v>
      </c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>
        <f t="shared" si="133"/>
        <v>208000</v>
      </c>
      <c r="BQ389" s="16">
        <f t="shared" si="134"/>
        <v>160000</v>
      </c>
      <c r="BR389" s="16">
        <f t="shared" si="135"/>
        <v>48000</v>
      </c>
      <c r="BS389" s="16">
        <f t="shared" si="136"/>
        <v>240000</v>
      </c>
      <c r="BT389" s="17">
        <f t="shared" si="141"/>
        <v>0</v>
      </c>
      <c r="BU389" s="28">
        <f t="shared" si="138"/>
        <v>137006.39999999999</v>
      </c>
      <c r="BV389" s="28">
        <f t="shared" si="139"/>
        <v>240000</v>
      </c>
      <c r="BW389" s="28">
        <f t="shared" si="140"/>
        <v>48000</v>
      </c>
    </row>
    <row r="390" spans="1:75" ht="17.399999999999999" x14ac:dyDescent="0.25">
      <c r="A390" s="69">
        <f t="shared" si="129"/>
        <v>389</v>
      </c>
      <c r="B390" s="71" t="s">
        <v>614</v>
      </c>
      <c r="C390" s="71" t="s">
        <v>243</v>
      </c>
      <c r="D390" s="71" t="s">
        <v>606</v>
      </c>
      <c r="E390" s="71" t="s">
        <v>533</v>
      </c>
      <c r="F390" s="71" t="s">
        <v>607</v>
      </c>
      <c r="G390" s="71" t="s">
        <v>610</v>
      </c>
      <c r="H390" s="71" t="s">
        <v>611</v>
      </c>
      <c r="I390" s="71" t="str">
        <f>VLOOKUP(H390,[1]Sheet1!$C:$C,1,0)</f>
        <v>SC69401HS-Q-HD-4XTR-69401</v>
      </c>
      <c r="J390" s="71"/>
      <c r="K390" s="71"/>
      <c r="L390" s="71" t="s">
        <v>615</v>
      </c>
      <c r="M390" s="85"/>
      <c r="N390" s="85"/>
      <c r="O390" s="85"/>
      <c r="P390" s="85"/>
      <c r="Q390" s="85"/>
      <c r="R390" s="100">
        <v>3.3</v>
      </c>
      <c r="S390" s="75">
        <f t="shared" si="132"/>
        <v>89100</v>
      </c>
      <c r="T390" s="76">
        <v>207900</v>
      </c>
      <c r="U390" s="76">
        <f t="shared" si="137"/>
        <v>27000</v>
      </c>
      <c r="V390" s="85"/>
      <c r="W390" s="85"/>
      <c r="X390" s="85"/>
      <c r="Y390" s="85"/>
      <c r="Z390" s="72">
        <v>6000</v>
      </c>
      <c r="AA390" s="72">
        <v>6000</v>
      </c>
      <c r="AB390" s="72">
        <v>6000</v>
      </c>
      <c r="AC390" s="72">
        <v>9000</v>
      </c>
      <c r="AD390" s="77">
        <v>9000</v>
      </c>
      <c r="AE390" s="75">
        <v>9000</v>
      </c>
      <c r="AF390" s="75">
        <v>9000</v>
      </c>
      <c r="AG390" s="75">
        <v>9000</v>
      </c>
      <c r="AH390" s="75">
        <v>9000</v>
      </c>
      <c r="AI390" s="75">
        <v>9000</v>
      </c>
      <c r="AJ390" s="75">
        <v>9000</v>
      </c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 t="s">
        <v>494</v>
      </c>
      <c r="AY390" s="19" t="s">
        <v>371</v>
      </c>
      <c r="AZ390" s="27"/>
      <c r="BA390" s="27"/>
      <c r="BB390" s="27"/>
      <c r="BC390" s="27"/>
      <c r="BD390" s="27"/>
      <c r="BE390" s="27"/>
      <c r="BF390" s="27"/>
      <c r="BG390" s="27"/>
      <c r="BH390" s="27"/>
      <c r="BI390" s="27"/>
      <c r="BJ390" s="27"/>
      <c r="BK390" s="27"/>
      <c r="BL390" s="27"/>
      <c r="BM390" s="27"/>
      <c r="BN390" s="27"/>
      <c r="BO390" s="27"/>
      <c r="BP390" s="27">
        <f t="shared" si="133"/>
        <v>19800</v>
      </c>
      <c r="BQ390" s="27">
        <f t="shared" si="134"/>
        <v>19800</v>
      </c>
      <c r="BR390" s="27">
        <f t="shared" si="135"/>
        <v>19800</v>
      </c>
      <c r="BS390" s="27">
        <f t="shared" si="136"/>
        <v>29700</v>
      </c>
      <c r="BT390" s="28">
        <f t="shared" si="141"/>
        <v>29700</v>
      </c>
      <c r="BU390" s="28">
        <f t="shared" si="138"/>
        <v>29700</v>
      </c>
      <c r="BV390" s="28">
        <f t="shared" si="139"/>
        <v>29700</v>
      </c>
      <c r="BW390" s="28">
        <f t="shared" si="140"/>
        <v>29700</v>
      </c>
    </row>
    <row r="391" spans="1:75" ht="17.399999999999999" x14ac:dyDescent="0.25">
      <c r="A391" s="69">
        <f t="shared" si="129"/>
        <v>390</v>
      </c>
      <c r="B391" s="71" t="s">
        <v>614</v>
      </c>
      <c r="C391" s="71" t="s">
        <v>243</v>
      </c>
      <c r="D391" s="71" t="s">
        <v>606</v>
      </c>
      <c r="E391" s="71" t="s">
        <v>533</v>
      </c>
      <c r="F391" s="71" t="s">
        <v>607</v>
      </c>
      <c r="G391" s="71" t="s">
        <v>616</v>
      </c>
      <c r="H391" s="71" t="s">
        <v>314</v>
      </c>
      <c r="I391" s="71" t="str">
        <f>VLOOKUP(H391,[1]Sheet1!$C:$C,1,0)</f>
        <v>SC1134UA-CI-00AK-1134</v>
      </c>
      <c r="J391" s="71"/>
      <c r="K391" s="71"/>
      <c r="L391" s="71"/>
      <c r="M391" s="85"/>
      <c r="N391" s="85"/>
      <c r="O391" s="85"/>
      <c r="P391" s="85"/>
      <c r="Q391" s="85"/>
      <c r="R391" s="100">
        <v>0.28000000000000003</v>
      </c>
      <c r="S391" s="75">
        <f t="shared" si="132"/>
        <v>0</v>
      </c>
      <c r="T391" s="76">
        <v>14000.000000000002</v>
      </c>
      <c r="U391" s="76">
        <f t="shared" si="137"/>
        <v>0</v>
      </c>
      <c r="V391" s="85"/>
      <c r="W391" s="85"/>
      <c r="X391" s="85"/>
      <c r="Y391" s="85"/>
      <c r="Z391" s="72">
        <v>50000</v>
      </c>
      <c r="AA391" s="72"/>
      <c r="AB391" s="72"/>
      <c r="AC391" s="72">
        <v>50000</v>
      </c>
      <c r="AD391" s="77"/>
      <c r="AE391" s="75"/>
      <c r="AF391" s="75"/>
      <c r="AG391" s="75"/>
      <c r="AH391" s="75">
        <v>0</v>
      </c>
      <c r="AI391" s="75"/>
      <c r="AJ391" s="75">
        <v>0</v>
      </c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 t="s">
        <v>494</v>
      </c>
      <c r="AY391" s="19" t="s">
        <v>261</v>
      </c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>
        <f t="shared" si="133"/>
        <v>14000.000000000002</v>
      </c>
      <c r="BQ391" s="16">
        <f t="shared" si="134"/>
        <v>0</v>
      </c>
      <c r="BR391" s="16">
        <f t="shared" si="135"/>
        <v>0</v>
      </c>
      <c r="BS391" s="16">
        <f t="shared" si="136"/>
        <v>14000.000000000002</v>
      </c>
      <c r="BT391" s="17">
        <f t="shared" si="141"/>
        <v>0</v>
      </c>
      <c r="BU391" s="28">
        <f t="shared" si="138"/>
        <v>0</v>
      </c>
      <c r="BV391" s="28">
        <f t="shared" si="139"/>
        <v>0</v>
      </c>
      <c r="BW391" s="28">
        <f t="shared" si="140"/>
        <v>0</v>
      </c>
    </row>
    <row r="392" spans="1:75" ht="17.399999999999999" x14ac:dyDescent="0.25">
      <c r="A392" s="69">
        <f t="shared" si="129"/>
        <v>391</v>
      </c>
      <c r="B392" s="71" t="s">
        <v>614</v>
      </c>
      <c r="C392" s="71" t="s">
        <v>243</v>
      </c>
      <c r="D392" s="71" t="s">
        <v>606</v>
      </c>
      <c r="E392" s="71" t="s">
        <v>533</v>
      </c>
      <c r="F392" s="71" t="s">
        <v>607</v>
      </c>
      <c r="G392" s="71" t="s">
        <v>322</v>
      </c>
      <c r="H392" s="71" t="s">
        <v>617</v>
      </c>
      <c r="I392" s="71" t="str">
        <f>VLOOKUP(H392,[1]Sheet1!$C:$C,1,0)</f>
        <v>SC2442UA-CP-10AK-2442</v>
      </c>
      <c r="J392" s="86"/>
      <c r="K392" s="71"/>
      <c r="L392" s="71"/>
      <c r="M392" s="85"/>
      <c r="N392" s="85"/>
      <c r="O392" s="85"/>
      <c r="P392" s="85"/>
      <c r="Q392" s="85"/>
      <c r="R392" s="100">
        <v>0.28000000000000003</v>
      </c>
      <c r="S392" s="75">
        <f t="shared" si="132"/>
        <v>0</v>
      </c>
      <c r="T392" s="76">
        <v>14000.000000000002</v>
      </c>
      <c r="U392" s="76">
        <f t="shared" si="137"/>
        <v>0</v>
      </c>
      <c r="V392" s="85"/>
      <c r="W392" s="85"/>
      <c r="X392" s="85"/>
      <c r="Y392" s="85"/>
      <c r="Z392" s="72">
        <v>50000</v>
      </c>
      <c r="AA392" s="72"/>
      <c r="AB392" s="72"/>
      <c r="AC392" s="72">
        <v>50000</v>
      </c>
      <c r="AD392" s="77"/>
      <c r="AE392" s="75"/>
      <c r="AF392" s="75"/>
      <c r="AG392" s="75"/>
      <c r="AH392" s="75">
        <v>0</v>
      </c>
      <c r="AI392" s="75"/>
      <c r="AJ392" s="75">
        <v>0</v>
      </c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 t="s">
        <v>494</v>
      </c>
      <c r="AY392" s="19" t="s">
        <v>261</v>
      </c>
      <c r="AZ392" s="27"/>
      <c r="BA392" s="27"/>
      <c r="BB392" s="27"/>
      <c r="BC392" s="27"/>
      <c r="BD392" s="27"/>
      <c r="BE392" s="27"/>
      <c r="BF392" s="27"/>
      <c r="BG392" s="27"/>
      <c r="BH392" s="27"/>
      <c r="BI392" s="27"/>
      <c r="BJ392" s="27"/>
      <c r="BK392" s="27"/>
      <c r="BL392" s="27"/>
      <c r="BM392" s="27"/>
      <c r="BN392" s="27"/>
      <c r="BO392" s="27"/>
      <c r="BP392" s="27">
        <f t="shared" si="133"/>
        <v>14000.000000000002</v>
      </c>
      <c r="BQ392" s="27">
        <f t="shared" si="134"/>
        <v>0</v>
      </c>
      <c r="BR392" s="27">
        <f t="shared" si="135"/>
        <v>0</v>
      </c>
      <c r="BS392" s="27">
        <f t="shared" si="136"/>
        <v>14000.000000000002</v>
      </c>
      <c r="BT392" s="28">
        <f t="shared" si="141"/>
        <v>0</v>
      </c>
      <c r="BU392" s="28">
        <f t="shared" si="138"/>
        <v>0</v>
      </c>
      <c r="BV392" s="28">
        <f t="shared" si="139"/>
        <v>0</v>
      </c>
      <c r="BW392" s="28">
        <f t="shared" si="140"/>
        <v>0</v>
      </c>
    </row>
    <row r="393" spans="1:75" ht="17.399999999999999" x14ac:dyDescent="0.25">
      <c r="A393" s="69">
        <f t="shared" si="129"/>
        <v>392</v>
      </c>
      <c r="B393" s="71" t="s">
        <v>618</v>
      </c>
      <c r="C393" s="71" t="s">
        <v>243</v>
      </c>
      <c r="D393" s="71" t="s">
        <v>606</v>
      </c>
      <c r="E393" s="71" t="s">
        <v>533</v>
      </c>
      <c r="F393" s="71" t="s">
        <v>607</v>
      </c>
      <c r="G393" s="71" t="s">
        <v>473</v>
      </c>
      <c r="H393" s="71" t="s">
        <v>474</v>
      </c>
      <c r="I393" s="71" t="str">
        <f>VLOOKUP(H393,[1]Sheet1!$C:$C,1,0)</f>
        <v>SC9641TS-P-AI-10AR-41CPA</v>
      </c>
      <c r="J393" s="71"/>
      <c r="K393" s="71"/>
      <c r="L393" s="71" t="s">
        <v>448</v>
      </c>
      <c r="M393" s="85"/>
      <c r="N393" s="85"/>
      <c r="O393" s="85"/>
      <c r="P393" s="85"/>
      <c r="Q393" s="85"/>
      <c r="R393" s="100">
        <v>1.6</v>
      </c>
      <c r="S393" s="75">
        <f t="shared" si="132"/>
        <v>0</v>
      </c>
      <c r="T393" s="76">
        <v>640000</v>
      </c>
      <c r="U393" s="76">
        <f t="shared" si="137"/>
        <v>0</v>
      </c>
      <c r="V393" s="85"/>
      <c r="W393" s="85"/>
      <c r="X393" s="85"/>
      <c r="Y393" s="85"/>
      <c r="Z393" s="72">
        <v>50000</v>
      </c>
      <c r="AA393" s="72">
        <v>50000</v>
      </c>
      <c r="AB393" s="72">
        <v>50000</v>
      </c>
      <c r="AC393" s="72"/>
      <c r="AD393" s="77"/>
      <c r="AE393" s="75"/>
      <c r="AF393" s="75"/>
      <c r="AG393" s="75"/>
      <c r="AH393" s="75">
        <v>0</v>
      </c>
      <c r="AI393" s="75"/>
      <c r="AJ393" s="75">
        <v>0</v>
      </c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 t="s">
        <v>494</v>
      </c>
      <c r="AY393" s="19" t="s">
        <v>386</v>
      </c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>
        <f t="shared" si="133"/>
        <v>80000</v>
      </c>
      <c r="BQ393" s="16">
        <f t="shared" si="134"/>
        <v>80000</v>
      </c>
      <c r="BR393" s="16">
        <f t="shared" si="135"/>
        <v>80000</v>
      </c>
      <c r="BS393" s="16">
        <f t="shared" si="136"/>
        <v>0</v>
      </c>
      <c r="BT393" s="17">
        <f t="shared" si="141"/>
        <v>0</v>
      </c>
      <c r="BU393" s="28">
        <f t="shared" si="138"/>
        <v>0</v>
      </c>
      <c r="BV393" s="28">
        <f t="shared" si="139"/>
        <v>0</v>
      </c>
      <c r="BW393" s="28">
        <f t="shared" si="140"/>
        <v>0</v>
      </c>
    </row>
    <row r="394" spans="1:75" ht="17.399999999999999" x14ac:dyDescent="0.25">
      <c r="A394" s="69">
        <f t="shared" si="129"/>
        <v>393</v>
      </c>
      <c r="B394" s="71" t="s">
        <v>618</v>
      </c>
      <c r="C394" s="71" t="s">
        <v>243</v>
      </c>
      <c r="D394" s="71" t="s">
        <v>606</v>
      </c>
      <c r="E394" s="71" t="s">
        <v>533</v>
      </c>
      <c r="F394" s="71" t="s">
        <v>607</v>
      </c>
      <c r="G394" s="71" t="s">
        <v>595</v>
      </c>
      <c r="H394" s="71" t="s">
        <v>596</v>
      </c>
      <c r="I394" s="71" t="str">
        <f>VLOOKUP(H394,[1]Sheet1!$C:$C,1,0)</f>
        <v>SC9648TS-AI-10AR-9648</v>
      </c>
      <c r="J394" s="71"/>
      <c r="K394" s="71"/>
      <c r="L394" s="71" t="s">
        <v>448</v>
      </c>
      <c r="M394" s="85"/>
      <c r="N394" s="85"/>
      <c r="O394" s="85"/>
      <c r="P394" s="85"/>
      <c r="Q394" s="85"/>
      <c r="R394" s="100">
        <v>0</v>
      </c>
      <c r="S394" s="75">
        <f t="shared" si="132"/>
        <v>0</v>
      </c>
      <c r="T394" s="76">
        <v>864000</v>
      </c>
      <c r="U394" s="76">
        <f t="shared" si="137"/>
        <v>0</v>
      </c>
      <c r="V394" s="85"/>
      <c r="W394" s="85"/>
      <c r="X394" s="85"/>
      <c r="Y394" s="85"/>
      <c r="Z394" s="72">
        <v>80000</v>
      </c>
      <c r="AA394" s="72">
        <v>80000</v>
      </c>
      <c r="AB394" s="72">
        <v>80000</v>
      </c>
      <c r="AC394" s="72"/>
      <c r="AD394" s="77"/>
      <c r="AE394" s="75"/>
      <c r="AF394" s="75"/>
      <c r="AG394" s="75"/>
      <c r="AH394" s="75">
        <v>0</v>
      </c>
      <c r="AI394" s="75"/>
      <c r="AJ394" s="75">
        <v>0</v>
      </c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 t="s">
        <v>494</v>
      </c>
      <c r="AY394" s="19" t="s">
        <v>386</v>
      </c>
      <c r="AZ394" s="27"/>
      <c r="BA394" s="27"/>
      <c r="BB394" s="27"/>
      <c r="BC394" s="27"/>
      <c r="BD394" s="27"/>
      <c r="BE394" s="27"/>
      <c r="BF394" s="27"/>
      <c r="BG394" s="27"/>
      <c r="BH394" s="27"/>
      <c r="BI394" s="27"/>
      <c r="BJ394" s="27"/>
      <c r="BK394" s="27"/>
      <c r="BL394" s="27"/>
      <c r="BM394" s="27"/>
      <c r="BN394" s="27"/>
      <c r="BO394" s="27"/>
      <c r="BP394" s="27">
        <f t="shared" si="133"/>
        <v>0</v>
      </c>
      <c r="BQ394" s="27">
        <f t="shared" si="134"/>
        <v>0</v>
      </c>
      <c r="BR394" s="27">
        <f t="shared" si="135"/>
        <v>0</v>
      </c>
      <c r="BS394" s="27">
        <f t="shared" si="136"/>
        <v>0</v>
      </c>
      <c r="BT394" s="28">
        <f t="shared" si="141"/>
        <v>0</v>
      </c>
      <c r="BU394" s="28">
        <f t="shared" si="138"/>
        <v>0</v>
      </c>
      <c r="BV394" s="28">
        <f t="shared" si="139"/>
        <v>0</v>
      </c>
      <c r="BW394" s="28">
        <f t="shared" si="140"/>
        <v>0</v>
      </c>
    </row>
    <row r="395" spans="1:75" ht="17.399999999999999" x14ac:dyDescent="0.25">
      <c r="A395" s="69">
        <f t="shared" si="129"/>
        <v>394</v>
      </c>
      <c r="B395" s="71" t="s">
        <v>618</v>
      </c>
      <c r="C395" s="71" t="s">
        <v>243</v>
      </c>
      <c r="D395" s="71" t="s">
        <v>606</v>
      </c>
      <c r="E395" s="71" t="s">
        <v>533</v>
      </c>
      <c r="F395" s="71" t="s">
        <v>607</v>
      </c>
      <c r="G395" s="71" t="s">
        <v>619</v>
      </c>
      <c r="H395" s="71" t="s">
        <v>620</v>
      </c>
      <c r="I395" s="71" t="str">
        <f>VLOOKUP(H395,[1]Sheet1!$C:$C,1,0)</f>
        <v>SC9684TS-Q-DB-4XAR-9684</v>
      </c>
      <c r="J395" s="71"/>
      <c r="K395" s="71"/>
      <c r="L395" s="71" t="s">
        <v>448</v>
      </c>
      <c r="M395" s="85"/>
      <c r="N395" s="85"/>
      <c r="O395" s="85"/>
      <c r="P395" s="85"/>
      <c r="Q395" s="85"/>
      <c r="R395" s="100">
        <v>1.95</v>
      </c>
      <c r="S395" s="75">
        <f t="shared" si="132"/>
        <v>0</v>
      </c>
      <c r="T395" s="76">
        <v>0</v>
      </c>
      <c r="U395" s="76">
        <f t="shared" si="137"/>
        <v>0</v>
      </c>
      <c r="V395" s="85"/>
      <c r="W395" s="85"/>
      <c r="X395" s="85"/>
      <c r="Y395" s="85"/>
      <c r="Z395" s="72"/>
      <c r="AA395" s="72"/>
      <c r="AB395" s="72"/>
      <c r="AC395" s="72"/>
      <c r="AD395" s="77"/>
      <c r="AE395" s="75"/>
      <c r="AF395" s="75"/>
      <c r="AG395" s="75"/>
      <c r="AH395" s="75">
        <v>0</v>
      </c>
      <c r="AI395" s="75"/>
      <c r="AJ395" s="75">
        <v>0</v>
      </c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 t="s">
        <v>494</v>
      </c>
      <c r="AY395" s="19" t="s">
        <v>386</v>
      </c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>
        <f t="shared" si="133"/>
        <v>0</v>
      </c>
      <c r="BQ395" s="16">
        <f t="shared" si="134"/>
        <v>0</v>
      </c>
      <c r="BR395" s="16">
        <f t="shared" si="135"/>
        <v>0</v>
      </c>
      <c r="BS395" s="16">
        <f t="shared" si="136"/>
        <v>0</v>
      </c>
      <c r="BT395" s="17">
        <f t="shared" si="141"/>
        <v>0</v>
      </c>
      <c r="BU395" s="28">
        <f t="shared" si="138"/>
        <v>0</v>
      </c>
      <c r="BV395" s="28">
        <f t="shared" si="139"/>
        <v>0</v>
      </c>
      <c r="BW395" s="28">
        <f t="shared" si="140"/>
        <v>0</v>
      </c>
    </row>
    <row r="396" spans="1:75" ht="17.399999999999999" x14ac:dyDescent="0.25">
      <c r="A396" s="69">
        <f t="shared" si="129"/>
        <v>395</v>
      </c>
      <c r="B396" s="71" t="s">
        <v>618</v>
      </c>
      <c r="C396" s="71" t="s">
        <v>243</v>
      </c>
      <c r="D396" s="71" t="s">
        <v>606</v>
      </c>
      <c r="E396" s="71" t="s">
        <v>533</v>
      </c>
      <c r="F396" s="71" t="s">
        <v>607</v>
      </c>
      <c r="G396" s="71" t="s">
        <v>543</v>
      </c>
      <c r="H396" s="71" t="s">
        <v>544</v>
      </c>
      <c r="I396" s="71" t="str">
        <f>VLOOKUP(H396,[1]Sheet1!$C:$C,1,0)</f>
        <v>SC9641TS-PC-Q-AI-10LR-9641PC</v>
      </c>
      <c r="J396" s="71"/>
      <c r="K396" s="71"/>
      <c r="L396" s="71" t="s">
        <v>448</v>
      </c>
      <c r="M396" s="85"/>
      <c r="N396" s="85"/>
      <c r="O396" s="85"/>
      <c r="P396" s="85"/>
      <c r="Q396" s="85"/>
      <c r="R396" s="100">
        <v>1.8</v>
      </c>
      <c r="S396" s="75">
        <f t="shared" si="132"/>
        <v>0</v>
      </c>
      <c r="T396" s="76">
        <v>468000</v>
      </c>
      <c r="U396" s="76">
        <f t="shared" si="137"/>
        <v>0</v>
      </c>
      <c r="V396" s="85"/>
      <c r="W396" s="85"/>
      <c r="X396" s="85"/>
      <c r="Y396" s="85"/>
      <c r="Z396" s="72">
        <v>30000</v>
      </c>
      <c r="AA396" s="72">
        <v>40000</v>
      </c>
      <c r="AB396" s="72">
        <v>40000</v>
      </c>
      <c r="AC396" s="72"/>
      <c r="AD396" s="77"/>
      <c r="AE396" s="75"/>
      <c r="AF396" s="75"/>
      <c r="AG396" s="75"/>
      <c r="AH396" s="75">
        <v>0</v>
      </c>
      <c r="AI396" s="75"/>
      <c r="AJ396" s="75">
        <v>0</v>
      </c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 t="s">
        <v>494</v>
      </c>
      <c r="AY396" s="19" t="s">
        <v>386</v>
      </c>
      <c r="AZ396" s="27"/>
      <c r="BA396" s="27"/>
      <c r="BB396" s="27"/>
      <c r="BC396" s="27"/>
      <c r="BD396" s="27"/>
      <c r="BE396" s="27"/>
      <c r="BF396" s="27"/>
      <c r="BG396" s="27"/>
      <c r="BH396" s="27"/>
      <c r="BI396" s="27"/>
      <c r="BJ396" s="27"/>
      <c r="BK396" s="27"/>
      <c r="BL396" s="27"/>
      <c r="BM396" s="27"/>
      <c r="BN396" s="27"/>
      <c r="BO396" s="27"/>
      <c r="BP396" s="27">
        <f t="shared" si="133"/>
        <v>54000</v>
      </c>
      <c r="BQ396" s="27">
        <f t="shared" si="134"/>
        <v>72000</v>
      </c>
      <c r="BR396" s="27">
        <f t="shared" si="135"/>
        <v>72000</v>
      </c>
      <c r="BS396" s="27">
        <f t="shared" si="136"/>
        <v>0</v>
      </c>
      <c r="BT396" s="28">
        <f t="shared" si="141"/>
        <v>0</v>
      </c>
      <c r="BU396" s="28">
        <f t="shared" si="138"/>
        <v>0</v>
      </c>
      <c r="BV396" s="28">
        <f t="shared" si="139"/>
        <v>0</v>
      </c>
      <c r="BW396" s="28">
        <f t="shared" si="140"/>
        <v>0</v>
      </c>
    </row>
    <row r="397" spans="1:75" ht="17.399999999999999" x14ac:dyDescent="0.25">
      <c r="A397" s="69">
        <f t="shared" si="129"/>
        <v>396</v>
      </c>
      <c r="B397" s="71" t="s">
        <v>618</v>
      </c>
      <c r="C397" s="71" t="s">
        <v>243</v>
      </c>
      <c r="D397" s="71" t="s">
        <v>606</v>
      </c>
      <c r="E397" s="71" t="s">
        <v>533</v>
      </c>
      <c r="F397" s="71" t="s">
        <v>607</v>
      </c>
      <c r="G397" s="71" t="s">
        <v>621</v>
      </c>
      <c r="H397" s="71" t="s">
        <v>622</v>
      </c>
      <c r="I397" s="71" t="str">
        <f>VLOOKUP(H397,[1]Sheet1!$C:$C,1,0)</f>
        <v>SC2442SO-CR-10CR-2442</v>
      </c>
      <c r="J397" s="71"/>
      <c r="K397" s="71"/>
      <c r="L397" s="71" t="s">
        <v>623</v>
      </c>
      <c r="M397" s="85"/>
      <c r="N397" s="85"/>
      <c r="O397" s="85"/>
      <c r="P397" s="85"/>
      <c r="Q397" s="85"/>
      <c r="R397" s="100">
        <v>0.28000000000000003</v>
      </c>
      <c r="S397" s="75">
        <f t="shared" si="132"/>
        <v>0</v>
      </c>
      <c r="T397" s="76">
        <v>0</v>
      </c>
      <c r="U397" s="76">
        <f t="shared" si="137"/>
        <v>0</v>
      </c>
      <c r="V397" s="85"/>
      <c r="W397" s="85"/>
      <c r="X397" s="85"/>
      <c r="Y397" s="85"/>
      <c r="Z397" s="72"/>
      <c r="AA397" s="72"/>
      <c r="AB397" s="72"/>
      <c r="AC397" s="72"/>
      <c r="AD397" s="77"/>
      <c r="AE397" s="75"/>
      <c r="AF397" s="75"/>
      <c r="AG397" s="75"/>
      <c r="AH397" s="75">
        <v>0</v>
      </c>
      <c r="AI397" s="75"/>
      <c r="AJ397" s="75">
        <v>0</v>
      </c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 t="s">
        <v>494</v>
      </c>
      <c r="AY397" s="19" t="s">
        <v>261</v>
      </c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>
        <f t="shared" si="133"/>
        <v>0</v>
      </c>
      <c r="BQ397" s="16">
        <f t="shared" si="134"/>
        <v>0</v>
      </c>
      <c r="BR397" s="16">
        <f t="shared" si="135"/>
        <v>0</v>
      </c>
      <c r="BS397" s="16">
        <f t="shared" si="136"/>
        <v>0</v>
      </c>
      <c r="BT397" s="17">
        <f t="shared" si="141"/>
        <v>0</v>
      </c>
      <c r="BU397" s="28">
        <f t="shared" si="138"/>
        <v>0</v>
      </c>
      <c r="BV397" s="28">
        <f t="shared" si="139"/>
        <v>0</v>
      </c>
      <c r="BW397" s="28">
        <f t="shared" si="140"/>
        <v>0</v>
      </c>
    </row>
    <row r="398" spans="1:75" ht="17.399999999999999" x14ac:dyDescent="0.25">
      <c r="A398" s="69">
        <f t="shared" si="129"/>
        <v>397</v>
      </c>
      <c r="B398" s="71" t="s">
        <v>624</v>
      </c>
      <c r="C398" s="71" t="s">
        <v>243</v>
      </c>
      <c r="D398" s="71" t="s">
        <v>606</v>
      </c>
      <c r="E398" s="71" t="s">
        <v>533</v>
      </c>
      <c r="F398" s="71" t="s">
        <v>607</v>
      </c>
      <c r="G398" s="71" t="s">
        <v>595</v>
      </c>
      <c r="H398" s="71" t="s">
        <v>596</v>
      </c>
      <c r="I398" s="71" t="str">
        <f>VLOOKUP(H398,[1]Sheet1!$C:$C,1,0)</f>
        <v>SC9648TS-AI-10AR-9648</v>
      </c>
      <c r="J398" s="71"/>
      <c r="K398" s="71"/>
      <c r="L398" s="71" t="s">
        <v>448</v>
      </c>
      <c r="M398" s="85"/>
      <c r="N398" s="85"/>
      <c r="O398" s="85"/>
      <c r="P398" s="85"/>
      <c r="Q398" s="85"/>
      <c r="R398" s="100">
        <v>1.2010000000000001</v>
      </c>
      <c r="S398" s="75">
        <f t="shared" si="132"/>
        <v>72060</v>
      </c>
      <c r="T398" s="76">
        <v>108000</v>
      </c>
      <c r="U398" s="76">
        <f t="shared" si="137"/>
        <v>60000</v>
      </c>
      <c r="V398" s="85"/>
      <c r="W398" s="85"/>
      <c r="X398" s="85"/>
      <c r="Y398" s="85"/>
      <c r="Z398" s="72">
        <v>10000</v>
      </c>
      <c r="AA398" s="72">
        <v>10000</v>
      </c>
      <c r="AB398" s="72">
        <v>10000</v>
      </c>
      <c r="AC398" s="72">
        <v>10000</v>
      </c>
      <c r="AD398" s="77">
        <v>20000</v>
      </c>
      <c r="AE398" s="75">
        <v>20000</v>
      </c>
      <c r="AF398" s="75">
        <v>20000</v>
      </c>
      <c r="AG398" s="75">
        <v>20000</v>
      </c>
      <c r="AH398" s="75">
        <v>20000</v>
      </c>
      <c r="AI398" s="75">
        <v>16000</v>
      </c>
      <c r="AJ398" s="75">
        <v>16000</v>
      </c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 t="s">
        <v>494</v>
      </c>
      <c r="AY398" s="19" t="s">
        <v>386</v>
      </c>
      <c r="AZ398" s="27"/>
      <c r="BA398" s="27"/>
      <c r="BB398" s="27"/>
      <c r="BC398" s="27"/>
      <c r="BD398" s="27"/>
      <c r="BE398" s="27"/>
      <c r="BF398" s="27"/>
      <c r="BG398" s="27"/>
      <c r="BH398" s="27"/>
      <c r="BI398" s="27"/>
      <c r="BJ398" s="27"/>
      <c r="BK398" s="27"/>
      <c r="BL398" s="27"/>
      <c r="BM398" s="27"/>
      <c r="BN398" s="27"/>
      <c r="BO398" s="27"/>
      <c r="BP398" s="27">
        <f t="shared" si="133"/>
        <v>12010</v>
      </c>
      <c r="BQ398" s="27">
        <f t="shared" si="134"/>
        <v>12010</v>
      </c>
      <c r="BR398" s="27">
        <f t="shared" si="135"/>
        <v>12010</v>
      </c>
      <c r="BS398" s="27">
        <f t="shared" si="136"/>
        <v>12010</v>
      </c>
      <c r="BT398" s="28">
        <f t="shared" si="141"/>
        <v>24020</v>
      </c>
      <c r="BU398" s="28">
        <f t="shared" si="138"/>
        <v>24020</v>
      </c>
      <c r="BV398" s="28">
        <f t="shared" si="139"/>
        <v>24020</v>
      </c>
      <c r="BW398" s="28">
        <f t="shared" si="140"/>
        <v>24020</v>
      </c>
    </row>
    <row r="399" spans="1:75" ht="17.399999999999999" x14ac:dyDescent="0.25">
      <c r="A399" s="69">
        <f t="shared" si="129"/>
        <v>398</v>
      </c>
      <c r="B399" s="71" t="s">
        <v>625</v>
      </c>
      <c r="C399" s="71" t="s">
        <v>243</v>
      </c>
      <c r="D399" s="71" t="s">
        <v>606</v>
      </c>
      <c r="E399" s="71" t="s">
        <v>533</v>
      </c>
      <c r="F399" s="71" t="s">
        <v>607</v>
      </c>
      <c r="G399" s="71" t="s">
        <v>273</v>
      </c>
      <c r="H399" s="86" t="s">
        <v>626</v>
      </c>
      <c r="I399" s="71" t="str">
        <f>VLOOKUP(H399,[1]Sheet1!$C:$C,1,0)</f>
        <v>SC2402SO-N-GA-00NR-2402</v>
      </c>
      <c r="J399" s="71"/>
      <c r="K399" s="71"/>
      <c r="L399" s="71" t="s">
        <v>579</v>
      </c>
      <c r="M399" s="85"/>
      <c r="N399" s="85"/>
      <c r="O399" s="85"/>
      <c r="P399" s="85"/>
      <c r="Q399" s="85"/>
      <c r="R399" s="100">
        <v>0.16</v>
      </c>
      <c r="S399" s="75">
        <f t="shared" si="132"/>
        <v>0</v>
      </c>
      <c r="T399" s="76">
        <v>38400</v>
      </c>
      <c r="U399" s="76">
        <f t="shared" si="137"/>
        <v>0</v>
      </c>
      <c r="V399" s="85"/>
      <c r="W399" s="85"/>
      <c r="X399" s="85"/>
      <c r="Y399" s="85"/>
      <c r="Z399" s="72">
        <v>120000</v>
      </c>
      <c r="AA399" s="72">
        <v>120000</v>
      </c>
      <c r="AB399" s="72"/>
      <c r="AC399" s="72"/>
      <c r="AD399" s="77"/>
      <c r="AE399" s="75"/>
      <c r="AF399" s="75"/>
      <c r="AG399" s="75"/>
      <c r="AH399" s="75">
        <v>0</v>
      </c>
      <c r="AI399" s="75"/>
      <c r="AJ399" s="75">
        <v>0</v>
      </c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 t="s">
        <v>494</v>
      </c>
      <c r="AY399" s="19" t="s">
        <v>261</v>
      </c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>
        <f t="shared" si="133"/>
        <v>19200</v>
      </c>
      <c r="BQ399" s="16">
        <f t="shared" si="134"/>
        <v>19200</v>
      </c>
      <c r="BR399" s="16">
        <f t="shared" si="135"/>
        <v>0</v>
      </c>
      <c r="BS399" s="16">
        <f t="shared" si="136"/>
        <v>0</v>
      </c>
      <c r="BT399" s="17">
        <f t="shared" si="141"/>
        <v>0</v>
      </c>
      <c r="BU399" s="28">
        <f t="shared" si="138"/>
        <v>0</v>
      </c>
      <c r="BV399" s="28">
        <f t="shared" si="139"/>
        <v>0</v>
      </c>
      <c r="BW399" s="28">
        <f t="shared" si="140"/>
        <v>0</v>
      </c>
    </row>
    <row r="400" spans="1:75" ht="17.399999999999999" x14ac:dyDescent="0.25">
      <c r="A400" s="69">
        <f t="shared" si="129"/>
        <v>399</v>
      </c>
      <c r="B400" s="71" t="s">
        <v>625</v>
      </c>
      <c r="C400" s="71" t="s">
        <v>243</v>
      </c>
      <c r="D400" s="71" t="s">
        <v>606</v>
      </c>
      <c r="E400" s="71" t="s">
        <v>533</v>
      </c>
      <c r="F400" s="71" t="s">
        <v>607</v>
      </c>
      <c r="G400" s="71" t="s">
        <v>514</v>
      </c>
      <c r="H400" s="71" t="s">
        <v>285</v>
      </c>
      <c r="I400" s="71" t="str">
        <f>VLOOKUP(H400,[1]Sheet1!$C:$C,1,0)</f>
        <v>SC2448SO-Q-DB-60CR-2448</v>
      </c>
      <c r="J400" s="71"/>
      <c r="K400" s="71"/>
      <c r="L400" s="71" t="s">
        <v>579</v>
      </c>
      <c r="M400" s="85"/>
      <c r="N400" s="85"/>
      <c r="O400" s="85"/>
      <c r="P400" s="85"/>
      <c r="Q400" s="85"/>
      <c r="R400" s="102"/>
      <c r="S400" s="75">
        <f t="shared" si="132"/>
        <v>0</v>
      </c>
      <c r="T400" s="76">
        <v>0</v>
      </c>
      <c r="U400" s="76">
        <f t="shared" si="137"/>
        <v>0</v>
      </c>
      <c r="V400" s="85"/>
      <c r="W400" s="85"/>
      <c r="X400" s="85"/>
      <c r="Y400" s="85"/>
      <c r="Z400" s="72"/>
      <c r="AA400" s="72"/>
      <c r="AB400" s="72"/>
      <c r="AC400" s="72"/>
      <c r="AD400" s="77"/>
      <c r="AE400" s="75"/>
      <c r="AF400" s="75"/>
      <c r="AG400" s="75"/>
      <c r="AH400" s="75">
        <v>0</v>
      </c>
      <c r="AI400" s="75"/>
      <c r="AJ400" s="75">
        <v>0</v>
      </c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 t="s">
        <v>494</v>
      </c>
      <c r="AY400" s="19" t="s">
        <v>261</v>
      </c>
      <c r="AZ400" s="27"/>
      <c r="BA400" s="27"/>
      <c r="BB400" s="27"/>
      <c r="BC400" s="27"/>
      <c r="BD400" s="27"/>
      <c r="BE400" s="27"/>
      <c r="BF400" s="27"/>
      <c r="BG400" s="27"/>
      <c r="BH400" s="27"/>
      <c r="BI400" s="27"/>
      <c r="BJ400" s="27"/>
      <c r="BK400" s="27"/>
      <c r="BL400" s="27"/>
      <c r="BM400" s="27"/>
      <c r="BN400" s="27"/>
      <c r="BO400" s="27"/>
      <c r="BP400" s="27">
        <f t="shared" si="133"/>
        <v>0</v>
      </c>
      <c r="BQ400" s="27">
        <f t="shared" si="134"/>
        <v>0</v>
      </c>
      <c r="BR400" s="27">
        <f t="shared" si="135"/>
        <v>0</v>
      </c>
      <c r="BS400" s="27">
        <f t="shared" si="136"/>
        <v>0</v>
      </c>
      <c r="BT400" s="28">
        <f t="shared" si="141"/>
        <v>0</v>
      </c>
      <c r="BU400" s="28">
        <f t="shared" si="138"/>
        <v>0</v>
      </c>
      <c r="BV400" s="28">
        <f t="shared" si="139"/>
        <v>0</v>
      </c>
      <c r="BW400" s="28">
        <f t="shared" si="140"/>
        <v>0</v>
      </c>
    </row>
    <row r="401" spans="1:75" ht="17.399999999999999" x14ac:dyDescent="0.25">
      <c r="A401" s="69">
        <f t="shared" si="129"/>
        <v>400</v>
      </c>
      <c r="B401" s="71" t="s">
        <v>627</v>
      </c>
      <c r="C401" s="71" t="s">
        <v>243</v>
      </c>
      <c r="D401" s="71" t="s">
        <v>422</v>
      </c>
      <c r="E401" s="71" t="s">
        <v>533</v>
      </c>
      <c r="F401" s="71" t="s">
        <v>418</v>
      </c>
      <c r="G401" s="71" t="s">
        <v>473</v>
      </c>
      <c r="H401" s="71" t="s">
        <v>474</v>
      </c>
      <c r="I401" s="71" t="str">
        <f>VLOOKUP(H401,[1]Sheet1!$C:$C,1,0)</f>
        <v>SC9641TS-P-AI-10AR-41CPA</v>
      </c>
      <c r="J401" s="71"/>
      <c r="K401" s="71"/>
      <c r="L401" s="71" t="s">
        <v>448</v>
      </c>
      <c r="M401" s="85"/>
      <c r="N401" s="85"/>
      <c r="O401" s="85"/>
      <c r="P401" s="85"/>
      <c r="Q401" s="85"/>
      <c r="R401" s="100">
        <v>1.53</v>
      </c>
      <c r="S401" s="75">
        <f t="shared" si="132"/>
        <v>1377000</v>
      </c>
      <c r="T401" s="76">
        <v>4896000</v>
      </c>
      <c r="U401" s="76">
        <f t="shared" si="137"/>
        <v>900000</v>
      </c>
      <c r="V401" s="85">
        <v>150000</v>
      </c>
      <c r="W401" s="85">
        <v>150000</v>
      </c>
      <c r="X401" s="85">
        <v>300000</v>
      </c>
      <c r="Y401" s="85">
        <v>400000</v>
      </c>
      <c r="Z401" s="72">
        <v>400000</v>
      </c>
      <c r="AA401" s="72">
        <v>300000</v>
      </c>
      <c r="AB401" s="72">
        <v>300000</v>
      </c>
      <c r="AC401" s="72">
        <v>400000</v>
      </c>
      <c r="AD401" s="77">
        <v>400000</v>
      </c>
      <c r="AE401" s="75">
        <v>300000</v>
      </c>
      <c r="AF401" s="75">
        <v>300000</v>
      </c>
      <c r="AG401" s="75">
        <v>300000</v>
      </c>
      <c r="AH401" s="75">
        <v>300000</v>
      </c>
      <c r="AI401" s="75">
        <v>200000</v>
      </c>
      <c r="AJ401" s="75">
        <v>300000</v>
      </c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 t="s">
        <v>494</v>
      </c>
      <c r="AY401" s="19" t="s">
        <v>386</v>
      </c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>
        <f t="shared" si="133"/>
        <v>612000</v>
      </c>
      <c r="BQ401" s="16">
        <f t="shared" si="134"/>
        <v>459000</v>
      </c>
      <c r="BR401" s="16">
        <f t="shared" si="135"/>
        <v>459000</v>
      </c>
      <c r="BS401" s="16">
        <f t="shared" si="136"/>
        <v>612000</v>
      </c>
      <c r="BT401" s="17">
        <f t="shared" si="141"/>
        <v>612000</v>
      </c>
      <c r="BU401" s="28">
        <f t="shared" si="138"/>
        <v>459000</v>
      </c>
      <c r="BV401" s="28">
        <f t="shared" si="139"/>
        <v>459000</v>
      </c>
      <c r="BW401" s="28">
        <f t="shared" si="140"/>
        <v>459000</v>
      </c>
    </row>
    <row r="402" spans="1:75" ht="17.399999999999999" x14ac:dyDescent="0.25">
      <c r="A402" s="69">
        <f t="shared" si="129"/>
        <v>401</v>
      </c>
      <c r="B402" s="71" t="s">
        <v>627</v>
      </c>
      <c r="C402" s="71" t="s">
        <v>243</v>
      </c>
      <c r="D402" s="71" t="s">
        <v>422</v>
      </c>
      <c r="E402" s="71" t="s">
        <v>533</v>
      </c>
      <c r="F402" s="71" t="s">
        <v>418</v>
      </c>
      <c r="G402" s="71" t="s">
        <v>545</v>
      </c>
      <c r="H402" s="71" t="s">
        <v>447</v>
      </c>
      <c r="I402" s="71" t="str">
        <f>VLOOKUP(H402,[1]Sheet1!$C:$C,1,0)</f>
        <v>SC9642TS-EC-Q-AH-4XLR-9642</v>
      </c>
      <c r="J402" s="71"/>
      <c r="K402" s="71"/>
      <c r="L402" s="71" t="s">
        <v>448</v>
      </c>
      <c r="M402" s="85"/>
      <c r="N402" s="85"/>
      <c r="O402" s="85"/>
      <c r="P402" s="85"/>
      <c r="Q402" s="85"/>
      <c r="R402" s="102"/>
      <c r="S402" s="75">
        <f t="shared" si="132"/>
        <v>0</v>
      </c>
      <c r="T402" s="76">
        <v>0</v>
      </c>
      <c r="U402" s="76">
        <f t="shared" si="137"/>
        <v>0</v>
      </c>
      <c r="V402" s="85"/>
      <c r="W402" s="85"/>
      <c r="X402" s="85"/>
      <c r="Y402" s="85"/>
      <c r="Z402" s="72"/>
      <c r="AA402" s="72"/>
      <c r="AB402" s="72"/>
      <c r="AC402" s="72"/>
      <c r="AD402" s="77"/>
      <c r="AE402" s="75"/>
      <c r="AF402" s="75"/>
      <c r="AG402" s="75"/>
      <c r="AH402" s="75">
        <v>0</v>
      </c>
      <c r="AI402" s="75"/>
      <c r="AJ402" s="75">
        <v>0</v>
      </c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 t="s">
        <v>494</v>
      </c>
      <c r="AY402" s="19" t="s">
        <v>386</v>
      </c>
      <c r="AZ402" s="27"/>
      <c r="BA402" s="27"/>
      <c r="BB402" s="27"/>
      <c r="BC402" s="27"/>
      <c r="BD402" s="27"/>
      <c r="BE402" s="27"/>
      <c r="BF402" s="27"/>
      <c r="BG402" s="27"/>
      <c r="BH402" s="27"/>
      <c r="BI402" s="27"/>
      <c r="BJ402" s="27"/>
      <c r="BK402" s="27"/>
      <c r="BL402" s="27"/>
      <c r="BM402" s="27"/>
      <c r="BN402" s="27"/>
      <c r="BO402" s="27"/>
      <c r="BP402" s="27">
        <f t="shared" si="133"/>
        <v>0</v>
      </c>
      <c r="BQ402" s="27">
        <f t="shared" si="134"/>
        <v>0</v>
      </c>
      <c r="BR402" s="27">
        <f t="shared" si="135"/>
        <v>0</v>
      </c>
      <c r="BS402" s="27">
        <f t="shared" si="136"/>
        <v>0</v>
      </c>
      <c r="BT402" s="28">
        <f t="shared" si="141"/>
        <v>0</v>
      </c>
      <c r="BU402" s="28">
        <f t="shared" si="138"/>
        <v>0</v>
      </c>
      <c r="BV402" s="28">
        <f t="shared" si="139"/>
        <v>0</v>
      </c>
      <c r="BW402" s="28">
        <f t="shared" si="140"/>
        <v>0</v>
      </c>
    </row>
    <row r="403" spans="1:75" ht="17.399999999999999" x14ac:dyDescent="0.25">
      <c r="A403" s="69">
        <f t="shared" si="129"/>
        <v>402</v>
      </c>
      <c r="B403" s="71" t="s">
        <v>628</v>
      </c>
      <c r="C403" s="71" t="s">
        <v>243</v>
      </c>
      <c r="D403" s="71" t="s">
        <v>422</v>
      </c>
      <c r="E403" s="71" t="s">
        <v>533</v>
      </c>
      <c r="F403" s="71" t="s">
        <v>418</v>
      </c>
      <c r="G403" s="71" t="s">
        <v>595</v>
      </c>
      <c r="H403" s="71" t="s">
        <v>596</v>
      </c>
      <c r="I403" s="71" t="str">
        <f>VLOOKUP(H403,[1]Sheet1!$C:$C,1,0)</f>
        <v>SC9648TS-AI-10AR-9648</v>
      </c>
      <c r="J403" s="71"/>
      <c r="K403" s="71"/>
      <c r="L403" s="71" t="s">
        <v>448</v>
      </c>
      <c r="M403" s="85"/>
      <c r="N403" s="85"/>
      <c r="O403" s="85"/>
      <c r="P403" s="85"/>
      <c r="Q403" s="85"/>
      <c r="R403" s="100">
        <v>1.258</v>
      </c>
      <c r="S403" s="75">
        <f t="shared" si="132"/>
        <v>1132200</v>
      </c>
      <c r="T403" s="76">
        <v>6604500</v>
      </c>
      <c r="U403" s="76">
        <f t="shared" si="137"/>
        <v>900000</v>
      </c>
      <c r="V403" s="85"/>
      <c r="W403" s="85"/>
      <c r="X403" s="85"/>
      <c r="Y403" s="85"/>
      <c r="Z403" s="72">
        <v>600000</v>
      </c>
      <c r="AA403" s="72">
        <v>100000</v>
      </c>
      <c r="AB403" s="72">
        <v>100000</v>
      </c>
      <c r="AC403" s="72">
        <v>0</v>
      </c>
      <c r="AD403" s="77">
        <v>300000</v>
      </c>
      <c r="AE403" s="75">
        <v>300000</v>
      </c>
      <c r="AF403" s="75">
        <v>300000</v>
      </c>
      <c r="AG403" s="75">
        <v>300000</v>
      </c>
      <c r="AH403" s="75">
        <v>300000</v>
      </c>
      <c r="AI403" s="75">
        <v>150000</v>
      </c>
      <c r="AJ403" s="75">
        <v>300000</v>
      </c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 t="s">
        <v>494</v>
      </c>
      <c r="AY403" s="19" t="s">
        <v>386</v>
      </c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>
        <f t="shared" si="133"/>
        <v>754800</v>
      </c>
      <c r="BQ403" s="16">
        <f t="shared" si="134"/>
        <v>125800</v>
      </c>
      <c r="BR403" s="16">
        <f t="shared" si="135"/>
        <v>125800</v>
      </c>
      <c r="BS403" s="16">
        <f t="shared" si="136"/>
        <v>0</v>
      </c>
      <c r="BT403" s="17">
        <f t="shared" si="141"/>
        <v>377400</v>
      </c>
      <c r="BU403" s="28">
        <f t="shared" si="138"/>
        <v>377400</v>
      </c>
      <c r="BV403" s="28">
        <f t="shared" si="139"/>
        <v>377400</v>
      </c>
      <c r="BW403" s="28">
        <f t="shared" si="140"/>
        <v>377400</v>
      </c>
    </row>
    <row r="404" spans="1:75" ht="17.399999999999999" x14ac:dyDescent="0.25">
      <c r="A404" s="69">
        <f t="shared" si="129"/>
        <v>403</v>
      </c>
      <c r="B404" s="71" t="s">
        <v>629</v>
      </c>
      <c r="C404" s="71" t="s">
        <v>243</v>
      </c>
      <c r="D404" s="71" t="s">
        <v>422</v>
      </c>
      <c r="E404" s="71" t="s">
        <v>533</v>
      </c>
      <c r="F404" s="71" t="s">
        <v>418</v>
      </c>
      <c r="G404" s="71" t="s">
        <v>630</v>
      </c>
      <c r="H404" s="71" t="s">
        <v>631</v>
      </c>
      <c r="I404" s="71" t="str">
        <f>VLOOKUP(H404,[1]Sheet1!$C:$C,1,0)</f>
        <v>SC9625VB-CE-00CK-9625L</v>
      </c>
      <c r="J404" s="71"/>
      <c r="K404" s="71"/>
      <c r="L404" s="71" t="s">
        <v>439</v>
      </c>
      <c r="M404" s="85"/>
      <c r="N404" s="85"/>
      <c r="O404" s="85"/>
      <c r="P404" s="85"/>
      <c r="Q404" s="85"/>
      <c r="R404" s="100">
        <v>1.61</v>
      </c>
      <c r="S404" s="75">
        <f t="shared" ref="S404:S435" si="142">R404*U404</f>
        <v>289800</v>
      </c>
      <c r="T404" s="76">
        <v>660100</v>
      </c>
      <c r="U404" s="76">
        <f t="shared" si="137"/>
        <v>180000</v>
      </c>
      <c r="V404" s="85"/>
      <c r="W404" s="85"/>
      <c r="X404" s="85"/>
      <c r="Y404" s="85"/>
      <c r="Z404" s="72">
        <v>40000</v>
      </c>
      <c r="AA404" s="72">
        <v>15000</v>
      </c>
      <c r="AB404" s="72">
        <v>15000</v>
      </c>
      <c r="AC404" s="72">
        <v>50000</v>
      </c>
      <c r="AD404" s="77">
        <v>50000</v>
      </c>
      <c r="AE404" s="75">
        <v>60000</v>
      </c>
      <c r="AF404" s="75">
        <v>60000</v>
      </c>
      <c r="AG404" s="75">
        <v>60000</v>
      </c>
      <c r="AH404" s="75">
        <v>60000</v>
      </c>
      <c r="AI404" s="75">
        <v>60000</v>
      </c>
      <c r="AJ404" s="75">
        <v>60000</v>
      </c>
      <c r="AK404" s="21">
        <v>60000</v>
      </c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 t="s">
        <v>494</v>
      </c>
      <c r="AY404" s="19" t="s">
        <v>386</v>
      </c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>
        <f t="shared" ref="BP404:BP435" si="143">$R404*Z404</f>
        <v>64400.000000000007</v>
      </c>
      <c r="BQ404" s="27">
        <f t="shared" ref="BQ404:BQ435" si="144">$R404*AA404</f>
        <v>24150</v>
      </c>
      <c r="BR404" s="27">
        <f t="shared" ref="BR404:BR435" si="145">$R404*AB404</f>
        <v>24150</v>
      </c>
      <c r="BS404" s="27">
        <f t="shared" ref="BS404:BS435" si="146">$R404*AC404</f>
        <v>80500</v>
      </c>
      <c r="BT404" s="28">
        <f t="shared" si="141"/>
        <v>80500</v>
      </c>
      <c r="BU404" s="28">
        <f t="shared" si="138"/>
        <v>96600</v>
      </c>
      <c r="BV404" s="28">
        <f t="shared" si="139"/>
        <v>96600</v>
      </c>
      <c r="BW404" s="28">
        <f t="shared" si="140"/>
        <v>96600</v>
      </c>
    </row>
    <row r="405" spans="1:75" ht="17.399999999999999" x14ac:dyDescent="0.25">
      <c r="A405" s="69">
        <f t="shared" si="129"/>
        <v>404</v>
      </c>
      <c r="B405" s="71" t="s">
        <v>632</v>
      </c>
      <c r="C405" s="71" t="s">
        <v>243</v>
      </c>
      <c r="D405" s="71" t="s">
        <v>422</v>
      </c>
      <c r="E405" s="71" t="s">
        <v>533</v>
      </c>
      <c r="F405" s="71" t="s">
        <v>418</v>
      </c>
      <c r="G405" s="71" t="s">
        <v>633</v>
      </c>
      <c r="H405" s="71" t="s">
        <v>378</v>
      </c>
      <c r="I405" s="71" t="str">
        <f>VLOOKUP(H405,[1]Sheet1!$C:$C,1,0)</f>
        <v>SC9621VB-CF-00CK-9621</v>
      </c>
      <c r="J405" s="71"/>
      <c r="K405" s="71"/>
      <c r="L405" s="71" t="s">
        <v>439</v>
      </c>
      <c r="M405" s="85"/>
      <c r="N405" s="85"/>
      <c r="O405" s="85"/>
      <c r="P405" s="85"/>
      <c r="Q405" s="85"/>
      <c r="R405" s="100">
        <v>1.61</v>
      </c>
      <c r="S405" s="75">
        <f t="shared" si="142"/>
        <v>144900</v>
      </c>
      <c r="T405" s="76">
        <v>330050</v>
      </c>
      <c r="U405" s="76">
        <f t="shared" si="137"/>
        <v>90000</v>
      </c>
      <c r="V405" s="85"/>
      <c r="W405" s="85"/>
      <c r="X405" s="85"/>
      <c r="Y405" s="85"/>
      <c r="Z405" s="72">
        <v>20000</v>
      </c>
      <c r="AA405" s="72">
        <v>20000</v>
      </c>
      <c r="AB405" s="72">
        <v>25000</v>
      </c>
      <c r="AC405" s="72">
        <v>25000</v>
      </c>
      <c r="AD405" s="77">
        <v>25000</v>
      </c>
      <c r="AE405" s="75">
        <v>30000</v>
      </c>
      <c r="AF405" s="75">
        <v>30000</v>
      </c>
      <c r="AG405" s="75">
        <v>30000</v>
      </c>
      <c r="AH405" s="75">
        <v>30000</v>
      </c>
      <c r="AI405" s="75">
        <v>30000</v>
      </c>
      <c r="AJ405" s="75">
        <v>30000</v>
      </c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 t="s">
        <v>494</v>
      </c>
      <c r="AY405" s="19" t="s">
        <v>386</v>
      </c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>
        <f t="shared" si="143"/>
        <v>32200.000000000004</v>
      </c>
      <c r="BQ405" s="16">
        <f t="shared" si="144"/>
        <v>32200.000000000004</v>
      </c>
      <c r="BR405" s="16">
        <f t="shared" si="145"/>
        <v>40250</v>
      </c>
      <c r="BS405" s="16">
        <f t="shared" si="146"/>
        <v>40250</v>
      </c>
      <c r="BT405" s="17">
        <f t="shared" si="141"/>
        <v>40250</v>
      </c>
      <c r="BU405" s="28">
        <f t="shared" si="138"/>
        <v>48300</v>
      </c>
      <c r="BV405" s="28">
        <f t="shared" si="139"/>
        <v>48300</v>
      </c>
      <c r="BW405" s="28">
        <f t="shared" si="140"/>
        <v>48300</v>
      </c>
    </row>
    <row r="406" spans="1:75" ht="17.399999999999999" x14ac:dyDescent="0.25">
      <c r="A406" s="69">
        <f t="shared" si="129"/>
        <v>405</v>
      </c>
      <c r="B406" s="71" t="s">
        <v>634</v>
      </c>
      <c r="C406" s="71" t="s">
        <v>243</v>
      </c>
      <c r="D406" s="71" t="s">
        <v>422</v>
      </c>
      <c r="E406" s="71" t="s">
        <v>533</v>
      </c>
      <c r="F406" s="71" t="s">
        <v>418</v>
      </c>
      <c r="G406" s="71" t="s">
        <v>384</v>
      </c>
      <c r="H406" s="71" t="s">
        <v>613</v>
      </c>
      <c r="I406" s="71" t="str">
        <f>VLOOKUP(H406,[1]Sheet1!$C:$C,1,0)</f>
        <v>SC9314UA-CF-0XAK-94M</v>
      </c>
      <c r="J406" s="71"/>
      <c r="K406" s="71"/>
      <c r="L406" s="71" t="s">
        <v>438</v>
      </c>
      <c r="M406" s="85"/>
      <c r="N406" s="85"/>
      <c r="O406" s="85"/>
      <c r="P406" s="85"/>
      <c r="Q406" s="85"/>
      <c r="R406" s="100">
        <v>0.98</v>
      </c>
      <c r="S406" s="75">
        <f t="shared" si="142"/>
        <v>88200</v>
      </c>
      <c r="T406" s="76">
        <v>245000</v>
      </c>
      <c r="U406" s="76">
        <f t="shared" si="137"/>
        <v>90000</v>
      </c>
      <c r="V406" s="85"/>
      <c r="W406" s="85"/>
      <c r="X406" s="85"/>
      <c r="Y406" s="85"/>
      <c r="Z406" s="72">
        <v>20000</v>
      </c>
      <c r="AA406" s="72">
        <v>30000</v>
      </c>
      <c r="AB406" s="72">
        <v>30000</v>
      </c>
      <c r="AC406" s="72">
        <v>30000</v>
      </c>
      <c r="AD406" s="77">
        <v>30000</v>
      </c>
      <c r="AE406" s="75">
        <v>30000</v>
      </c>
      <c r="AF406" s="75">
        <v>30000</v>
      </c>
      <c r="AG406" s="75">
        <v>30000</v>
      </c>
      <c r="AH406" s="75">
        <v>30000</v>
      </c>
      <c r="AI406" s="75">
        <v>30000</v>
      </c>
      <c r="AJ406" s="75">
        <v>30000</v>
      </c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 t="s">
        <v>494</v>
      </c>
      <c r="AY406" s="19" t="s">
        <v>386</v>
      </c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>
        <f t="shared" si="143"/>
        <v>19600</v>
      </c>
      <c r="BQ406" s="27">
        <f t="shared" si="144"/>
        <v>29400</v>
      </c>
      <c r="BR406" s="27">
        <f t="shared" si="145"/>
        <v>29400</v>
      </c>
      <c r="BS406" s="27">
        <f t="shared" si="146"/>
        <v>29400</v>
      </c>
      <c r="BT406" s="28">
        <f t="shared" si="141"/>
        <v>29400</v>
      </c>
      <c r="BU406" s="28">
        <f t="shared" si="138"/>
        <v>29400</v>
      </c>
      <c r="BV406" s="28">
        <f t="shared" si="139"/>
        <v>29400</v>
      </c>
      <c r="BW406" s="28">
        <f t="shared" si="140"/>
        <v>29400</v>
      </c>
    </row>
    <row r="407" spans="1:75" ht="17.399999999999999" x14ac:dyDescent="0.25">
      <c r="A407" s="69">
        <f t="shared" si="129"/>
        <v>406</v>
      </c>
      <c r="B407" s="71" t="s">
        <v>635</v>
      </c>
      <c r="C407" s="71" t="s">
        <v>243</v>
      </c>
      <c r="D407" s="71" t="s">
        <v>422</v>
      </c>
      <c r="E407" s="71" t="s">
        <v>533</v>
      </c>
      <c r="F407" s="71" t="s">
        <v>418</v>
      </c>
      <c r="G407" s="71" t="s">
        <v>636</v>
      </c>
      <c r="H407" s="71" t="s">
        <v>637</v>
      </c>
      <c r="I407" s="71" t="str">
        <f>VLOOKUP(H407,[1]Sheet1!$C:$C,1,0)</f>
        <v>SC9675IM-HRF11-Q-AB-4XAR-9675</v>
      </c>
      <c r="J407" s="71"/>
      <c r="K407" s="71"/>
      <c r="L407" s="71" t="s">
        <v>438</v>
      </c>
      <c r="M407" s="85"/>
      <c r="N407" s="85"/>
      <c r="O407" s="85"/>
      <c r="P407" s="85"/>
      <c r="Q407" s="85"/>
      <c r="R407" s="100">
        <v>6.02</v>
      </c>
      <c r="S407" s="75">
        <f t="shared" si="142"/>
        <v>108359.99999999999</v>
      </c>
      <c r="T407" s="76">
        <v>150500</v>
      </c>
      <c r="U407" s="76">
        <f t="shared" si="137"/>
        <v>18000</v>
      </c>
      <c r="V407" s="85"/>
      <c r="W407" s="85"/>
      <c r="X407" s="85"/>
      <c r="Y407" s="85"/>
      <c r="Z407" s="72">
        <v>2000</v>
      </c>
      <c r="AA407" s="72">
        <v>2000</v>
      </c>
      <c r="AB407" s="72">
        <v>3000</v>
      </c>
      <c r="AC407" s="72">
        <v>10000</v>
      </c>
      <c r="AD407" s="77">
        <v>10000</v>
      </c>
      <c r="AE407" s="75">
        <v>10000</v>
      </c>
      <c r="AF407" s="75">
        <v>4000</v>
      </c>
      <c r="AG407" s="75">
        <v>4000</v>
      </c>
      <c r="AH407" s="75">
        <v>4000</v>
      </c>
      <c r="AI407" s="75">
        <v>3200</v>
      </c>
      <c r="AJ407" s="75">
        <v>3200</v>
      </c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 t="s">
        <v>494</v>
      </c>
      <c r="AY407" s="19" t="s">
        <v>386</v>
      </c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>
        <f t="shared" si="143"/>
        <v>12040</v>
      </c>
      <c r="BQ407" s="16">
        <f t="shared" si="144"/>
        <v>12040</v>
      </c>
      <c r="BR407" s="16">
        <f t="shared" si="145"/>
        <v>18060</v>
      </c>
      <c r="BS407" s="16">
        <f t="shared" si="146"/>
        <v>60199.999999999993</v>
      </c>
      <c r="BT407" s="17">
        <f t="shared" si="141"/>
        <v>60199.999999999993</v>
      </c>
      <c r="BU407" s="28">
        <f t="shared" si="138"/>
        <v>60199.999999999993</v>
      </c>
      <c r="BV407" s="28">
        <f t="shared" si="139"/>
        <v>24080</v>
      </c>
      <c r="BW407" s="28">
        <f t="shared" si="140"/>
        <v>24080</v>
      </c>
    </row>
    <row r="408" spans="1:75" ht="17.399999999999999" x14ac:dyDescent="0.25">
      <c r="A408" s="69">
        <f t="shared" si="129"/>
        <v>407</v>
      </c>
      <c r="B408" s="71" t="s">
        <v>638</v>
      </c>
      <c r="C408" s="71" t="s">
        <v>243</v>
      </c>
      <c r="D408" s="71" t="s">
        <v>422</v>
      </c>
      <c r="E408" s="71" t="s">
        <v>533</v>
      </c>
      <c r="F408" s="71" t="s">
        <v>418</v>
      </c>
      <c r="G408" s="71" t="s">
        <v>322</v>
      </c>
      <c r="H408" s="71" t="s">
        <v>617</v>
      </c>
      <c r="I408" s="71" t="str">
        <f>VLOOKUP(H408,[1]Sheet1!$C:$C,1,0)</f>
        <v>SC2442UA-CP-10AK-2442</v>
      </c>
      <c r="J408" s="86"/>
      <c r="K408" s="71"/>
      <c r="L408" s="71" t="s">
        <v>639</v>
      </c>
      <c r="M408" s="85"/>
      <c r="N408" s="85"/>
      <c r="O408" s="85"/>
      <c r="P408" s="85"/>
      <c r="Q408" s="85"/>
      <c r="R408" s="100">
        <v>0.27200000000000002</v>
      </c>
      <c r="S408" s="75">
        <f t="shared" si="142"/>
        <v>48960</v>
      </c>
      <c r="T408" s="76">
        <v>111520.00000000001</v>
      </c>
      <c r="U408" s="76">
        <f t="shared" si="137"/>
        <v>180000</v>
      </c>
      <c r="V408" s="85"/>
      <c r="W408" s="85"/>
      <c r="X408" s="85"/>
      <c r="Y408" s="85"/>
      <c r="Z408" s="72">
        <v>40000</v>
      </c>
      <c r="AA408" s="72">
        <v>40000</v>
      </c>
      <c r="AB408" s="72">
        <v>50000</v>
      </c>
      <c r="AC408" s="72">
        <v>50000</v>
      </c>
      <c r="AD408" s="77">
        <v>50000</v>
      </c>
      <c r="AE408" s="75">
        <v>60000</v>
      </c>
      <c r="AF408" s="75">
        <v>60000</v>
      </c>
      <c r="AG408" s="75">
        <v>60000</v>
      </c>
      <c r="AH408" s="75">
        <v>60000</v>
      </c>
      <c r="AI408" s="75">
        <v>60000</v>
      </c>
      <c r="AJ408" s="75">
        <v>60000</v>
      </c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 t="s">
        <v>494</v>
      </c>
      <c r="AY408" s="19" t="s">
        <v>261</v>
      </c>
      <c r="AZ408" s="27"/>
      <c r="BA408" s="27"/>
      <c r="BB408" s="27"/>
      <c r="BC408" s="27"/>
      <c r="BD408" s="27"/>
      <c r="BE408" s="27"/>
      <c r="BF408" s="27"/>
      <c r="BG408" s="27"/>
      <c r="BH408" s="27"/>
      <c r="BI408" s="27"/>
      <c r="BJ408" s="27"/>
      <c r="BK408" s="27"/>
      <c r="BL408" s="27"/>
      <c r="BM408" s="27"/>
      <c r="BN408" s="27"/>
      <c r="BO408" s="27"/>
      <c r="BP408" s="27">
        <f t="shared" si="143"/>
        <v>10880</v>
      </c>
      <c r="BQ408" s="27">
        <f t="shared" si="144"/>
        <v>10880</v>
      </c>
      <c r="BR408" s="27">
        <f t="shared" si="145"/>
        <v>13600.000000000002</v>
      </c>
      <c r="BS408" s="27">
        <f t="shared" si="146"/>
        <v>13600.000000000002</v>
      </c>
      <c r="BT408" s="28">
        <f t="shared" si="141"/>
        <v>13600.000000000002</v>
      </c>
      <c r="BU408" s="28">
        <f t="shared" si="138"/>
        <v>16320.000000000002</v>
      </c>
      <c r="BV408" s="28">
        <f t="shared" si="139"/>
        <v>16320.000000000002</v>
      </c>
      <c r="BW408" s="28">
        <f t="shared" si="140"/>
        <v>16320.000000000002</v>
      </c>
    </row>
    <row r="409" spans="1:75" ht="17.399999999999999" x14ac:dyDescent="0.25">
      <c r="A409" s="69">
        <f t="shared" si="129"/>
        <v>408</v>
      </c>
      <c r="B409" s="71" t="s">
        <v>640</v>
      </c>
      <c r="C409" s="71" t="s">
        <v>243</v>
      </c>
      <c r="D409" s="71" t="s">
        <v>422</v>
      </c>
      <c r="E409" s="71" t="s">
        <v>533</v>
      </c>
      <c r="F409" s="71" t="s">
        <v>418</v>
      </c>
      <c r="G409" s="71" t="s">
        <v>621</v>
      </c>
      <c r="H409" s="71" t="s">
        <v>622</v>
      </c>
      <c r="I409" s="71" t="str">
        <f>VLOOKUP(H409,[1]Sheet1!$C:$C,1,0)</f>
        <v>SC2442SO-CR-10CR-2442</v>
      </c>
      <c r="J409" s="71"/>
      <c r="K409" s="71"/>
      <c r="L409" s="71" t="s">
        <v>639</v>
      </c>
      <c r="M409" s="85"/>
      <c r="N409" s="85"/>
      <c r="O409" s="85"/>
      <c r="P409" s="85"/>
      <c r="Q409" s="85"/>
      <c r="R409" s="100">
        <v>0.27200000000000002</v>
      </c>
      <c r="S409" s="75">
        <f t="shared" si="142"/>
        <v>16320.000000000002</v>
      </c>
      <c r="T409" s="76">
        <v>27200.000000000004</v>
      </c>
      <c r="U409" s="76">
        <f t="shared" si="137"/>
        <v>60000</v>
      </c>
      <c r="V409" s="85"/>
      <c r="W409" s="85"/>
      <c r="X409" s="85"/>
      <c r="Y409" s="85"/>
      <c r="Z409" s="72">
        <v>5000</v>
      </c>
      <c r="AA409" s="72">
        <v>5000</v>
      </c>
      <c r="AB409" s="72">
        <v>10000</v>
      </c>
      <c r="AC409" s="72">
        <v>10000</v>
      </c>
      <c r="AD409" s="77">
        <v>10000</v>
      </c>
      <c r="AE409" s="75">
        <v>20000</v>
      </c>
      <c r="AF409" s="75">
        <v>20000</v>
      </c>
      <c r="AG409" s="75">
        <v>20000</v>
      </c>
      <c r="AH409" s="75">
        <v>20000</v>
      </c>
      <c r="AI409" s="75">
        <v>20000</v>
      </c>
      <c r="AJ409" s="75">
        <v>20000</v>
      </c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 t="s">
        <v>494</v>
      </c>
      <c r="AY409" s="19" t="s">
        <v>261</v>
      </c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>
        <f t="shared" si="143"/>
        <v>1360</v>
      </c>
      <c r="BQ409" s="16">
        <f t="shared" si="144"/>
        <v>1360</v>
      </c>
      <c r="BR409" s="16">
        <f t="shared" si="145"/>
        <v>2720</v>
      </c>
      <c r="BS409" s="16">
        <f t="shared" si="146"/>
        <v>2720</v>
      </c>
      <c r="BT409" s="17">
        <f t="shared" si="141"/>
        <v>2720</v>
      </c>
      <c r="BU409" s="28">
        <f t="shared" si="138"/>
        <v>5440</v>
      </c>
      <c r="BV409" s="28">
        <f t="shared" si="139"/>
        <v>5440</v>
      </c>
      <c r="BW409" s="28">
        <f t="shared" si="140"/>
        <v>5440</v>
      </c>
    </row>
    <row r="410" spans="1:75" ht="17.399999999999999" x14ac:dyDescent="0.25">
      <c r="A410" s="69">
        <f t="shared" si="129"/>
        <v>409</v>
      </c>
      <c r="B410" s="71" t="s">
        <v>641</v>
      </c>
      <c r="C410" s="71" t="s">
        <v>243</v>
      </c>
      <c r="D410" s="71" t="s">
        <v>422</v>
      </c>
      <c r="E410" s="71" t="s">
        <v>533</v>
      </c>
      <c r="F410" s="71" t="s">
        <v>418</v>
      </c>
      <c r="G410" s="71" t="s">
        <v>434</v>
      </c>
      <c r="H410" s="71" t="s">
        <v>435</v>
      </c>
      <c r="I410" s="71" t="str">
        <f>VLOOKUP(H410,[1]Sheet1!$C:$C,1,0)</f>
        <v>SC4688SA-Q-DC-40CK-4688</v>
      </c>
      <c r="J410" s="71"/>
      <c r="K410" s="71"/>
      <c r="L410" s="71" t="s">
        <v>615</v>
      </c>
      <c r="M410" s="85"/>
      <c r="N410" s="85"/>
      <c r="O410" s="85"/>
      <c r="P410" s="85"/>
      <c r="Q410" s="85"/>
      <c r="R410" s="100">
        <v>2.4700000000000002</v>
      </c>
      <c r="S410" s="75">
        <f t="shared" si="142"/>
        <v>74100</v>
      </c>
      <c r="T410" s="76">
        <v>69160</v>
      </c>
      <c r="U410" s="76">
        <f t="shared" si="137"/>
        <v>30000</v>
      </c>
      <c r="V410" s="85"/>
      <c r="W410" s="85"/>
      <c r="X410" s="85"/>
      <c r="Y410" s="85"/>
      <c r="Z410" s="72">
        <v>2000</v>
      </c>
      <c r="AA410" s="72">
        <v>20000</v>
      </c>
      <c r="AB410" s="72">
        <v>20000</v>
      </c>
      <c r="AC410" s="72">
        <v>3000</v>
      </c>
      <c r="AD410" s="77">
        <v>20000</v>
      </c>
      <c r="AE410" s="75">
        <v>20000</v>
      </c>
      <c r="AF410" s="75">
        <v>5000</v>
      </c>
      <c r="AG410" s="75">
        <v>5000</v>
      </c>
      <c r="AH410" s="75">
        <v>5000</v>
      </c>
      <c r="AI410" s="75">
        <v>5000</v>
      </c>
      <c r="AJ410" s="75">
        <v>5000</v>
      </c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 t="s">
        <v>494</v>
      </c>
      <c r="AY410" s="19" t="s">
        <v>371</v>
      </c>
      <c r="AZ410" s="27"/>
      <c r="BA410" s="27"/>
      <c r="BB410" s="27"/>
      <c r="BC410" s="27"/>
      <c r="BD410" s="27"/>
      <c r="BE410" s="27"/>
      <c r="BF410" s="27"/>
      <c r="BG410" s="27"/>
      <c r="BH410" s="27"/>
      <c r="BI410" s="27"/>
      <c r="BJ410" s="27"/>
      <c r="BK410" s="27"/>
      <c r="BL410" s="27"/>
      <c r="BM410" s="27"/>
      <c r="BN410" s="27"/>
      <c r="BO410" s="27"/>
      <c r="BP410" s="27">
        <f t="shared" si="143"/>
        <v>4940</v>
      </c>
      <c r="BQ410" s="27">
        <f t="shared" si="144"/>
        <v>49400.000000000007</v>
      </c>
      <c r="BR410" s="27">
        <f t="shared" si="145"/>
        <v>49400.000000000007</v>
      </c>
      <c r="BS410" s="27">
        <f t="shared" si="146"/>
        <v>7410.0000000000009</v>
      </c>
      <c r="BT410" s="28">
        <f t="shared" si="141"/>
        <v>49400.000000000007</v>
      </c>
      <c r="BU410" s="28">
        <f t="shared" si="138"/>
        <v>49400.000000000007</v>
      </c>
      <c r="BV410" s="28">
        <f t="shared" si="139"/>
        <v>12350.000000000002</v>
      </c>
      <c r="BW410" s="28">
        <f t="shared" si="140"/>
        <v>12350.000000000002</v>
      </c>
    </row>
    <row r="411" spans="1:75" ht="17.399999999999999" x14ac:dyDescent="0.25">
      <c r="A411" s="69">
        <f t="shared" si="129"/>
        <v>410</v>
      </c>
      <c r="B411" s="71" t="s">
        <v>641</v>
      </c>
      <c r="C411" s="71" t="s">
        <v>243</v>
      </c>
      <c r="D411" s="71" t="s">
        <v>422</v>
      </c>
      <c r="E411" s="71" t="s">
        <v>533</v>
      </c>
      <c r="F411" s="71" t="s">
        <v>418</v>
      </c>
      <c r="G411" s="71" t="s">
        <v>610</v>
      </c>
      <c r="H411" s="71" t="s">
        <v>611</v>
      </c>
      <c r="I411" s="71" t="str">
        <f>VLOOKUP(H411,[1]Sheet1!$C:$C,1,0)</f>
        <v>SC69401HS-Q-HD-4XTR-69401</v>
      </c>
      <c r="J411" s="71"/>
      <c r="K411" s="71"/>
      <c r="L411" s="71" t="s">
        <v>615</v>
      </c>
      <c r="M411" s="85"/>
      <c r="N411" s="85"/>
      <c r="O411" s="85"/>
      <c r="P411" s="85"/>
      <c r="Q411" s="85"/>
      <c r="R411" s="100">
        <v>3.32</v>
      </c>
      <c r="S411" s="75">
        <f t="shared" si="142"/>
        <v>305440</v>
      </c>
      <c r="T411" s="76">
        <v>803440</v>
      </c>
      <c r="U411" s="76">
        <f t="shared" si="137"/>
        <v>92000</v>
      </c>
      <c r="V411" s="85"/>
      <c r="W411" s="85"/>
      <c r="X411" s="85"/>
      <c r="Y411" s="85"/>
      <c r="Z411" s="72">
        <v>12000</v>
      </c>
      <c r="AA411" s="72">
        <v>12000</v>
      </c>
      <c r="AB411" s="72">
        <v>12000</v>
      </c>
      <c r="AC411" s="72">
        <v>12000</v>
      </c>
      <c r="AD411" s="77">
        <v>12000</v>
      </c>
      <c r="AE411" s="75">
        <v>12000</v>
      </c>
      <c r="AF411" s="75">
        <v>40000</v>
      </c>
      <c r="AG411" s="75">
        <v>40000</v>
      </c>
      <c r="AH411" s="75">
        <v>40000</v>
      </c>
      <c r="AI411" s="75">
        <v>40000</v>
      </c>
      <c r="AJ411" s="75">
        <v>40000</v>
      </c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 t="s">
        <v>494</v>
      </c>
      <c r="AY411" s="19" t="s">
        <v>371</v>
      </c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>
        <f t="shared" si="143"/>
        <v>39840</v>
      </c>
      <c r="BQ411" s="16">
        <f t="shared" si="144"/>
        <v>39840</v>
      </c>
      <c r="BR411" s="16">
        <f t="shared" si="145"/>
        <v>39840</v>
      </c>
      <c r="BS411" s="16">
        <f t="shared" si="146"/>
        <v>39840</v>
      </c>
      <c r="BT411" s="17">
        <f t="shared" si="141"/>
        <v>39840</v>
      </c>
      <c r="BU411" s="28">
        <f t="shared" si="138"/>
        <v>39840</v>
      </c>
      <c r="BV411" s="28">
        <f t="shared" si="139"/>
        <v>132800</v>
      </c>
      <c r="BW411" s="28">
        <f t="shared" si="140"/>
        <v>132800</v>
      </c>
    </row>
    <row r="412" spans="1:75" ht="17.399999999999999" x14ac:dyDescent="0.25">
      <c r="A412" s="69">
        <f t="shared" si="129"/>
        <v>411</v>
      </c>
      <c r="B412" s="71" t="s">
        <v>641</v>
      </c>
      <c r="C412" s="71" t="s">
        <v>243</v>
      </c>
      <c r="D412" s="71" t="s">
        <v>422</v>
      </c>
      <c r="E412" s="71" t="s">
        <v>533</v>
      </c>
      <c r="F412" s="71" t="s">
        <v>418</v>
      </c>
      <c r="G412" s="71" t="s">
        <v>610</v>
      </c>
      <c r="H412" s="71" t="s">
        <v>611</v>
      </c>
      <c r="I412" s="71" t="str">
        <f>VLOOKUP(H412,[1]Sheet1!$C:$C,1,0)</f>
        <v>SC69401HS-Q-HD-4XTR-69401</v>
      </c>
      <c r="J412" s="71"/>
      <c r="K412" s="71"/>
      <c r="L412" s="71" t="s">
        <v>615</v>
      </c>
      <c r="M412" s="85"/>
      <c r="N412" s="85"/>
      <c r="O412" s="85"/>
      <c r="P412" s="85"/>
      <c r="Q412" s="85"/>
      <c r="R412" s="100">
        <v>7</v>
      </c>
      <c r="S412" s="75">
        <f t="shared" si="142"/>
        <v>301000</v>
      </c>
      <c r="T412" s="76">
        <v>735000</v>
      </c>
      <c r="U412" s="76">
        <f t="shared" si="137"/>
        <v>43000</v>
      </c>
      <c r="V412" s="85"/>
      <c r="W412" s="85"/>
      <c r="X412" s="85"/>
      <c r="Y412" s="85"/>
      <c r="Z412" s="72">
        <v>6000</v>
      </c>
      <c r="AA412" s="72">
        <v>6000</v>
      </c>
      <c r="AB412" s="72">
        <v>6000</v>
      </c>
      <c r="AC412" s="72">
        <v>12000</v>
      </c>
      <c r="AD412" s="77">
        <v>7000</v>
      </c>
      <c r="AE412" s="75">
        <v>7000</v>
      </c>
      <c r="AF412" s="75">
        <v>18000</v>
      </c>
      <c r="AG412" s="75">
        <v>18000</v>
      </c>
      <c r="AH412" s="75">
        <v>18000</v>
      </c>
      <c r="AI412" s="75">
        <v>18000</v>
      </c>
      <c r="AJ412" s="75">
        <v>18000</v>
      </c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 t="s">
        <v>494</v>
      </c>
      <c r="AY412" s="19" t="s">
        <v>371</v>
      </c>
      <c r="AZ412" s="27"/>
      <c r="BA412" s="27"/>
      <c r="BB412" s="27"/>
      <c r="BC412" s="27"/>
      <c r="BD412" s="27"/>
      <c r="BE412" s="27"/>
      <c r="BF412" s="27"/>
      <c r="BG412" s="27"/>
      <c r="BH412" s="27"/>
      <c r="BI412" s="27"/>
      <c r="BJ412" s="27"/>
      <c r="BK412" s="27"/>
      <c r="BL412" s="27"/>
      <c r="BM412" s="27"/>
      <c r="BN412" s="27"/>
      <c r="BO412" s="27"/>
      <c r="BP412" s="27">
        <f t="shared" si="143"/>
        <v>42000</v>
      </c>
      <c r="BQ412" s="27">
        <f t="shared" si="144"/>
        <v>42000</v>
      </c>
      <c r="BR412" s="27">
        <f t="shared" si="145"/>
        <v>42000</v>
      </c>
      <c r="BS412" s="27">
        <f t="shared" si="146"/>
        <v>84000</v>
      </c>
      <c r="BT412" s="28">
        <f t="shared" si="141"/>
        <v>49000</v>
      </c>
      <c r="BU412" s="28">
        <f t="shared" si="138"/>
        <v>49000</v>
      </c>
      <c r="BV412" s="28">
        <f t="shared" si="139"/>
        <v>126000</v>
      </c>
      <c r="BW412" s="28">
        <f t="shared" si="140"/>
        <v>126000</v>
      </c>
    </row>
    <row r="413" spans="1:75" ht="17.399999999999999" x14ac:dyDescent="0.25">
      <c r="A413" s="69">
        <f t="shared" si="129"/>
        <v>412</v>
      </c>
      <c r="B413" s="71"/>
      <c r="C413" s="71" t="s">
        <v>243</v>
      </c>
      <c r="D413" s="71" t="s">
        <v>422</v>
      </c>
      <c r="E413" s="71" t="s">
        <v>533</v>
      </c>
      <c r="F413" s="71" t="s">
        <v>418</v>
      </c>
      <c r="G413" s="71" t="s">
        <v>642</v>
      </c>
      <c r="H413" s="71" t="s">
        <v>443</v>
      </c>
      <c r="I413" s="71" t="str">
        <f>VLOOKUP(H413,[1]Sheet1!$C:$C,1,0)</f>
        <v>SC9675T3-Q-AB-4XAR-9675</v>
      </c>
      <c r="J413" s="71"/>
      <c r="K413" s="71"/>
      <c r="L413" s="71" t="s">
        <v>438</v>
      </c>
      <c r="M413" s="85"/>
      <c r="N413" s="85"/>
      <c r="O413" s="85"/>
      <c r="P413" s="85"/>
      <c r="Q413" s="85"/>
      <c r="R413" s="100">
        <v>3.41</v>
      </c>
      <c r="S413" s="75">
        <f t="shared" si="142"/>
        <v>0</v>
      </c>
      <c r="T413" s="76">
        <v>0</v>
      </c>
      <c r="U413" s="76">
        <f t="shared" si="137"/>
        <v>0</v>
      </c>
      <c r="V413" s="85"/>
      <c r="W413" s="85"/>
      <c r="X413" s="85"/>
      <c r="Y413" s="85"/>
      <c r="Z413" s="72"/>
      <c r="AA413" s="72"/>
      <c r="AB413" s="72"/>
      <c r="AC413" s="72"/>
      <c r="AD413" s="77"/>
      <c r="AE413" s="75"/>
      <c r="AF413" s="75"/>
      <c r="AG413" s="75"/>
      <c r="AH413" s="75">
        <v>0</v>
      </c>
      <c r="AI413" s="75"/>
      <c r="AJ413" s="75">
        <v>0</v>
      </c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 t="s">
        <v>494</v>
      </c>
      <c r="AY413" s="19" t="s">
        <v>386</v>
      </c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>
        <f t="shared" si="143"/>
        <v>0</v>
      </c>
      <c r="BQ413" s="16">
        <f t="shared" si="144"/>
        <v>0</v>
      </c>
      <c r="BR413" s="16">
        <f t="shared" si="145"/>
        <v>0</v>
      </c>
      <c r="BS413" s="16">
        <f t="shared" si="146"/>
        <v>0</v>
      </c>
      <c r="BT413" s="17">
        <f t="shared" si="141"/>
        <v>0</v>
      </c>
      <c r="BU413" s="28">
        <f t="shared" si="138"/>
        <v>0</v>
      </c>
      <c r="BV413" s="28">
        <f t="shared" si="139"/>
        <v>0</v>
      </c>
      <c r="BW413" s="28">
        <f t="shared" si="140"/>
        <v>0</v>
      </c>
    </row>
    <row r="414" spans="1:75" ht="17.399999999999999" x14ac:dyDescent="0.25">
      <c r="A414" s="69">
        <f t="shared" si="129"/>
        <v>413</v>
      </c>
      <c r="B414" s="71" t="s">
        <v>643</v>
      </c>
      <c r="C414" s="71" t="s">
        <v>243</v>
      </c>
      <c r="D414" s="71" t="s">
        <v>644</v>
      </c>
      <c r="E414" s="71" t="s">
        <v>533</v>
      </c>
      <c r="F414" s="71" t="s">
        <v>645</v>
      </c>
      <c r="G414" s="71" t="s">
        <v>384</v>
      </c>
      <c r="H414" s="71" t="s">
        <v>613</v>
      </c>
      <c r="I414" s="71" t="str">
        <f>VLOOKUP(H414,[1]Sheet1!$C:$C,1,0)</f>
        <v>SC9314UA-CF-0XAK-94M</v>
      </c>
      <c r="J414" s="71"/>
      <c r="K414" s="71"/>
      <c r="L414" s="71" t="s">
        <v>438</v>
      </c>
      <c r="M414" s="85"/>
      <c r="N414" s="85"/>
      <c r="O414" s="85"/>
      <c r="P414" s="85"/>
      <c r="Q414" s="85"/>
      <c r="R414" s="100">
        <v>1.2</v>
      </c>
      <c r="S414" s="75">
        <f t="shared" si="142"/>
        <v>36000</v>
      </c>
      <c r="T414" s="76">
        <v>144000</v>
      </c>
      <c r="U414" s="76">
        <f t="shared" si="137"/>
        <v>30000</v>
      </c>
      <c r="V414" s="85"/>
      <c r="W414" s="85"/>
      <c r="X414" s="85"/>
      <c r="Y414" s="85"/>
      <c r="Z414" s="72">
        <v>10000</v>
      </c>
      <c r="AA414" s="72">
        <v>10000</v>
      </c>
      <c r="AB414" s="72">
        <v>10000</v>
      </c>
      <c r="AC414" s="72"/>
      <c r="AD414" s="77">
        <v>10000</v>
      </c>
      <c r="AE414" s="75">
        <v>10000</v>
      </c>
      <c r="AF414" s="75">
        <v>10000</v>
      </c>
      <c r="AG414" s="75">
        <v>10000</v>
      </c>
      <c r="AH414" s="75">
        <v>10000</v>
      </c>
      <c r="AI414" s="75">
        <v>10000</v>
      </c>
      <c r="AJ414" s="75">
        <v>10000</v>
      </c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 t="s">
        <v>494</v>
      </c>
      <c r="AY414" s="19" t="s">
        <v>386</v>
      </c>
      <c r="AZ414" s="27"/>
      <c r="BA414" s="27"/>
      <c r="BB414" s="27"/>
      <c r="BC414" s="27"/>
      <c r="BD414" s="27"/>
      <c r="BE414" s="27"/>
      <c r="BF414" s="27"/>
      <c r="BG414" s="27"/>
      <c r="BH414" s="27"/>
      <c r="BI414" s="27"/>
      <c r="BJ414" s="27"/>
      <c r="BK414" s="27"/>
      <c r="BL414" s="27"/>
      <c r="BM414" s="27"/>
      <c r="BN414" s="27"/>
      <c r="BO414" s="27"/>
      <c r="BP414" s="27">
        <f t="shared" si="143"/>
        <v>12000</v>
      </c>
      <c r="BQ414" s="27">
        <f t="shared" si="144"/>
        <v>12000</v>
      </c>
      <c r="BR414" s="27">
        <f t="shared" si="145"/>
        <v>12000</v>
      </c>
      <c r="BS414" s="27">
        <f t="shared" si="146"/>
        <v>0</v>
      </c>
      <c r="BT414" s="28">
        <f t="shared" si="141"/>
        <v>12000</v>
      </c>
      <c r="BU414" s="28">
        <f t="shared" si="138"/>
        <v>12000</v>
      </c>
      <c r="BV414" s="28">
        <f t="shared" si="139"/>
        <v>12000</v>
      </c>
      <c r="BW414" s="28">
        <f t="shared" si="140"/>
        <v>12000</v>
      </c>
    </row>
    <row r="415" spans="1:75" ht="17.399999999999999" x14ac:dyDescent="0.25">
      <c r="A415" s="69">
        <f t="shared" si="129"/>
        <v>414</v>
      </c>
      <c r="B415" s="71" t="s">
        <v>643</v>
      </c>
      <c r="C415" s="71" t="s">
        <v>243</v>
      </c>
      <c r="D415" s="71" t="s">
        <v>644</v>
      </c>
      <c r="E415" s="71" t="s">
        <v>533</v>
      </c>
      <c r="F415" s="71" t="s">
        <v>645</v>
      </c>
      <c r="G415" s="71" t="s">
        <v>630</v>
      </c>
      <c r="H415" s="71" t="s">
        <v>631</v>
      </c>
      <c r="I415" s="71" t="str">
        <f>VLOOKUP(H415,[1]Sheet1!$C:$C,1,0)</f>
        <v>SC9625VB-CE-00CK-9625L</v>
      </c>
      <c r="J415" s="71"/>
      <c r="K415" s="71"/>
      <c r="L415" s="71" t="s">
        <v>439</v>
      </c>
      <c r="M415" s="85"/>
      <c r="N415" s="85"/>
      <c r="O415" s="85"/>
      <c r="P415" s="85"/>
      <c r="Q415" s="85"/>
      <c r="R415" s="100">
        <v>1.6</v>
      </c>
      <c r="S415" s="75">
        <f t="shared" si="142"/>
        <v>240000</v>
      </c>
      <c r="T415" s="76">
        <v>198000.00000000003</v>
      </c>
      <c r="U415" s="76">
        <f t="shared" si="137"/>
        <v>150000</v>
      </c>
      <c r="V415" s="85"/>
      <c r="W415" s="85"/>
      <c r="X415" s="85"/>
      <c r="Y415" s="85"/>
      <c r="Z415" s="72">
        <v>20000</v>
      </c>
      <c r="AA415" s="72">
        <v>50000</v>
      </c>
      <c r="AB415" s="72">
        <v>50000</v>
      </c>
      <c r="AC415" s="72">
        <v>50000</v>
      </c>
      <c r="AD415" s="77">
        <v>50000</v>
      </c>
      <c r="AE415" s="75">
        <v>50000</v>
      </c>
      <c r="AF415" s="75">
        <v>50000</v>
      </c>
      <c r="AG415" s="75">
        <v>50000</v>
      </c>
      <c r="AH415" s="75">
        <v>50000</v>
      </c>
      <c r="AI415" s="75">
        <v>50000</v>
      </c>
      <c r="AJ415" s="75">
        <v>50000</v>
      </c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 t="s">
        <v>494</v>
      </c>
      <c r="AY415" s="19" t="s">
        <v>386</v>
      </c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>
        <f t="shared" si="143"/>
        <v>32000</v>
      </c>
      <c r="BQ415" s="16">
        <f t="shared" si="144"/>
        <v>80000</v>
      </c>
      <c r="BR415" s="16">
        <f t="shared" si="145"/>
        <v>80000</v>
      </c>
      <c r="BS415" s="16">
        <f t="shared" si="146"/>
        <v>80000</v>
      </c>
      <c r="BT415" s="17">
        <f t="shared" si="141"/>
        <v>80000</v>
      </c>
      <c r="BU415" s="28">
        <f t="shared" si="138"/>
        <v>80000</v>
      </c>
      <c r="BV415" s="28">
        <f t="shared" si="139"/>
        <v>80000</v>
      </c>
      <c r="BW415" s="28">
        <f t="shared" si="140"/>
        <v>80000</v>
      </c>
    </row>
    <row r="416" spans="1:75" ht="17.399999999999999" x14ac:dyDescent="0.25">
      <c r="A416" s="69">
        <f t="shared" si="129"/>
        <v>415</v>
      </c>
      <c r="B416" s="71" t="s">
        <v>643</v>
      </c>
      <c r="C416" s="71" t="s">
        <v>243</v>
      </c>
      <c r="D416" s="71" t="s">
        <v>644</v>
      </c>
      <c r="E416" s="71" t="s">
        <v>533</v>
      </c>
      <c r="F416" s="71" t="s">
        <v>645</v>
      </c>
      <c r="G416" s="71" t="s">
        <v>473</v>
      </c>
      <c r="H416" s="71" t="s">
        <v>474</v>
      </c>
      <c r="I416" s="71" t="str">
        <f>VLOOKUP(H416,[1]Sheet1!$C:$C,1,0)</f>
        <v>SC9641TS-P-AI-10AR-41CPA</v>
      </c>
      <c r="J416" s="71"/>
      <c r="K416" s="71"/>
      <c r="L416" s="71" t="s">
        <v>448</v>
      </c>
      <c r="M416" s="85"/>
      <c r="N416" s="85"/>
      <c r="O416" s="85"/>
      <c r="P416" s="85"/>
      <c r="Q416" s="85"/>
      <c r="R416" s="100">
        <v>1.65</v>
      </c>
      <c r="S416" s="75">
        <f t="shared" si="142"/>
        <v>29700</v>
      </c>
      <c r="T416" s="76">
        <v>110399.99999999999</v>
      </c>
      <c r="U416" s="76">
        <f t="shared" si="137"/>
        <v>18000</v>
      </c>
      <c r="V416" s="85">
        <v>1000</v>
      </c>
      <c r="W416" s="85">
        <v>1000</v>
      </c>
      <c r="X416" s="85">
        <v>6000</v>
      </c>
      <c r="Y416" s="85">
        <v>6000</v>
      </c>
      <c r="Z416" s="80">
        <v>6000</v>
      </c>
      <c r="AA416" s="80">
        <v>6000</v>
      </c>
      <c r="AB416" s="80">
        <v>6000</v>
      </c>
      <c r="AC416" s="80"/>
      <c r="AD416" s="77">
        <v>6000</v>
      </c>
      <c r="AE416" s="75">
        <v>6000</v>
      </c>
      <c r="AF416" s="75">
        <v>6000</v>
      </c>
      <c r="AG416" s="75">
        <v>6000</v>
      </c>
      <c r="AH416" s="75">
        <v>6000</v>
      </c>
      <c r="AI416" s="75">
        <v>6000</v>
      </c>
      <c r="AJ416" s="75">
        <v>6000</v>
      </c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 t="s">
        <v>494</v>
      </c>
      <c r="AY416" s="19" t="s">
        <v>386</v>
      </c>
      <c r="AZ416" s="27"/>
      <c r="BA416" s="27"/>
      <c r="BB416" s="27"/>
      <c r="BC416" s="27"/>
      <c r="BD416" s="27"/>
      <c r="BE416" s="27"/>
      <c r="BF416" s="27"/>
      <c r="BG416" s="27"/>
      <c r="BH416" s="27"/>
      <c r="BI416" s="27"/>
      <c r="BJ416" s="27"/>
      <c r="BK416" s="27"/>
      <c r="BL416" s="27"/>
      <c r="BM416" s="27"/>
      <c r="BN416" s="27"/>
      <c r="BO416" s="27"/>
      <c r="BP416" s="27">
        <f t="shared" si="143"/>
        <v>9900</v>
      </c>
      <c r="BQ416" s="27">
        <f t="shared" si="144"/>
        <v>9900</v>
      </c>
      <c r="BR416" s="27">
        <f t="shared" si="145"/>
        <v>9900</v>
      </c>
      <c r="BS416" s="27">
        <f t="shared" si="146"/>
        <v>0</v>
      </c>
      <c r="BT416" s="28">
        <f t="shared" si="141"/>
        <v>9900</v>
      </c>
      <c r="BU416" s="28">
        <f t="shared" si="138"/>
        <v>9900</v>
      </c>
      <c r="BV416" s="28">
        <f t="shared" si="139"/>
        <v>9900</v>
      </c>
      <c r="BW416" s="28">
        <f t="shared" si="140"/>
        <v>9900</v>
      </c>
    </row>
    <row r="417" spans="1:75" ht="17.399999999999999" x14ac:dyDescent="0.25">
      <c r="A417" s="69">
        <f t="shared" si="129"/>
        <v>416</v>
      </c>
      <c r="B417" s="71" t="s">
        <v>643</v>
      </c>
      <c r="C417" s="71" t="s">
        <v>243</v>
      </c>
      <c r="D417" s="71" t="s">
        <v>644</v>
      </c>
      <c r="E417" s="71" t="s">
        <v>533</v>
      </c>
      <c r="F417" s="71" t="s">
        <v>645</v>
      </c>
      <c r="G417" s="71" t="s">
        <v>322</v>
      </c>
      <c r="H417" s="71" t="s">
        <v>617</v>
      </c>
      <c r="I417" s="71" t="str">
        <f>VLOOKUP(H417,[1]Sheet1!$C:$C,1,0)</f>
        <v>SC2442UA-CP-10AK-2442</v>
      </c>
      <c r="J417" s="86"/>
      <c r="K417" s="71"/>
      <c r="L417" s="71" t="s">
        <v>639</v>
      </c>
      <c r="M417" s="85"/>
      <c r="N417" s="85"/>
      <c r="O417" s="85"/>
      <c r="P417" s="85"/>
      <c r="Q417" s="85"/>
      <c r="R417" s="100">
        <v>0.36</v>
      </c>
      <c r="S417" s="75">
        <f t="shared" si="142"/>
        <v>10800</v>
      </c>
      <c r="T417" s="76">
        <v>28800</v>
      </c>
      <c r="U417" s="76">
        <f t="shared" si="137"/>
        <v>30000</v>
      </c>
      <c r="V417" s="85"/>
      <c r="W417" s="85"/>
      <c r="X417" s="85"/>
      <c r="Y417" s="85"/>
      <c r="Z417" s="72">
        <v>10000</v>
      </c>
      <c r="AA417" s="72">
        <v>10000</v>
      </c>
      <c r="AB417" s="72">
        <v>10000</v>
      </c>
      <c r="AC417" s="72"/>
      <c r="AD417" s="77">
        <v>10000</v>
      </c>
      <c r="AE417" s="75">
        <v>10000</v>
      </c>
      <c r="AF417" s="75">
        <v>10000</v>
      </c>
      <c r="AG417" s="75">
        <v>10000</v>
      </c>
      <c r="AH417" s="75">
        <v>10000</v>
      </c>
      <c r="AI417" s="75">
        <v>10000</v>
      </c>
      <c r="AJ417" s="75">
        <v>10000</v>
      </c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 t="s">
        <v>494</v>
      </c>
      <c r="AY417" s="19" t="s">
        <v>261</v>
      </c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>
        <f t="shared" si="143"/>
        <v>3600</v>
      </c>
      <c r="BQ417" s="16">
        <f t="shared" si="144"/>
        <v>3600</v>
      </c>
      <c r="BR417" s="16">
        <f t="shared" si="145"/>
        <v>3600</v>
      </c>
      <c r="BS417" s="16">
        <f t="shared" si="146"/>
        <v>0</v>
      </c>
      <c r="BT417" s="17">
        <f t="shared" si="141"/>
        <v>3600</v>
      </c>
      <c r="BU417" s="28">
        <f t="shared" si="138"/>
        <v>3600</v>
      </c>
      <c r="BV417" s="28">
        <f t="shared" si="139"/>
        <v>3600</v>
      </c>
      <c r="BW417" s="28">
        <f t="shared" si="140"/>
        <v>3600</v>
      </c>
    </row>
    <row r="418" spans="1:75" ht="17.399999999999999" x14ac:dyDescent="0.25">
      <c r="A418" s="69">
        <f t="shared" si="129"/>
        <v>417</v>
      </c>
      <c r="B418" s="71" t="s">
        <v>646</v>
      </c>
      <c r="C418" s="71" t="s">
        <v>243</v>
      </c>
      <c r="D418" s="71" t="s">
        <v>644</v>
      </c>
      <c r="E418" s="71" t="s">
        <v>533</v>
      </c>
      <c r="F418" s="71" t="s">
        <v>645</v>
      </c>
      <c r="G418" s="71" t="s">
        <v>595</v>
      </c>
      <c r="H418" s="71" t="s">
        <v>596</v>
      </c>
      <c r="I418" s="71" t="str">
        <f>VLOOKUP(H418,[1]Sheet1!$C:$C,1,0)</f>
        <v>SC9648TS-AI-10AR-9648</v>
      </c>
      <c r="J418" s="71"/>
      <c r="K418" s="71"/>
      <c r="L418" s="71" t="s">
        <v>448</v>
      </c>
      <c r="M418" s="85"/>
      <c r="N418" s="85"/>
      <c r="O418" s="85"/>
      <c r="P418" s="85"/>
      <c r="Q418" s="85"/>
      <c r="R418" s="100">
        <v>1.25</v>
      </c>
      <c r="S418" s="75">
        <f t="shared" si="142"/>
        <v>495000</v>
      </c>
      <c r="T418" s="76">
        <v>632772</v>
      </c>
      <c r="U418" s="76">
        <f t="shared" si="137"/>
        <v>396000</v>
      </c>
      <c r="V418" s="85"/>
      <c r="W418" s="85"/>
      <c r="X418" s="85"/>
      <c r="Y418" s="85"/>
      <c r="Z418" s="72">
        <v>150000</v>
      </c>
      <c r="AA418" s="72">
        <v>60000</v>
      </c>
      <c r="AB418" s="72">
        <v>120000</v>
      </c>
      <c r="AC418" s="72">
        <v>300000</v>
      </c>
      <c r="AD418" s="77">
        <v>300000</v>
      </c>
      <c r="AE418" s="75">
        <v>300000</v>
      </c>
      <c r="AF418" s="75">
        <v>48000</v>
      </c>
      <c r="AG418" s="75">
        <v>48000</v>
      </c>
      <c r="AH418" s="75">
        <v>150000</v>
      </c>
      <c r="AI418" s="75">
        <v>150000</v>
      </c>
      <c r="AJ418" s="75">
        <v>150000</v>
      </c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 t="s">
        <v>494</v>
      </c>
      <c r="AY418" s="19" t="s">
        <v>386</v>
      </c>
      <c r="AZ418" s="27"/>
      <c r="BA418" s="27"/>
      <c r="BB418" s="27"/>
      <c r="BC418" s="27"/>
      <c r="BD418" s="27"/>
      <c r="BE418" s="27"/>
      <c r="BF418" s="27"/>
      <c r="BG418" s="27"/>
      <c r="BH418" s="27"/>
      <c r="BI418" s="27"/>
      <c r="BJ418" s="27"/>
      <c r="BK418" s="27"/>
      <c r="BL418" s="27"/>
      <c r="BM418" s="27"/>
      <c r="BN418" s="27"/>
      <c r="BO418" s="27"/>
      <c r="BP418" s="27">
        <f t="shared" si="143"/>
        <v>187500</v>
      </c>
      <c r="BQ418" s="27">
        <f t="shared" si="144"/>
        <v>75000</v>
      </c>
      <c r="BR418" s="27">
        <f t="shared" si="145"/>
        <v>150000</v>
      </c>
      <c r="BS418" s="27">
        <f t="shared" si="146"/>
        <v>375000</v>
      </c>
      <c r="BT418" s="28">
        <f t="shared" si="141"/>
        <v>375000</v>
      </c>
      <c r="BU418" s="28">
        <f t="shared" si="138"/>
        <v>375000</v>
      </c>
      <c r="BV418" s="28">
        <f t="shared" si="139"/>
        <v>60000</v>
      </c>
      <c r="BW418" s="28">
        <f t="shared" si="140"/>
        <v>60000</v>
      </c>
    </row>
    <row r="419" spans="1:75" ht="17.399999999999999" x14ac:dyDescent="0.25">
      <c r="A419" s="69">
        <f t="shared" si="129"/>
        <v>418</v>
      </c>
      <c r="B419" s="71" t="s">
        <v>646</v>
      </c>
      <c r="C419" s="71" t="s">
        <v>243</v>
      </c>
      <c r="D419" s="71" t="s">
        <v>644</v>
      </c>
      <c r="E419" s="71" t="s">
        <v>533</v>
      </c>
      <c r="F419" s="71" t="s">
        <v>645</v>
      </c>
      <c r="G419" s="71" t="s">
        <v>477</v>
      </c>
      <c r="H419" s="71" t="s">
        <v>647</v>
      </c>
      <c r="I419" s="71" t="str">
        <f>VLOOKUP(H419,[1]Sheet1!$C:$C,1,0)</f>
        <v>SC9642TS-E-Q-AH-4XLR-9642</v>
      </c>
      <c r="J419" s="71"/>
      <c r="K419" s="71"/>
      <c r="L419" s="71" t="s">
        <v>448</v>
      </c>
      <c r="M419" s="85"/>
      <c r="N419" s="85"/>
      <c r="O419" s="85"/>
      <c r="P419" s="85"/>
      <c r="Q419" s="85"/>
      <c r="R419" s="100">
        <v>2.2999999999999998</v>
      </c>
      <c r="S419" s="75">
        <f t="shared" si="142"/>
        <v>41400</v>
      </c>
      <c r="T419" s="76">
        <v>110399.99999999999</v>
      </c>
      <c r="U419" s="76">
        <f t="shared" si="137"/>
        <v>18000</v>
      </c>
      <c r="V419" s="85"/>
      <c r="W419" s="85"/>
      <c r="X419" s="85"/>
      <c r="Y419" s="85"/>
      <c r="Z419" s="72">
        <v>6000</v>
      </c>
      <c r="AA419" s="72">
        <v>6000</v>
      </c>
      <c r="AB419" s="72">
        <v>6000</v>
      </c>
      <c r="AC419" s="72">
        <v>6000</v>
      </c>
      <c r="AD419" s="77">
        <v>6000</v>
      </c>
      <c r="AE419" s="75">
        <v>6000</v>
      </c>
      <c r="AF419" s="75">
        <v>6000</v>
      </c>
      <c r="AG419" s="75">
        <v>6000</v>
      </c>
      <c r="AH419" s="75">
        <v>6000</v>
      </c>
      <c r="AI419" s="75">
        <v>6000</v>
      </c>
      <c r="AJ419" s="75">
        <v>6000</v>
      </c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 t="s">
        <v>494</v>
      </c>
      <c r="AY419" s="19" t="s">
        <v>386</v>
      </c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>
        <f t="shared" si="143"/>
        <v>13799.999999999998</v>
      </c>
      <c r="BQ419" s="16">
        <f t="shared" si="144"/>
        <v>13799.999999999998</v>
      </c>
      <c r="BR419" s="16">
        <f t="shared" si="145"/>
        <v>13799.999999999998</v>
      </c>
      <c r="BS419" s="16">
        <f t="shared" si="146"/>
        <v>13799.999999999998</v>
      </c>
      <c r="BT419" s="17">
        <f t="shared" si="141"/>
        <v>13799.999999999998</v>
      </c>
      <c r="BU419" s="28">
        <f t="shared" si="138"/>
        <v>13799.999999999998</v>
      </c>
      <c r="BV419" s="28">
        <f t="shared" si="139"/>
        <v>13799.999999999998</v>
      </c>
      <c r="BW419" s="28">
        <f t="shared" si="140"/>
        <v>13799.999999999998</v>
      </c>
    </row>
    <row r="420" spans="1:75" ht="17.399999999999999" x14ac:dyDescent="0.25">
      <c r="A420" s="69">
        <f t="shared" si="129"/>
        <v>419</v>
      </c>
      <c r="B420" s="71" t="s">
        <v>646</v>
      </c>
      <c r="C420" s="71" t="s">
        <v>243</v>
      </c>
      <c r="D420" s="71" t="s">
        <v>644</v>
      </c>
      <c r="E420" s="71" t="s">
        <v>533</v>
      </c>
      <c r="F420" s="71" t="s">
        <v>645</v>
      </c>
      <c r="G420" s="71" t="s">
        <v>473</v>
      </c>
      <c r="H420" s="71" t="s">
        <v>474</v>
      </c>
      <c r="I420" s="71" t="str">
        <f>VLOOKUP(H420,[1]Sheet1!$C:$C,1,0)</f>
        <v>SC9641TS-P-AI-10AR-41CPA</v>
      </c>
      <c r="J420" s="71"/>
      <c r="K420" s="71"/>
      <c r="L420" s="71" t="s">
        <v>448</v>
      </c>
      <c r="M420" s="85"/>
      <c r="N420" s="85"/>
      <c r="O420" s="85"/>
      <c r="P420" s="85"/>
      <c r="Q420" s="85"/>
      <c r="R420" s="100">
        <v>1.65</v>
      </c>
      <c r="S420" s="75">
        <f t="shared" si="142"/>
        <v>7425</v>
      </c>
      <c r="T420" s="76">
        <v>27599.999999999996</v>
      </c>
      <c r="U420" s="76">
        <f t="shared" si="137"/>
        <v>4500</v>
      </c>
      <c r="V420" s="85"/>
      <c r="W420" s="85"/>
      <c r="X420" s="85"/>
      <c r="Y420" s="85"/>
      <c r="Z420" s="72">
        <v>1500</v>
      </c>
      <c r="AA420" s="72">
        <v>1500</v>
      </c>
      <c r="AB420" s="72">
        <v>1500</v>
      </c>
      <c r="AC420" s="72">
        <v>1500</v>
      </c>
      <c r="AD420" s="77">
        <v>1500</v>
      </c>
      <c r="AE420" s="75">
        <v>1500</v>
      </c>
      <c r="AF420" s="75">
        <v>1500</v>
      </c>
      <c r="AG420" s="75">
        <v>1500</v>
      </c>
      <c r="AH420" s="75">
        <v>1500</v>
      </c>
      <c r="AI420" s="75">
        <v>1500</v>
      </c>
      <c r="AJ420" s="75">
        <v>1500</v>
      </c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 t="s">
        <v>494</v>
      </c>
      <c r="AY420" s="19" t="s">
        <v>386</v>
      </c>
      <c r="AZ420" s="27"/>
      <c r="BA420" s="27"/>
      <c r="BB420" s="27"/>
      <c r="BC420" s="27"/>
      <c r="BD420" s="27"/>
      <c r="BE420" s="27"/>
      <c r="BF420" s="27"/>
      <c r="BG420" s="27"/>
      <c r="BH420" s="27"/>
      <c r="BI420" s="27"/>
      <c r="BJ420" s="27"/>
      <c r="BK420" s="27"/>
      <c r="BL420" s="27"/>
      <c r="BM420" s="27"/>
      <c r="BN420" s="27"/>
      <c r="BO420" s="27"/>
      <c r="BP420" s="27">
        <f t="shared" si="143"/>
        <v>2475</v>
      </c>
      <c r="BQ420" s="27">
        <f t="shared" si="144"/>
        <v>2475</v>
      </c>
      <c r="BR420" s="27">
        <f t="shared" si="145"/>
        <v>2475</v>
      </c>
      <c r="BS420" s="27">
        <f t="shared" si="146"/>
        <v>2475</v>
      </c>
      <c r="BT420" s="28">
        <f t="shared" ref="BT420:BT451" si="147">$R420*AD420</f>
        <v>2475</v>
      </c>
      <c r="BU420" s="28">
        <f t="shared" si="138"/>
        <v>2475</v>
      </c>
      <c r="BV420" s="28">
        <f t="shared" si="139"/>
        <v>2475</v>
      </c>
      <c r="BW420" s="28">
        <f t="shared" si="140"/>
        <v>2475</v>
      </c>
    </row>
    <row r="421" spans="1:75" ht="17.399999999999999" x14ac:dyDescent="0.25">
      <c r="A421" s="69">
        <f t="shared" si="129"/>
        <v>420</v>
      </c>
      <c r="B421" s="71" t="s">
        <v>648</v>
      </c>
      <c r="C421" s="71" t="s">
        <v>243</v>
      </c>
      <c r="D421" s="71" t="s">
        <v>644</v>
      </c>
      <c r="E421" s="71" t="s">
        <v>533</v>
      </c>
      <c r="F421" s="71" t="s">
        <v>645</v>
      </c>
      <c r="G421" s="71" t="s">
        <v>434</v>
      </c>
      <c r="H421" s="71" t="s">
        <v>435</v>
      </c>
      <c r="I421" s="71" t="str">
        <f>VLOOKUP(H421,[1]Sheet1!$C:$C,1,0)</f>
        <v>SC4688SA-Q-DC-40CK-4688</v>
      </c>
      <c r="J421" s="71"/>
      <c r="K421" s="71"/>
      <c r="L421" s="71" t="s">
        <v>593</v>
      </c>
      <c r="M421" s="85"/>
      <c r="N421" s="85"/>
      <c r="O421" s="85"/>
      <c r="P421" s="85"/>
      <c r="Q421" s="85"/>
      <c r="R421" s="100">
        <v>2.58</v>
      </c>
      <c r="S421" s="75">
        <f t="shared" si="142"/>
        <v>77400</v>
      </c>
      <c r="T421" s="76">
        <v>232000</v>
      </c>
      <c r="U421" s="76">
        <f t="shared" si="137"/>
        <v>30000</v>
      </c>
      <c r="V421" s="85"/>
      <c r="W421" s="85"/>
      <c r="X421" s="85"/>
      <c r="Y421" s="85"/>
      <c r="Z421" s="72">
        <v>10000</v>
      </c>
      <c r="AA421" s="72">
        <v>10000</v>
      </c>
      <c r="AB421" s="72">
        <v>10000</v>
      </c>
      <c r="AC421" s="72">
        <v>10000</v>
      </c>
      <c r="AD421" s="77">
        <v>10000</v>
      </c>
      <c r="AE421" s="75">
        <v>10000</v>
      </c>
      <c r="AF421" s="75">
        <v>10000</v>
      </c>
      <c r="AG421" s="75">
        <v>10000</v>
      </c>
      <c r="AH421" s="75">
        <v>10000</v>
      </c>
      <c r="AI421" s="75">
        <v>10000</v>
      </c>
      <c r="AJ421" s="75">
        <v>10000</v>
      </c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 t="s">
        <v>494</v>
      </c>
      <c r="AY421" s="19" t="s">
        <v>371</v>
      </c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>
        <f t="shared" si="143"/>
        <v>25800</v>
      </c>
      <c r="BQ421" s="16">
        <f t="shared" si="144"/>
        <v>25800</v>
      </c>
      <c r="BR421" s="16">
        <f t="shared" si="145"/>
        <v>25800</v>
      </c>
      <c r="BS421" s="16">
        <f t="shared" si="146"/>
        <v>25800</v>
      </c>
      <c r="BT421" s="17">
        <f t="shared" si="147"/>
        <v>25800</v>
      </c>
      <c r="BU421" s="28">
        <f t="shared" si="138"/>
        <v>25800</v>
      </c>
      <c r="BV421" s="28">
        <f t="shared" si="139"/>
        <v>25800</v>
      </c>
      <c r="BW421" s="28">
        <f t="shared" si="140"/>
        <v>25800</v>
      </c>
    </row>
    <row r="422" spans="1:75" ht="17.399999999999999" x14ac:dyDescent="0.25">
      <c r="A422" s="69">
        <f t="shared" si="129"/>
        <v>421</v>
      </c>
      <c r="B422" s="71" t="s">
        <v>649</v>
      </c>
      <c r="C422" s="71" t="s">
        <v>243</v>
      </c>
      <c r="D422" s="71" t="s">
        <v>644</v>
      </c>
      <c r="E422" s="71" t="s">
        <v>533</v>
      </c>
      <c r="F422" s="71" t="s">
        <v>645</v>
      </c>
      <c r="G422" s="71" t="s">
        <v>384</v>
      </c>
      <c r="H422" s="71" t="s">
        <v>613</v>
      </c>
      <c r="I422" s="71" t="str">
        <f>VLOOKUP(H422,[1]Sheet1!$C:$C,1,0)</f>
        <v>SC9314UA-CF-0XAK-94M</v>
      </c>
      <c r="J422" s="71"/>
      <c r="K422" s="71"/>
      <c r="L422" s="71" t="s">
        <v>438</v>
      </c>
      <c r="M422" s="85"/>
      <c r="N422" s="85"/>
      <c r="O422" s="85"/>
      <c r="P422" s="85"/>
      <c r="Q422" s="85"/>
      <c r="R422" s="100">
        <v>1.2</v>
      </c>
      <c r="S422" s="75">
        <f t="shared" si="142"/>
        <v>18000</v>
      </c>
      <c r="T422" s="76">
        <v>72000</v>
      </c>
      <c r="U422" s="76">
        <f t="shared" si="137"/>
        <v>15000</v>
      </c>
      <c r="V422" s="85"/>
      <c r="W422" s="85"/>
      <c r="X422" s="85"/>
      <c r="Y422" s="85"/>
      <c r="Z422" s="72">
        <v>5000</v>
      </c>
      <c r="AA422" s="72">
        <v>5000</v>
      </c>
      <c r="AB422" s="72">
        <v>5000</v>
      </c>
      <c r="AC422" s="72">
        <v>5000</v>
      </c>
      <c r="AD422" s="77">
        <v>5000</v>
      </c>
      <c r="AE422" s="75">
        <v>5000</v>
      </c>
      <c r="AF422" s="75">
        <v>5000</v>
      </c>
      <c r="AG422" s="75">
        <v>5000</v>
      </c>
      <c r="AH422" s="75">
        <v>5000</v>
      </c>
      <c r="AI422" s="75">
        <v>5000</v>
      </c>
      <c r="AJ422" s="75">
        <v>5000</v>
      </c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 t="s">
        <v>494</v>
      </c>
      <c r="AY422" s="19" t="s">
        <v>386</v>
      </c>
      <c r="AZ422" s="27"/>
      <c r="BA422" s="27"/>
      <c r="BB422" s="27"/>
      <c r="BC422" s="27"/>
      <c r="BD422" s="27"/>
      <c r="BE422" s="27"/>
      <c r="BF422" s="27"/>
      <c r="BG422" s="27"/>
      <c r="BH422" s="27"/>
      <c r="BI422" s="27"/>
      <c r="BJ422" s="27"/>
      <c r="BK422" s="27"/>
      <c r="BL422" s="27"/>
      <c r="BM422" s="27"/>
      <c r="BN422" s="27"/>
      <c r="BO422" s="27"/>
      <c r="BP422" s="27">
        <f t="shared" si="143"/>
        <v>6000</v>
      </c>
      <c r="BQ422" s="27">
        <f t="shared" si="144"/>
        <v>6000</v>
      </c>
      <c r="BR422" s="27">
        <f t="shared" si="145"/>
        <v>6000</v>
      </c>
      <c r="BS422" s="27">
        <f t="shared" si="146"/>
        <v>6000</v>
      </c>
      <c r="BT422" s="28">
        <f t="shared" si="147"/>
        <v>6000</v>
      </c>
      <c r="BU422" s="28">
        <f t="shared" si="138"/>
        <v>6000</v>
      </c>
      <c r="BV422" s="28">
        <f t="shared" si="139"/>
        <v>6000</v>
      </c>
      <c r="BW422" s="28">
        <f t="shared" si="140"/>
        <v>6000</v>
      </c>
    </row>
    <row r="423" spans="1:75" ht="17.399999999999999" x14ac:dyDescent="0.25">
      <c r="A423" s="69">
        <f t="shared" si="129"/>
        <v>422</v>
      </c>
      <c r="B423" s="71" t="s">
        <v>649</v>
      </c>
      <c r="C423" s="71" t="s">
        <v>243</v>
      </c>
      <c r="D423" s="71" t="s">
        <v>644</v>
      </c>
      <c r="E423" s="71" t="s">
        <v>533</v>
      </c>
      <c r="F423" s="71" t="s">
        <v>645</v>
      </c>
      <c r="G423" s="78" t="s">
        <v>222</v>
      </c>
      <c r="H423" s="71" t="s">
        <v>388</v>
      </c>
      <c r="I423" s="71" t="str">
        <f>VLOOKUP(H423,[1]Sheet1!$C:$C,1,0)</f>
        <v>SC9625VB-CE-00CK-9625L</v>
      </c>
      <c r="J423" s="71"/>
      <c r="K423" s="71"/>
      <c r="L423" s="71" t="s">
        <v>439</v>
      </c>
      <c r="M423" s="85"/>
      <c r="N423" s="85"/>
      <c r="O423" s="85"/>
      <c r="P423" s="85"/>
      <c r="Q423" s="85"/>
      <c r="R423" s="100">
        <v>1.6</v>
      </c>
      <c r="S423" s="75">
        <f t="shared" si="142"/>
        <v>24000</v>
      </c>
      <c r="T423" s="76">
        <v>64000</v>
      </c>
      <c r="U423" s="76">
        <f t="shared" si="137"/>
        <v>15000</v>
      </c>
      <c r="V423" s="85"/>
      <c r="W423" s="85"/>
      <c r="X423" s="85"/>
      <c r="Y423" s="85"/>
      <c r="Z423" s="72">
        <v>5000</v>
      </c>
      <c r="AA423" s="72">
        <v>5000</v>
      </c>
      <c r="AB423" s="72">
        <v>5000</v>
      </c>
      <c r="AC423" s="72">
        <v>5000</v>
      </c>
      <c r="AD423" s="77">
        <v>5000</v>
      </c>
      <c r="AE423" s="75">
        <v>5000</v>
      </c>
      <c r="AF423" s="75">
        <v>5000</v>
      </c>
      <c r="AG423" s="75">
        <v>5000</v>
      </c>
      <c r="AH423" s="75">
        <v>5000</v>
      </c>
      <c r="AI423" s="75">
        <v>5000</v>
      </c>
      <c r="AJ423" s="75">
        <v>5000</v>
      </c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 t="s">
        <v>494</v>
      </c>
      <c r="AY423" s="19" t="s">
        <v>386</v>
      </c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>
        <f t="shared" si="143"/>
        <v>8000</v>
      </c>
      <c r="BQ423" s="16">
        <f t="shared" si="144"/>
        <v>8000</v>
      </c>
      <c r="BR423" s="16">
        <f t="shared" si="145"/>
        <v>8000</v>
      </c>
      <c r="BS423" s="16">
        <f t="shared" si="146"/>
        <v>8000</v>
      </c>
      <c r="BT423" s="17">
        <f t="shared" si="147"/>
        <v>8000</v>
      </c>
      <c r="BU423" s="28">
        <f t="shared" si="138"/>
        <v>8000</v>
      </c>
      <c r="BV423" s="28">
        <f t="shared" si="139"/>
        <v>8000</v>
      </c>
      <c r="BW423" s="28">
        <f t="shared" si="140"/>
        <v>8000</v>
      </c>
    </row>
    <row r="424" spans="1:75" ht="17.399999999999999" x14ac:dyDescent="0.25">
      <c r="A424" s="69">
        <f t="shared" si="129"/>
        <v>423</v>
      </c>
      <c r="B424" s="71" t="s">
        <v>650</v>
      </c>
      <c r="C424" s="71" t="s">
        <v>243</v>
      </c>
      <c r="D424" s="71" t="s">
        <v>644</v>
      </c>
      <c r="E424" s="71" t="s">
        <v>533</v>
      </c>
      <c r="F424" s="71" t="s">
        <v>645</v>
      </c>
      <c r="G424" s="71" t="s">
        <v>595</v>
      </c>
      <c r="H424" s="71" t="s">
        <v>596</v>
      </c>
      <c r="I424" s="71" t="str">
        <f>VLOOKUP(H424,[1]Sheet1!$C:$C,1,0)</f>
        <v>SC9648TS-AI-10AR-9648</v>
      </c>
      <c r="J424" s="71"/>
      <c r="K424" s="71"/>
      <c r="L424" s="71" t="s">
        <v>448</v>
      </c>
      <c r="M424" s="85"/>
      <c r="N424" s="85"/>
      <c r="O424" s="85"/>
      <c r="P424" s="85"/>
      <c r="Q424" s="85"/>
      <c r="R424" s="100">
        <v>1.25</v>
      </c>
      <c r="S424" s="75">
        <f t="shared" si="142"/>
        <v>75000</v>
      </c>
      <c r="T424" s="76">
        <v>338520</v>
      </c>
      <c r="U424" s="76">
        <f t="shared" si="137"/>
        <v>60000</v>
      </c>
      <c r="V424" s="85"/>
      <c r="W424" s="85"/>
      <c r="X424" s="85"/>
      <c r="Y424" s="85"/>
      <c r="Z424" s="72">
        <v>50000</v>
      </c>
      <c r="AA424" s="72">
        <v>30000</v>
      </c>
      <c r="AB424" s="72">
        <v>30000</v>
      </c>
      <c r="AC424" s="72">
        <v>0</v>
      </c>
      <c r="AD424" s="77">
        <v>0</v>
      </c>
      <c r="AE424" s="75">
        <v>0</v>
      </c>
      <c r="AF424" s="75">
        <v>30000</v>
      </c>
      <c r="AG424" s="75">
        <v>30000</v>
      </c>
      <c r="AH424" s="75">
        <v>30000</v>
      </c>
      <c r="AI424" s="75">
        <v>30000</v>
      </c>
      <c r="AJ424" s="75">
        <v>30000</v>
      </c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 t="s">
        <v>494</v>
      </c>
      <c r="AY424" s="19" t="s">
        <v>386</v>
      </c>
      <c r="AZ424" s="27"/>
      <c r="BA424" s="27"/>
      <c r="BB424" s="27"/>
      <c r="BC424" s="27"/>
      <c r="BD424" s="27"/>
      <c r="BE424" s="27"/>
      <c r="BF424" s="27"/>
      <c r="BG424" s="27"/>
      <c r="BH424" s="27"/>
      <c r="BI424" s="27"/>
      <c r="BJ424" s="27"/>
      <c r="BK424" s="27"/>
      <c r="BL424" s="27"/>
      <c r="BM424" s="27"/>
      <c r="BN424" s="27"/>
      <c r="BO424" s="27"/>
      <c r="BP424" s="27">
        <f t="shared" si="143"/>
        <v>62500</v>
      </c>
      <c r="BQ424" s="27">
        <f t="shared" si="144"/>
        <v>37500</v>
      </c>
      <c r="BR424" s="27">
        <f t="shared" si="145"/>
        <v>37500</v>
      </c>
      <c r="BS424" s="27">
        <f t="shared" si="146"/>
        <v>0</v>
      </c>
      <c r="BT424" s="28">
        <f t="shared" si="147"/>
        <v>0</v>
      </c>
      <c r="BU424" s="28">
        <f t="shared" si="138"/>
        <v>0</v>
      </c>
      <c r="BV424" s="28">
        <f t="shared" si="139"/>
        <v>37500</v>
      </c>
      <c r="BW424" s="28">
        <f t="shared" si="140"/>
        <v>37500</v>
      </c>
    </row>
    <row r="425" spans="1:75" ht="17.399999999999999" x14ac:dyDescent="0.25">
      <c r="A425" s="69">
        <f t="shared" ref="A425:A488" si="148">ROW()-1</f>
        <v>424</v>
      </c>
      <c r="B425" s="71" t="s">
        <v>650</v>
      </c>
      <c r="C425" s="71" t="s">
        <v>243</v>
      </c>
      <c r="D425" s="71" t="s">
        <v>644</v>
      </c>
      <c r="E425" s="71" t="s">
        <v>533</v>
      </c>
      <c r="F425" s="71" t="s">
        <v>645</v>
      </c>
      <c r="G425" s="71" t="s">
        <v>384</v>
      </c>
      <c r="H425" s="71" t="s">
        <v>613</v>
      </c>
      <c r="I425" s="71" t="str">
        <f>VLOOKUP(H425,[1]Sheet1!$C:$C,1,0)</f>
        <v>SC9314UA-CF-0XAK-94M</v>
      </c>
      <c r="J425" s="71"/>
      <c r="K425" s="71"/>
      <c r="L425" s="71" t="s">
        <v>438</v>
      </c>
      <c r="M425" s="85"/>
      <c r="N425" s="85"/>
      <c r="O425" s="85"/>
      <c r="P425" s="85"/>
      <c r="Q425" s="85"/>
      <c r="R425" s="100">
        <v>1.2</v>
      </c>
      <c r="S425" s="75">
        <f t="shared" si="142"/>
        <v>3600</v>
      </c>
      <c r="T425" s="76">
        <v>14400</v>
      </c>
      <c r="U425" s="76">
        <f t="shared" si="137"/>
        <v>3000</v>
      </c>
      <c r="V425" s="85"/>
      <c r="W425" s="85"/>
      <c r="X425" s="85"/>
      <c r="Y425" s="85"/>
      <c r="Z425" s="72">
        <v>1000</v>
      </c>
      <c r="AA425" s="72">
        <v>1000</v>
      </c>
      <c r="AB425" s="72">
        <v>1000</v>
      </c>
      <c r="AC425" s="72">
        <v>1000</v>
      </c>
      <c r="AD425" s="77">
        <v>1000</v>
      </c>
      <c r="AE425" s="75">
        <v>1000</v>
      </c>
      <c r="AF425" s="75">
        <v>1000</v>
      </c>
      <c r="AG425" s="75">
        <v>1000</v>
      </c>
      <c r="AH425" s="75">
        <v>1000</v>
      </c>
      <c r="AI425" s="75">
        <v>1000</v>
      </c>
      <c r="AJ425" s="75">
        <v>1000</v>
      </c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 t="s">
        <v>494</v>
      </c>
      <c r="AY425" s="19" t="s">
        <v>386</v>
      </c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>
        <f t="shared" si="143"/>
        <v>1200</v>
      </c>
      <c r="BQ425" s="16">
        <f t="shared" si="144"/>
        <v>1200</v>
      </c>
      <c r="BR425" s="16">
        <f t="shared" si="145"/>
        <v>1200</v>
      </c>
      <c r="BS425" s="16">
        <f t="shared" si="146"/>
        <v>1200</v>
      </c>
      <c r="BT425" s="17">
        <f t="shared" si="147"/>
        <v>1200</v>
      </c>
      <c r="BU425" s="28">
        <f t="shared" si="138"/>
        <v>1200</v>
      </c>
      <c r="BV425" s="28">
        <f t="shared" si="139"/>
        <v>1200</v>
      </c>
      <c r="BW425" s="28">
        <f t="shared" si="140"/>
        <v>1200</v>
      </c>
    </row>
    <row r="426" spans="1:75" ht="17.399999999999999" x14ac:dyDescent="0.25">
      <c r="A426" s="69">
        <f t="shared" si="148"/>
        <v>425</v>
      </c>
      <c r="B426" s="71" t="s">
        <v>651</v>
      </c>
      <c r="C426" s="71" t="s">
        <v>243</v>
      </c>
      <c r="D426" s="71" t="s">
        <v>644</v>
      </c>
      <c r="E426" s="71" t="s">
        <v>533</v>
      </c>
      <c r="F426" s="71" t="s">
        <v>645</v>
      </c>
      <c r="G426" s="71" t="s">
        <v>384</v>
      </c>
      <c r="H426" s="71" t="s">
        <v>613</v>
      </c>
      <c r="I426" s="71" t="str">
        <f>VLOOKUP(H426,[1]Sheet1!$C:$C,1,0)</f>
        <v>SC9314UA-CF-0XAK-94M</v>
      </c>
      <c r="J426" s="71"/>
      <c r="K426" s="71"/>
      <c r="L426" s="71" t="s">
        <v>438</v>
      </c>
      <c r="M426" s="85"/>
      <c r="N426" s="85"/>
      <c r="O426" s="85"/>
      <c r="P426" s="85"/>
      <c r="Q426" s="85"/>
      <c r="R426" s="100">
        <v>1.2</v>
      </c>
      <c r="S426" s="75">
        <f t="shared" si="142"/>
        <v>10800</v>
      </c>
      <c r="T426" s="76">
        <v>43200</v>
      </c>
      <c r="U426" s="76">
        <f t="shared" si="137"/>
        <v>9000</v>
      </c>
      <c r="V426" s="85"/>
      <c r="W426" s="85"/>
      <c r="X426" s="85"/>
      <c r="Y426" s="85"/>
      <c r="Z426" s="72">
        <v>3000</v>
      </c>
      <c r="AA426" s="72">
        <v>3000</v>
      </c>
      <c r="AB426" s="72">
        <v>3000</v>
      </c>
      <c r="AC426" s="72">
        <v>3000</v>
      </c>
      <c r="AD426" s="77">
        <v>3000</v>
      </c>
      <c r="AE426" s="75">
        <v>3000</v>
      </c>
      <c r="AF426" s="75">
        <v>3000</v>
      </c>
      <c r="AG426" s="75">
        <v>3000</v>
      </c>
      <c r="AH426" s="75">
        <v>3000</v>
      </c>
      <c r="AI426" s="75">
        <v>3000</v>
      </c>
      <c r="AJ426" s="75">
        <v>3000</v>
      </c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 t="s">
        <v>494</v>
      </c>
      <c r="AY426" s="19" t="s">
        <v>386</v>
      </c>
      <c r="AZ426" s="27"/>
      <c r="BA426" s="27"/>
      <c r="BB426" s="27"/>
      <c r="BC426" s="27"/>
      <c r="BD426" s="27"/>
      <c r="BE426" s="27"/>
      <c r="BF426" s="27"/>
      <c r="BG426" s="27"/>
      <c r="BH426" s="27"/>
      <c r="BI426" s="27"/>
      <c r="BJ426" s="27"/>
      <c r="BK426" s="27"/>
      <c r="BL426" s="27"/>
      <c r="BM426" s="27"/>
      <c r="BN426" s="27"/>
      <c r="BO426" s="27"/>
      <c r="BP426" s="27">
        <f t="shared" si="143"/>
        <v>3600</v>
      </c>
      <c r="BQ426" s="27">
        <f t="shared" si="144"/>
        <v>3600</v>
      </c>
      <c r="BR426" s="27">
        <f t="shared" si="145"/>
        <v>3600</v>
      </c>
      <c r="BS426" s="27">
        <f t="shared" si="146"/>
        <v>3600</v>
      </c>
      <c r="BT426" s="28">
        <f t="shared" si="147"/>
        <v>3600</v>
      </c>
      <c r="BU426" s="28">
        <f t="shared" si="138"/>
        <v>3600</v>
      </c>
      <c r="BV426" s="28">
        <f t="shared" si="139"/>
        <v>3600</v>
      </c>
      <c r="BW426" s="28">
        <f t="shared" si="140"/>
        <v>3600</v>
      </c>
    </row>
    <row r="427" spans="1:75" ht="17.399999999999999" x14ac:dyDescent="0.25">
      <c r="A427" s="69">
        <f t="shared" si="148"/>
        <v>426</v>
      </c>
      <c r="B427" s="71" t="s">
        <v>651</v>
      </c>
      <c r="C427" s="71" t="s">
        <v>243</v>
      </c>
      <c r="D427" s="71" t="s">
        <v>644</v>
      </c>
      <c r="E427" s="71" t="s">
        <v>533</v>
      </c>
      <c r="F427" s="71" t="s">
        <v>645</v>
      </c>
      <c r="G427" s="78" t="s">
        <v>222</v>
      </c>
      <c r="H427" s="71" t="s">
        <v>388</v>
      </c>
      <c r="I427" s="71" t="str">
        <f>VLOOKUP(H427,[1]Sheet1!$C:$C,1,0)</f>
        <v>SC9625VB-CE-00CK-9625L</v>
      </c>
      <c r="J427" s="71"/>
      <c r="K427" s="71"/>
      <c r="L427" s="71" t="s">
        <v>439</v>
      </c>
      <c r="M427" s="85"/>
      <c r="N427" s="85"/>
      <c r="O427" s="85"/>
      <c r="P427" s="85"/>
      <c r="Q427" s="85"/>
      <c r="R427" s="100">
        <v>1.6</v>
      </c>
      <c r="S427" s="75">
        <f t="shared" si="142"/>
        <v>7200</v>
      </c>
      <c r="T427" s="76">
        <v>19200</v>
      </c>
      <c r="U427" s="76">
        <f t="shared" si="137"/>
        <v>4500</v>
      </c>
      <c r="V427" s="85"/>
      <c r="W427" s="85"/>
      <c r="X427" s="85"/>
      <c r="Y427" s="85"/>
      <c r="Z427" s="72">
        <v>1500</v>
      </c>
      <c r="AA427" s="72">
        <v>1500</v>
      </c>
      <c r="AB427" s="72">
        <v>1500</v>
      </c>
      <c r="AC427" s="72">
        <v>1500</v>
      </c>
      <c r="AD427" s="77">
        <v>1500</v>
      </c>
      <c r="AE427" s="75">
        <v>1500</v>
      </c>
      <c r="AF427" s="75">
        <v>1500</v>
      </c>
      <c r="AG427" s="75">
        <v>1500</v>
      </c>
      <c r="AH427" s="75">
        <v>1500</v>
      </c>
      <c r="AI427" s="75">
        <v>1500</v>
      </c>
      <c r="AJ427" s="75">
        <v>1500</v>
      </c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 t="s">
        <v>494</v>
      </c>
      <c r="AY427" s="19" t="s">
        <v>386</v>
      </c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>
        <f t="shared" si="143"/>
        <v>2400</v>
      </c>
      <c r="BQ427" s="16">
        <f t="shared" si="144"/>
        <v>2400</v>
      </c>
      <c r="BR427" s="16">
        <f t="shared" si="145"/>
        <v>2400</v>
      </c>
      <c r="BS427" s="16">
        <f t="shared" si="146"/>
        <v>2400</v>
      </c>
      <c r="BT427" s="17">
        <f t="shared" si="147"/>
        <v>2400</v>
      </c>
      <c r="BU427" s="28">
        <f t="shared" si="138"/>
        <v>2400</v>
      </c>
      <c r="BV427" s="28">
        <f t="shared" si="139"/>
        <v>2400</v>
      </c>
      <c r="BW427" s="28">
        <f t="shared" si="140"/>
        <v>2400</v>
      </c>
    </row>
    <row r="428" spans="1:75" ht="17.399999999999999" x14ac:dyDescent="0.25">
      <c r="A428" s="69">
        <f t="shared" si="148"/>
        <v>427</v>
      </c>
      <c r="B428" s="71" t="s">
        <v>652</v>
      </c>
      <c r="C428" s="71" t="s">
        <v>243</v>
      </c>
      <c r="D428" s="71" t="s">
        <v>644</v>
      </c>
      <c r="E428" s="71" t="s">
        <v>533</v>
      </c>
      <c r="F428" s="71" t="s">
        <v>645</v>
      </c>
      <c r="G428" s="71" t="s">
        <v>322</v>
      </c>
      <c r="H428" s="71" t="s">
        <v>617</v>
      </c>
      <c r="I428" s="71" t="str">
        <f>VLOOKUP(H428,[1]Sheet1!$C:$C,1,0)</f>
        <v>SC2442UA-CP-10AK-2442</v>
      </c>
      <c r="J428" s="86"/>
      <c r="K428" s="71"/>
      <c r="L428" s="71" t="s">
        <v>653</v>
      </c>
      <c r="M428" s="85"/>
      <c r="N428" s="85"/>
      <c r="O428" s="85"/>
      <c r="P428" s="85"/>
      <c r="Q428" s="85"/>
      <c r="R428" s="100">
        <v>0.36</v>
      </c>
      <c r="S428" s="75">
        <f t="shared" si="142"/>
        <v>2160</v>
      </c>
      <c r="T428" s="76">
        <v>5760</v>
      </c>
      <c r="U428" s="76">
        <f t="shared" si="137"/>
        <v>6000</v>
      </c>
      <c r="V428" s="85"/>
      <c r="W428" s="85"/>
      <c r="X428" s="85"/>
      <c r="Y428" s="85"/>
      <c r="Z428" s="72">
        <v>2000</v>
      </c>
      <c r="AA428" s="72">
        <v>2000</v>
      </c>
      <c r="AB428" s="72">
        <v>2000</v>
      </c>
      <c r="AC428" s="72">
        <v>2000</v>
      </c>
      <c r="AD428" s="77">
        <v>2000</v>
      </c>
      <c r="AE428" s="75">
        <v>2000</v>
      </c>
      <c r="AF428" s="75">
        <v>2000</v>
      </c>
      <c r="AG428" s="75">
        <v>2000</v>
      </c>
      <c r="AH428" s="75">
        <v>2000</v>
      </c>
      <c r="AI428" s="75">
        <v>2000</v>
      </c>
      <c r="AJ428" s="75">
        <v>2000</v>
      </c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 t="s">
        <v>494</v>
      </c>
      <c r="AY428" s="19" t="s">
        <v>261</v>
      </c>
      <c r="AZ428" s="27"/>
      <c r="BA428" s="27"/>
      <c r="BB428" s="27"/>
      <c r="BC428" s="27"/>
      <c r="BD428" s="27"/>
      <c r="BE428" s="27"/>
      <c r="BF428" s="27"/>
      <c r="BG428" s="27"/>
      <c r="BH428" s="27"/>
      <c r="BI428" s="27"/>
      <c r="BJ428" s="27"/>
      <c r="BK428" s="27"/>
      <c r="BL428" s="27"/>
      <c r="BM428" s="27"/>
      <c r="BN428" s="27"/>
      <c r="BO428" s="27"/>
      <c r="BP428" s="27">
        <f t="shared" si="143"/>
        <v>720</v>
      </c>
      <c r="BQ428" s="27">
        <f t="shared" si="144"/>
        <v>720</v>
      </c>
      <c r="BR428" s="27">
        <f t="shared" si="145"/>
        <v>720</v>
      </c>
      <c r="BS428" s="27">
        <f t="shared" si="146"/>
        <v>720</v>
      </c>
      <c r="BT428" s="28">
        <f t="shared" si="147"/>
        <v>720</v>
      </c>
      <c r="BU428" s="28">
        <f t="shared" si="138"/>
        <v>720</v>
      </c>
      <c r="BV428" s="28">
        <f t="shared" si="139"/>
        <v>720</v>
      </c>
      <c r="BW428" s="28">
        <f t="shared" si="140"/>
        <v>720</v>
      </c>
    </row>
    <row r="429" spans="1:75" ht="17.399999999999999" x14ac:dyDescent="0.25">
      <c r="A429" s="69">
        <f t="shared" si="148"/>
        <v>428</v>
      </c>
      <c r="B429" s="71" t="s">
        <v>654</v>
      </c>
      <c r="C429" s="71" t="s">
        <v>243</v>
      </c>
      <c r="D429" s="71" t="s">
        <v>644</v>
      </c>
      <c r="E429" s="71" t="s">
        <v>533</v>
      </c>
      <c r="F429" s="71" t="s">
        <v>645</v>
      </c>
      <c r="G429" s="71" t="s">
        <v>434</v>
      </c>
      <c r="H429" s="71" t="s">
        <v>435</v>
      </c>
      <c r="I429" s="71" t="str">
        <f>VLOOKUP(H429,[1]Sheet1!$C:$C,1,0)</f>
        <v>SC4688SA-Q-DC-40CK-4688</v>
      </c>
      <c r="J429" s="71"/>
      <c r="K429" s="71"/>
      <c r="L429" s="71" t="s">
        <v>615</v>
      </c>
      <c r="M429" s="85"/>
      <c r="N429" s="85"/>
      <c r="O429" s="85"/>
      <c r="P429" s="85"/>
      <c r="Q429" s="85"/>
      <c r="R429" s="100">
        <v>2.58</v>
      </c>
      <c r="S429" s="75">
        <f t="shared" si="142"/>
        <v>15480</v>
      </c>
      <c r="T429" s="76">
        <v>46400</v>
      </c>
      <c r="U429" s="76">
        <f t="shared" si="137"/>
        <v>6000</v>
      </c>
      <c r="V429" s="85"/>
      <c r="W429" s="85"/>
      <c r="X429" s="85"/>
      <c r="Y429" s="85"/>
      <c r="Z429" s="72">
        <v>2000</v>
      </c>
      <c r="AA429" s="72">
        <v>2000</v>
      </c>
      <c r="AB429" s="72">
        <v>2000</v>
      </c>
      <c r="AC429" s="72">
        <v>10000</v>
      </c>
      <c r="AD429" s="77">
        <v>2000</v>
      </c>
      <c r="AE429" s="75">
        <v>2000</v>
      </c>
      <c r="AF429" s="75">
        <v>2000</v>
      </c>
      <c r="AG429" s="75">
        <v>2000</v>
      </c>
      <c r="AH429" s="75">
        <v>2000</v>
      </c>
      <c r="AI429" s="75">
        <v>2000</v>
      </c>
      <c r="AJ429" s="75">
        <v>2000</v>
      </c>
      <c r="AK429" s="11">
        <v>10000</v>
      </c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 t="s">
        <v>494</v>
      </c>
      <c r="AY429" s="19" t="s">
        <v>371</v>
      </c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>
        <f t="shared" si="143"/>
        <v>5160</v>
      </c>
      <c r="BQ429" s="16">
        <f t="shared" si="144"/>
        <v>5160</v>
      </c>
      <c r="BR429" s="16">
        <f t="shared" si="145"/>
        <v>5160</v>
      </c>
      <c r="BS429" s="16">
        <f t="shared" si="146"/>
        <v>25800</v>
      </c>
      <c r="BT429" s="17">
        <f t="shared" si="147"/>
        <v>5160</v>
      </c>
      <c r="BU429" s="28">
        <f t="shared" si="138"/>
        <v>5160</v>
      </c>
      <c r="BV429" s="28">
        <f t="shared" si="139"/>
        <v>5160</v>
      </c>
      <c r="BW429" s="28">
        <f t="shared" si="140"/>
        <v>5160</v>
      </c>
    </row>
    <row r="430" spans="1:75" ht="17.399999999999999" x14ac:dyDescent="0.25">
      <c r="A430" s="69">
        <f t="shared" si="148"/>
        <v>429</v>
      </c>
      <c r="B430" s="71" t="s">
        <v>655</v>
      </c>
      <c r="C430" s="71" t="s">
        <v>243</v>
      </c>
      <c r="D430" s="71" t="s">
        <v>644</v>
      </c>
      <c r="E430" s="71" t="s">
        <v>533</v>
      </c>
      <c r="F430" s="71" t="s">
        <v>645</v>
      </c>
      <c r="G430" s="71" t="s">
        <v>322</v>
      </c>
      <c r="H430" s="71" t="s">
        <v>617</v>
      </c>
      <c r="I430" s="71" t="str">
        <f>VLOOKUP(H430,[1]Sheet1!$C:$C,1,0)</f>
        <v>SC2442UA-CP-10AK-2442</v>
      </c>
      <c r="J430" s="86"/>
      <c r="K430" s="71"/>
      <c r="L430" s="71" t="s">
        <v>639</v>
      </c>
      <c r="M430" s="85"/>
      <c r="N430" s="85"/>
      <c r="O430" s="85"/>
      <c r="P430" s="85"/>
      <c r="Q430" s="85"/>
      <c r="R430" s="100">
        <v>0.36</v>
      </c>
      <c r="S430" s="75">
        <f t="shared" si="142"/>
        <v>21600</v>
      </c>
      <c r="T430" s="76">
        <v>57600</v>
      </c>
      <c r="U430" s="76">
        <f t="shared" si="137"/>
        <v>60000</v>
      </c>
      <c r="V430" s="85"/>
      <c r="W430" s="85"/>
      <c r="X430" s="85"/>
      <c r="Y430" s="85"/>
      <c r="Z430" s="72">
        <v>20000</v>
      </c>
      <c r="AA430" s="72">
        <v>20000</v>
      </c>
      <c r="AB430" s="72">
        <v>20000</v>
      </c>
      <c r="AC430" s="72">
        <v>20000</v>
      </c>
      <c r="AD430" s="77">
        <v>20000</v>
      </c>
      <c r="AE430" s="75">
        <v>20000</v>
      </c>
      <c r="AF430" s="75">
        <v>20000</v>
      </c>
      <c r="AG430" s="75">
        <v>20000</v>
      </c>
      <c r="AH430" s="75">
        <v>20000</v>
      </c>
      <c r="AI430" s="75">
        <v>20000</v>
      </c>
      <c r="AJ430" s="75">
        <v>20000</v>
      </c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 t="s">
        <v>494</v>
      </c>
      <c r="AY430" s="19" t="s">
        <v>261</v>
      </c>
      <c r="AZ430" s="27"/>
      <c r="BA430" s="27"/>
      <c r="BB430" s="27"/>
      <c r="BC430" s="27"/>
      <c r="BD430" s="27"/>
      <c r="BE430" s="27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>
        <f t="shared" si="143"/>
        <v>7200</v>
      </c>
      <c r="BQ430" s="27">
        <f t="shared" si="144"/>
        <v>7200</v>
      </c>
      <c r="BR430" s="27">
        <f t="shared" si="145"/>
        <v>7200</v>
      </c>
      <c r="BS430" s="27">
        <f t="shared" si="146"/>
        <v>7200</v>
      </c>
      <c r="BT430" s="28">
        <f t="shared" si="147"/>
        <v>7200</v>
      </c>
      <c r="BU430" s="28">
        <f t="shared" si="138"/>
        <v>7200</v>
      </c>
      <c r="BV430" s="28">
        <f t="shared" si="139"/>
        <v>7200</v>
      </c>
      <c r="BW430" s="28">
        <f t="shared" si="140"/>
        <v>7200</v>
      </c>
    </row>
    <row r="431" spans="1:75" ht="17.399999999999999" x14ac:dyDescent="0.25">
      <c r="A431" s="69">
        <f t="shared" si="148"/>
        <v>430</v>
      </c>
      <c r="B431" s="71" t="s">
        <v>655</v>
      </c>
      <c r="C431" s="71" t="s">
        <v>243</v>
      </c>
      <c r="D431" s="71" t="s">
        <v>644</v>
      </c>
      <c r="E431" s="71" t="s">
        <v>533</v>
      </c>
      <c r="F431" s="71" t="s">
        <v>645</v>
      </c>
      <c r="G431" s="71" t="s">
        <v>610</v>
      </c>
      <c r="H431" s="71" t="s">
        <v>611</v>
      </c>
      <c r="I431" s="71" t="str">
        <f>VLOOKUP(H431,[1]Sheet1!$C:$C,1,0)</f>
        <v>SC69401HS-Q-HD-4XTR-69401</v>
      </c>
      <c r="J431" s="71"/>
      <c r="K431" s="71"/>
      <c r="L431" s="71" t="s">
        <v>615</v>
      </c>
      <c r="M431" s="85"/>
      <c r="N431" s="85"/>
      <c r="O431" s="85"/>
      <c r="P431" s="85"/>
      <c r="Q431" s="85"/>
      <c r="R431" s="100">
        <v>4.2</v>
      </c>
      <c r="S431" s="75">
        <f t="shared" si="142"/>
        <v>0</v>
      </c>
      <c r="T431" s="76">
        <v>8400</v>
      </c>
      <c r="U431" s="76">
        <f t="shared" si="137"/>
        <v>0</v>
      </c>
      <c r="V431" s="85"/>
      <c r="W431" s="85"/>
      <c r="X431" s="85"/>
      <c r="Y431" s="85"/>
      <c r="Z431" s="72">
        <v>500</v>
      </c>
      <c r="AA431" s="72">
        <v>0</v>
      </c>
      <c r="AB431" s="72">
        <v>500</v>
      </c>
      <c r="AC431" s="72">
        <v>0</v>
      </c>
      <c r="AD431" s="77"/>
      <c r="AE431" s="75"/>
      <c r="AF431" s="75"/>
      <c r="AG431" s="75">
        <v>0</v>
      </c>
      <c r="AH431" s="75">
        <v>0</v>
      </c>
      <c r="AI431" s="75"/>
      <c r="AJ431" s="75">
        <v>0</v>
      </c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 t="s">
        <v>494</v>
      </c>
      <c r="AY431" s="19" t="s">
        <v>371</v>
      </c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>
        <f t="shared" si="143"/>
        <v>2100</v>
      </c>
      <c r="BQ431" s="16">
        <f t="shared" si="144"/>
        <v>0</v>
      </c>
      <c r="BR431" s="16">
        <f t="shared" si="145"/>
        <v>2100</v>
      </c>
      <c r="BS431" s="16">
        <f t="shared" si="146"/>
        <v>0</v>
      </c>
      <c r="BT431" s="17">
        <f t="shared" si="147"/>
        <v>0</v>
      </c>
      <c r="BU431" s="28">
        <f t="shared" si="138"/>
        <v>0</v>
      </c>
      <c r="BV431" s="28">
        <f t="shared" si="139"/>
        <v>0</v>
      </c>
      <c r="BW431" s="28">
        <f t="shared" si="140"/>
        <v>0</v>
      </c>
    </row>
    <row r="432" spans="1:75" ht="17.399999999999999" x14ac:dyDescent="0.25">
      <c r="A432" s="69">
        <f t="shared" si="148"/>
        <v>431</v>
      </c>
      <c r="B432" s="71" t="s">
        <v>656</v>
      </c>
      <c r="C432" s="71" t="s">
        <v>243</v>
      </c>
      <c r="D432" s="71" t="s">
        <v>644</v>
      </c>
      <c r="E432" s="71" t="s">
        <v>533</v>
      </c>
      <c r="F432" s="71" t="s">
        <v>645</v>
      </c>
      <c r="G432" s="71" t="s">
        <v>242</v>
      </c>
      <c r="H432" s="71" t="s">
        <v>370</v>
      </c>
      <c r="I432" s="71" t="str">
        <f>VLOOKUP(H432,[1]Sheet1!$C:$C,1,0)</f>
        <v>SC4688DC-Q-DC-40CR-4688</v>
      </c>
      <c r="J432" s="71"/>
      <c r="K432" s="71"/>
      <c r="L432" s="71" t="s">
        <v>657</v>
      </c>
      <c r="M432" s="85"/>
      <c r="N432" s="85"/>
      <c r="O432" s="85"/>
      <c r="P432" s="85"/>
      <c r="Q432" s="85"/>
      <c r="R432" s="100">
        <v>2.4</v>
      </c>
      <c r="S432" s="75">
        <f t="shared" si="142"/>
        <v>144000</v>
      </c>
      <c r="T432" s="76">
        <v>400000</v>
      </c>
      <c r="U432" s="76">
        <f t="shared" si="137"/>
        <v>60000</v>
      </c>
      <c r="V432" s="85"/>
      <c r="W432" s="85"/>
      <c r="X432" s="85"/>
      <c r="Y432" s="85"/>
      <c r="Z432" s="72">
        <v>20000</v>
      </c>
      <c r="AA432" s="72">
        <v>20000</v>
      </c>
      <c r="AB432" s="72">
        <v>20000</v>
      </c>
      <c r="AC432" s="72">
        <v>20000</v>
      </c>
      <c r="AD432" s="77">
        <v>20000</v>
      </c>
      <c r="AE432" s="75">
        <v>20000</v>
      </c>
      <c r="AF432" s="75">
        <v>20000</v>
      </c>
      <c r="AG432" s="75">
        <v>20000</v>
      </c>
      <c r="AH432" s="75">
        <v>20000</v>
      </c>
      <c r="AI432" s="75">
        <v>20000</v>
      </c>
      <c r="AJ432" s="75">
        <v>20000</v>
      </c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 t="s">
        <v>494</v>
      </c>
      <c r="AY432" s="19" t="s">
        <v>371</v>
      </c>
      <c r="AZ432" s="27"/>
      <c r="BA432" s="27"/>
      <c r="BB432" s="27"/>
      <c r="BC432" s="27"/>
      <c r="BD432" s="27"/>
      <c r="BE432" s="27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>
        <f t="shared" si="143"/>
        <v>48000</v>
      </c>
      <c r="BQ432" s="27">
        <f t="shared" si="144"/>
        <v>48000</v>
      </c>
      <c r="BR432" s="27">
        <f t="shared" si="145"/>
        <v>48000</v>
      </c>
      <c r="BS432" s="27">
        <f t="shared" si="146"/>
        <v>48000</v>
      </c>
      <c r="BT432" s="28">
        <f t="shared" si="147"/>
        <v>48000</v>
      </c>
      <c r="BU432" s="28">
        <f t="shared" si="138"/>
        <v>48000</v>
      </c>
      <c r="BV432" s="28">
        <f t="shared" si="139"/>
        <v>48000</v>
      </c>
      <c r="BW432" s="28">
        <f t="shared" si="140"/>
        <v>48000</v>
      </c>
    </row>
    <row r="433" spans="1:75" ht="17.399999999999999" x14ac:dyDescent="0.25">
      <c r="A433" s="69">
        <f t="shared" si="148"/>
        <v>432</v>
      </c>
      <c r="B433" s="71" t="s">
        <v>658</v>
      </c>
      <c r="C433" s="71" t="s">
        <v>243</v>
      </c>
      <c r="D433" s="71" t="s">
        <v>644</v>
      </c>
      <c r="E433" s="71" t="s">
        <v>533</v>
      </c>
      <c r="F433" s="71" t="s">
        <v>645</v>
      </c>
      <c r="G433" s="71" t="s">
        <v>242</v>
      </c>
      <c r="H433" s="71" t="s">
        <v>370</v>
      </c>
      <c r="I433" s="71" t="str">
        <f>VLOOKUP(H433,[1]Sheet1!$C:$C,1,0)</f>
        <v>SC4688DC-Q-DC-40CR-4688</v>
      </c>
      <c r="J433" s="71"/>
      <c r="K433" s="71"/>
      <c r="L433" s="71" t="s">
        <v>657</v>
      </c>
      <c r="M433" s="85"/>
      <c r="N433" s="85"/>
      <c r="O433" s="85"/>
      <c r="P433" s="85"/>
      <c r="Q433" s="85"/>
      <c r="R433" s="100">
        <v>2.4</v>
      </c>
      <c r="S433" s="75">
        <f t="shared" si="142"/>
        <v>86400</v>
      </c>
      <c r="T433" s="76">
        <v>260000</v>
      </c>
      <c r="U433" s="76">
        <f t="shared" si="137"/>
        <v>36000</v>
      </c>
      <c r="V433" s="85"/>
      <c r="W433" s="85"/>
      <c r="X433" s="85"/>
      <c r="Y433" s="85"/>
      <c r="Z433" s="72">
        <v>20000</v>
      </c>
      <c r="AA433" s="72">
        <v>12000</v>
      </c>
      <c r="AB433" s="72">
        <v>12000</v>
      </c>
      <c r="AC433" s="72">
        <v>12000</v>
      </c>
      <c r="AD433" s="77">
        <v>12000</v>
      </c>
      <c r="AE433" s="75">
        <v>12000</v>
      </c>
      <c r="AF433" s="75">
        <v>12000</v>
      </c>
      <c r="AG433" s="75">
        <v>12000</v>
      </c>
      <c r="AH433" s="75">
        <v>12000</v>
      </c>
      <c r="AI433" s="75">
        <v>12000</v>
      </c>
      <c r="AJ433" s="75">
        <v>12000</v>
      </c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 t="s">
        <v>494</v>
      </c>
      <c r="AY433" s="19" t="s">
        <v>371</v>
      </c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>
        <f t="shared" si="143"/>
        <v>48000</v>
      </c>
      <c r="BQ433" s="16">
        <f t="shared" si="144"/>
        <v>28800</v>
      </c>
      <c r="BR433" s="16">
        <f t="shared" si="145"/>
        <v>28800</v>
      </c>
      <c r="BS433" s="16">
        <f t="shared" si="146"/>
        <v>28800</v>
      </c>
      <c r="BT433" s="17">
        <f t="shared" si="147"/>
        <v>28800</v>
      </c>
      <c r="BU433" s="28">
        <f t="shared" si="138"/>
        <v>28800</v>
      </c>
      <c r="BV433" s="28">
        <f t="shared" si="139"/>
        <v>28800</v>
      </c>
      <c r="BW433" s="28">
        <f t="shared" si="140"/>
        <v>28800</v>
      </c>
    </row>
    <row r="434" spans="1:75" ht="17.399999999999999" x14ac:dyDescent="0.25">
      <c r="A434" s="69">
        <f t="shared" si="148"/>
        <v>433</v>
      </c>
      <c r="B434" s="71" t="s">
        <v>659</v>
      </c>
      <c r="C434" s="71" t="s">
        <v>243</v>
      </c>
      <c r="D434" s="71" t="s">
        <v>644</v>
      </c>
      <c r="E434" s="71" t="s">
        <v>533</v>
      </c>
      <c r="F434" s="71" t="s">
        <v>645</v>
      </c>
      <c r="G434" s="71" t="s">
        <v>434</v>
      </c>
      <c r="H434" s="71" t="s">
        <v>435</v>
      </c>
      <c r="I434" s="71" t="str">
        <f>VLOOKUP(H434,[1]Sheet1!$C:$C,1,0)</f>
        <v>SC4688SA-Q-DC-40CK-4688</v>
      </c>
      <c r="J434" s="71"/>
      <c r="K434" s="71"/>
      <c r="L434" s="71" t="s">
        <v>660</v>
      </c>
      <c r="M434" s="85"/>
      <c r="N434" s="85"/>
      <c r="O434" s="85"/>
      <c r="P434" s="85"/>
      <c r="Q434" s="85"/>
      <c r="R434" s="100">
        <v>2.58</v>
      </c>
      <c r="S434" s="75">
        <f t="shared" si="142"/>
        <v>30960</v>
      </c>
      <c r="T434" s="76">
        <v>92800</v>
      </c>
      <c r="U434" s="76">
        <f t="shared" si="137"/>
        <v>12000</v>
      </c>
      <c r="V434" s="85"/>
      <c r="W434" s="85"/>
      <c r="X434" s="85"/>
      <c r="Y434" s="85"/>
      <c r="Z434" s="72">
        <v>4000</v>
      </c>
      <c r="AA434" s="72">
        <v>4000</v>
      </c>
      <c r="AB434" s="72">
        <v>4000</v>
      </c>
      <c r="AC434" s="72">
        <v>4000</v>
      </c>
      <c r="AD434" s="77">
        <v>4000</v>
      </c>
      <c r="AE434" s="75">
        <v>4000</v>
      </c>
      <c r="AF434" s="75">
        <v>4000</v>
      </c>
      <c r="AG434" s="75">
        <v>4000</v>
      </c>
      <c r="AH434" s="75">
        <v>4000</v>
      </c>
      <c r="AI434" s="75">
        <v>4000</v>
      </c>
      <c r="AJ434" s="75">
        <v>4000</v>
      </c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 t="s">
        <v>494</v>
      </c>
      <c r="AY434" s="19" t="s">
        <v>371</v>
      </c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>
        <f t="shared" si="143"/>
        <v>10320</v>
      </c>
      <c r="BQ434" s="27">
        <f t="shared" si="144"/>
        <v>10320</v>
      </c>
      <c r="BR434" s="27">
        <f t="shared" si="145"/>
        <v>10320</v>
      </c>
      <c r="BS434" s="27">
        <f t="shared" si="146"/>
        <v>10320</v>
      </c>
      <c r="BT434" s="28">
        <f t="shared" si="147"/>
        <v>10320</v>
      </c>
      <c r="BU434" s="28">
        <f t="shared" si="138"/>
        <v>10320</v>
      </c>
      <c r="BV434" s="28">
        <f t="shared" si="139"/>
        <v>10320</v>
      </c>
      <c r="BW434" s="28">
        <f t="shared" si="140"/>
        <v>10320</v>
      </c>
    </row>
    <row r="435" spans="1:75" ht="17.399999999999999" x14ac:dyDescent="0.25">
      <c r="A435" s="69">
        <f t="shared" si="148"/>
        <v>434</v>
      </c>
      <c r="B435" s="71" t="s">
        <v>661</v>
      </c>
      <c r="C435" s="71" t="s">
        <v>243</v>
      </c>
      <c r="D435" s="71" t="s">
        <v>644</v>
      </c>
      <c r="E435" s="71" t="s">
        <v>533</v>
      </c>
      <c r="F435" s="71" t="s">
        <v>645</v>
      </c>
      <c r="G435" s="71" t="s">
        <v>473</v>
      </c>
      <c r="H435" s="71" t="s">
        <v>474</v>
      </c>
      <c r="I435" s="71" t="str">
        <f>VLOOKUP(H435,[1]Sheet1!$C:$C,1,0)</f>
        <v>SC9641TS-P-AI-10AR-41CPA</v>
      </c>
      <c r="J435" s="71"/>
      <c r="K435" s="71"/>
      <c r="L435" s="71" t="s">
        <v>448</v>
      </c>
      <c r="M435" s="85"/>
      <c r="N435" s="85"/>
      <c r="O435" s="85"/>
      <c r="P435" s="85"/>
      <c r="Q435" s="85"/>
      <c r="R435" s="100">
        <v>1.65</v>
      </c>
      <c r="S435" s="75">
        <f t="shared" si="142"/>
        <v>7425</v>
      </c>
      <c r="T435" s="76">
        <v>27599.999999999996</v>
      </c>
      <c r="U435" s="76">
        <f t="shared" si="137"/>
        <v>4500</v>
      </c>
      <c r="V435" s="85"/>
      <c r="W435" s="85"/>
      <c r="X435" s="85"/>
      <c r="Y435" s="85"/>
      <c r="Z435" s="72">
        <v>1500</v>
      </c>
      <c r="AA435" s="72">
        <v>1500</v>
      </c>
      <c r="AB435" s="72">
        <v>1500</v>
      </c>
      <c r="AC435" s="72">
        <v>1500</v>
      </c>
      <c r="AD435" s="77">
        <v>1500</v>
      </c>
      <c r="AE435" s="75">
        <v>1500</v>
      </c>
      <c r="AF435" s="75">
        <v>1500</v>
      </c>
      <c r="AG435" s="75">
        <v>1500</v>
      </c>
      <c r="AH435" s="75">
        <v>1500</v>
      </c>
      <c r="AI435" s="75">
        <v>1500</v>
      </c>
      <c r="AJ435" s="75">
        <v>1500</v>
      </c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 t="s">
        <v>494</v>
      </c>
      <c r="AY435" s="19" t="s">
        <v>386</v>
      </c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>
        <f t="shared" si="143"/>
        <v>2475</v>
      </c>
      <c r="BQ435" s="16">
        <f t="shared" si="144"/>
        <v>2475</v>
      </c>
      <c r="BR435" s="16">
        <f t="shared" si="145"/>
        <v>2475</v>
      </c>
      <c r="BS435" s="16">
        <f t="shared" si="146"/>
        <v>2475</v>
      </c>
      <c r="BT435" s="17">
        <f t="shared" si="147"/>
        <v>2475</v>
      </c>
      <c r="BU435" s="28">
        <f t="shared" si="138"/>
        <v>2475</v>
      </c>
      <c r="BV435" s="28">
        <f t="shared" si="139"/>
        <v>2475</v>
      </c>
      <c r="BW435" s="28">
        <f t="shared" si="140"/>
        <v>2475</v>
      </c>
    </row>
    <row r="436" spans="1:75" ht="17.399999999999999" x14ac:dyDescent="0.25">
      <c r="A436" s="69">
        <f t="shared" si="148"/>
        <v>435</v>
      </c>
      <c r="B436" s="71" t="s">
        <v>662</v>
      </c>
      <c r="C436" s="71" t="s">
        <v>243</v>
      </c>
      <c r="D436" s="71" t="s">
        <v>644</v>
      </c>
      <c r="E436" s="71" t="s">
        <v>533</v>
      </c>
      <c r="F436" s="71" t="s">
        <v>645</v>
      </c>
      <c r="G436" s="71" t="s">
        <v>473</v>
      </c>
      <c r="H436" s="71" t="s">
        <v>474</v>
      </c>
      <c r="I436" s="71" t="str">
        <f>VLOOKUP(H436,[1]Sheet1!$C:$C,1,0)</f>
        <v>SC9641TS-P-AI-10AR-41CPA</v>
      </c>
      <c r="J436" s="71"/>
      <c r="K436" s="71"/>
      <c r="L436" s="71" t="s">
        <v>448</v>
      </c>
      <c r="M436" s="85"/>
      <c r="N436" s="85"/>
      <c r="O436" s="85"/>
      <c r="P436" s="85"/>
      <c r="Q436" s="85"/>
      <c r="R436" s="100">
        <v>1.65</v>
      </c>
      <c r="S436" s="75">
        <f t="shared" ref="S436:S463" si="149">R436*U436</f>
        <v>14850</v>
      </c>
      <c r="T436" s="76">
        <v>55199.999999999993</v>
      </c>
      <c r="U436" s="76">
        <f t="shared" si="137"/>
        <v>9000</v>
      </c>
      <c r="V436" s="85"/>
      <c r="W436" s="85"/>
      <c r="X436" s="85"/>
      <c r="Y436" s="85"/>
      <c r="Z436" s="72">
        <v>3000</v>
      </c>
      <c r="AA436" s="72">
        <v>3000</v>
      </c>
      <c r="AB436" s="72">
        <v>3000</v>
      </c>
      <c r="AC436" s="72">
        <v>3000</v>
      </c>
      <c r="AD436" s="77">
        <v>3000</v>
      </c>
      <c r="AE436" s="75">
        <v>3000</v>
      </c>
      <c r="AF436" s="75">
        <v>3000</v>
      </c>
      <c r="AG436" s="75">
        <v>3000</v>
      </c>
      <c r="AH436" s="75">
        <v>3000</v>
      </c>
      <c r="AI436" s="75">
        <v>3000</v>
      </c>
      <c r="AJ436" s="75">
        <v>3000</v>
      </c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 t="s">
        <v>494</v>
      </c>
      <c r="AY436" s="19" t="s">
        <v>386</v>
      </c>
      <c r="AZ436" s="27"/>
      <c r="BA436" s="27"/>
      <c r="BB436" s="27"/>
      <c r="BC436" s="27"/>
      <c r="BD436" s="27"/>
      <c r="BE436" s="27"/>
      <c r="BF436" s="27"/>
      <c r="BG436" s="27"/>
      <c r="BH436" s="27"/>
      <c r="BI436" s="27"/>
      <c r="BJ436" s="27"/>
      <c r="BK436" s="27"/>
      <c r="BL436" s="27"/>
      <c r="BM436" s="27"/>
      <c r="BN436" s="27"/>
      <c r="BO436" s="27"/>
      <c r="BP436" s="27">
        <f t="shared" ref="BP436:BP448" si="150">$R436*Z436</f>
        <v>4950</v>
      </c>
      <c r="BQ436" s="27">
        <f t="shared" ref="BQ436:BQ448" si="151">$R436*AA436</f>
        <v>4950</v>
      </c>
      <c r="BR436" s="27">
        <f t="shared" ref="BR436:BR448" si="152">$R436*AB436</f>
        <v>4950</v>
      </c>
      <c r="BS436" s="27">
        <f t="shared" ref="BS436:BS448" si="153">$R436*AC436</f>
        <v>4950</v>
      </c>
      <c r="BT436" s="28">
        <f t="shared" si="147"/>
        <v>4950</v>
      </c>
      <c r="BU436" s="28">
        <f t="shared" si="138"/>
        <v>4950</v>
      </c>
      <c r="BV436" s="28">
        <f t="shared" si="139"/>
        <v>4950</v>
      </c>
      <c r="BW436" s="28">
        <f t="shared" si="140"/>
        <v>4950</v>
      </c>
    </row>
    <row r="437" spans="1:75" ht="17.399999999999999" x14ac:dyDescent="0.25">
      <c r="A437" s="69">
        <f t="shared" si="148"/>
        <v>436</v>
      </c>
      <c r="B437" s="71" t="s">
        <v>662</v>
      </c>
      <c r="C437" s="71" t="s">
        <v>243</v>
      </c>
      <c r="D437" s="71" t="s">
        <v>644</v>
      </c>
      <c r="E437" s="71" t="s">
        <v>533</v>
      </c>
      <c r="F437" s="71" t="s">
        <v>645</v>
      </c>
      <c r="G437" s="78" t="s">
        <v>222</v>
      </c>
      <c r="H437" s="71" t="s">
        <v>388</v>
      </c>
      <c r="I437" s="71" t="str">
        <f>VLOOKUP(H437,[1]Sheet1!$C:$C,1,0)</f>
        <v>SC9625VB-CE-00CK-9625L</v>
      </c>
      <c r="J437" s="71"/>
      <c r="K437" s="71"/>
      <c r="L437" s="71" t="s">
        <v>663</v>
      </c>
      <c r="M437" s="85"/>
      <c r="N437" s="85"/>
      <c r="O437" s="85"/>
      <c r="P437" s="85"/>
      <c r="Q437" s="85"/>
      <c r="R437" s="100">
        <v>1.6</v>
      </c>
      <c r="S437" s="75">
        <f t="shared" si="149"/>
        <v>9600</v>
      </c>
      <c r="T437" s="76">
        <v>25600</v>
      </c>
      <c r="U437" s="76">
        <f t="shared" si="137"/>
        <v>6000</v>
      </c>
      <c r="V437" s="85"/>
      <c r="W437" s="85"/>
      <c r="X437" s="85"/>
      <c r="Y437" s="85"/>
      <c r="Z437" s="72">
        <v>2000</v>
      </c>
      <c r="AA437" s="72">
        <v>2000</v>
      </c>
      <c r="AB437" s="72">
        <v>2000</v>
      </c>
      <c r="AC437" s="72">
        <v>2000</v>
      </c>
      <c r="AD437" s="77">
        <v>2000</v>
      </c>
      <c r="AE437" s="75">
        <v>2000</v>
      </c>
      <c r="AF437" s="75">
        <v>2000</v>
      </c>
      <c r="AG437" s="75">
        <v>2000</v>
      </c>
      <c r="AH437" s="75">
        <v>2000</v>
      </c>
      <c r="AI437" s="75">
        <v>2000</v>
      </c>
      <c r="AJ437" s="75">
        <v>2000</v>
      </c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 t="s">
        <v>494</v>
      </c>
      <c r="AY437" s="19" t="s">
        <v>386</v>
      </c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>
        <f t="shared" si="150"/>
        <v>3200</v>
      </c>
      <c r="BQ437" s="16">
        <f t="shared" si="151"/>
        <v>3200</v>
      </c>
      <c r="BR437" s="16">
        <f t="shared" si="152"/>
        <v>3200</v>
      </c>
      <c r="BS437" s="16">
        <f t="shared" si="153"/>
        <v>3200</v>
      </c>
      <c r="BT437" s="17">
        <f t="shared" si="147"/>
        <v>3200</v>
      </c>
      <c r="BU437" s="28">
        <f t="shared" si="138"/>
        <v>3200</v>
      </c>
      <c r="BV437" s="28">
        <f t="shared" si="139"/>
        <v>3200</v>
      </c>
      <c r="BW437" s="28">
        <f t="shared" si="140"/>
        <v>3200</v>
      </c>
    </row>
    <row r="438" spans="1:75" ht="17.399999999999999" x14ac:dyDescent="0.25">
      <c r="A438" s="69">
        <f t="shared" si="148"/>
        <v>437</v>
      </c>
      <c r="B438" s="71" t="s">
        <v>664</v>
      </c>
      <c r="C438" s="71" t="s">
        <v>243</v>
      </c>
      <c r="D438" s="71" t="s">
        <v>644</v>
      </c>
      <c r="E438" s="71" t="s">
        <v>533</v>
      </c>
      <c r="F438" s="71" t="s">
        <v>645</v>
      </c>
      <c r="G438" s="71" t="s">
        <v>384</v>
      </c>
      <c r="H438" s="71" t="s">
        <v>613</v>
      </c>
      <c r="I438" s="71" t="str">
        <f>VLOOKUP(H438,[1]Sheet1!$C:$C,1,0)</f>
        <v>SC9314UA-CF-0XAK-94M</v>
      </c>
      <c r="J438" s="71"/>
      <c r="K438" s="71"/>
      <c r="L438" s="71" t="s">
        <v>438</v>
      </c>
      <c r="M438" s="85"/>
      <c r="N438" s="85"/>
      <c r="O438" s="85"/>
      <c r="P438" s="85"/>
      <c r="Q438" s="85"/>
      <c r="R438" s="100">
        <v>1.2</v>
      </c>
      <c r="S438" s="75">
        <f t="shared" si="149"/>
        <v>7200</v>
      </c>
      <c r="T438" s="76">
        <v>28800</v>
      </c>
      <c r="U438" s="76">
        <f t="shared" si="137"/>
        <v>6000</v>
      </c>
      <c r="V438" s="85"/>
      <c r="W438" s="85"/>
      <c r="X438" s="85"/>
      <c r="Y438" s="85"/>
      <c r="Z438" s="72">
        <v>2000</v>
      </c>
      <c r="AA438" s="72">
        <v>2000</v>
      </c>
      <c r="AB438" s="72">
        <v>2000</v>
      </c>
      <c r="AC438" s="72">
        <v>2000</v>
      </c>
      <c r="AD438" s="77">
        <v>2000</v>
      </c>
      <c r="AE438" s="75">
        <v>2000</v>
      </c>
      <c r="AF438" s="75">
        <v>2000</v>
      </c>
      <c r="AG438" s="75">
        <v>2000</v>
      </c>
      <c r="AH438" s="75">
        <v>2000</v>
      </c>
      <c r="AI438" s="75">
        <v>2000</v>
      </c>
      <c r="AJ438" s="75">
        <v>2000</v>
      </c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 t="s">
        <v>494</v>
      </c>
      <c r="AY438" s="19" t="s">
        <v>386</v>
      </c>
      <c r="AZ438" s="27"/>
      <c r="BA438" s="27"/>
      <c r="BB438" s="27"/>
      <c r="BC438" s="27"/>
      <c r="BD438" s="27"/>
      <c r="BE438" s="27"/>
      <c r="BF438" s="27"/>
      <c r="BG438" s="27"/>
      <c r="BH438" s="27"/>
      <c r="BI438" s="27"/>
      <c r="BJ438" s="27"/>
      <c r="BK438" s="27"/>
      <c r="BL438" s="27"/>
      <c r="BM438" s="27"/>
      <c r="BN438" s="27"/>
      <c r="BO438" s="27"/>
      <c r="BP438" s="27">
        <f t="shared" si="150"/>
        <v>2400</v>
      </c>
      <c r="BQ438" s="27">
        <f t="shared" si="151"/>
        <v>2400</v>
      </c>
      <c r="BR438" s="27">
        <f t="shared" si="152"/>
        <v>2400</v>
      </c>
      <c r="BS438" s="27">
        <f t="shared" si="153"/>
        <v>2400</v>
      </c>
      <c r="BT438" s="28">
        <f t="shared" si="147"/>
        <v>2400</v>
      </c>
      <c r="BU438" s="28">
        <f t="shared" si="138"/>
        <v>2400</v>
      </c>
      <c r="BV438" s="28">
        <f t="shared" si="139"/>
        <v>2400</v>
      </c>
      <c r="BW438" s="28">
        <f t="shared" si="140"/>
        <v>2400</v>
      </c>
    </row>
    <row r="439" spans="1:75" ht="17.399999999999999" x14ac:dyDescent="0.25">
      <c r="A439" s="69">
        <f t="shared" si="148"/>
        <v>438</v>
      </c>
      <c r="B439" s="71" t="s">
        <v>665</v>
      </c>
      <c r="C439" s="71" t="s">
        <v>243</v>
      </c>
      <c r="D439" s="71" t="s">
        <v>644</v>
      </c>
      <c r="E439" s="71" t="s">
        <v>533</v>
      </c>
      <c r="F439" s="71" t="s">
        <v>645</v>
      </c>
      <c r="G439" s="71" t="s">
        <v>434</v>
      </c>
      <c r="H439" s="71" t="s">
        <v>435</v>
      </c>
      <c r="I439" s="71" t="str">
        <f>VLOOKUP(H439,[1]Sheet1!$C:$C,1,0)</f>
        <v>SC4688SA-Q-DC-40CK-4688</v>
      </c>
      <c r="J439" s="71"/>
      <c r="K439" s="71"/>
      <c r="L439" s="71" t="s">
        <v>666</v>
      </c>
      <c r="M439" s="85"/>
      <c r="N439" s="85"/>
      <c r="O439" s="85"/>
      <c r="P439" s="85"/>
      <c r="Q439" s="85"/>
      <c r="R439" s="100">
        <v>2.58</v>
      </c>
      <c r="S439" s="75">
        <f t="shared" si="149"/>
        <v>23220</v>
      </c>
      <c r="T439" s="76">
        <v>69600</v>
      </c>
      <c r="U439" s="76">
        <f t="shared" si="137"/>
        <v>9000</v>
      </c>
      <c r="V439" s="85"/>
      <c r="W439" s="85"/>
      <c r="X439" s="85"/>
      <c r="Y439" s="85"/>
      <c r="Z439" s="72">
        <v>3000</v>
      </c>
      <c r="AA439" s="72">
        <v>3000</v>
      </c>
      <c r="AB439" s="72">
        <v>3000</v>
      </c>
      <c r="AC439" s="72">
        <v>3000</v>
      </c>
      <c r="AD439" s="77">
        <v>3000</v>
      </c>
      <c r="AE439" s="75">
        <v>3000</v>
      </c>
      <c r="AF439" s="75">
        <v>3000</v>
      </c>
      <c r="AG439" s="75">
        <v>3000</v>
      </c>
      <c r="AH439" s="75">
        <v>3000</v>
      </c>
      <c r="AI439" s="75">
        <v>3000</v>
      </c>
      <c r="AJ439" s="75">
        <v>3000</v>
      </c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 t="s">
        <v>494</v>
      </c>
      <c r="AY439" s="19" t="s">
        <v>371</v>
      </c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>
        <f t="shared" si="150"/>
        <v>7740</v>
      </c>
      <c r="BQ439" s="16">
        <f t="shared" si="151"/>
        <v>7740</v>
      </c>
      <c r="BR439" s="16">
        <f t="shared" si="152"/>
        <v>7740</v>
      </c>
      <c r="BS439" s="16">
        <f t="shared" si="153"/>
        <v>7740</v>
      </c>
      <c r="BT439" s="17">
        <f t="shared" si="147"/>
        <v>7740</v>
      </c>
      <c r="BU439" s="28">
        <f t="shared" si="138"/>
        <v>7740</v>
      </c>
      <c r="BV439" s="28">
        <f t="shared" si="139"/>
        <v>7740</v>
      </c>
      <c r="BW439" s="28">
        <f t="shared" si="140"/>
        <v>7740</v>
      </c>
    </row>
    <row r="440" spans="1:75" ht="17.399999999999999" x14ac:dyDescent="0.25">
      <c r="A440" s="69">
        <f t="shared" si="148"/>
        <v>439</v>
      </c>
      <c r="B440" s="71" t="s">
        <v>667</v>
      </c>
      <c r="C440" s="71" t="s">
        <v>243</v>
      </c>
      <c r="D440" s="71" t="s">
        <v>668</v>
      </c>
      <c r="E440" s="71" t="s">
        <v>533</v>
      </c>
      <c r="F440" s="71" t="s">
        <v>669</v>
      </c>
      <c r="G440" s="71" t="s">
        <v>305</v>
      </c>
      <c r="H440" s="71" t="s">
        <v>306</v>
      </c>
      <c r="I440" s="71" t="str">
        <f>VLOOKUP(H440,[1]Sheet1!$C:$C,1,0)</f>
        <v>SC1134SO-N-CF-00LR-1134</v>
      </c>
      <c r="J440" s="71"/>
      <c r="K440" s="71"/>
      <c r="L440" s="71" t="s">
        <v>572</v>
      </c>
      <c r="M440" s="85"/>
      <c r="N440" s="85"/>
      <c r="O440" s="85"/>
      <c r="P440" s="85"/>
      <c r="Q440" s="85"/>
      <c r="R440" s="100">
        <v>0.25</v>
      </c>
      <c r="S440" s="75">
        <f t="shared" si="149"/>
        <v>6250</v>
      </c>
      <c r="T440" s="76">
        <v>18750</v>
      </c>
      <c r="U440" s="76">
        <f t="shared" si="137"/>
        <v>25000</v>
      </c>
      <c r="V440" s="85"/>
      <c r="W440" s="85"/>
      <c r="X440" s="85"/>
      <c r="Y440" s="85"/>
      <c r="Z440" s="72">
        <v>0</v>
      </c>
      <c r="AA440" s="72">
        <v>25000</v>
      </c>
      <c r="AB440" s="72">
        <v>0</v>
      </c>
      <c r="AC440" s="72">
        <v>0</v>
      </c>
      <c r="AD440" s="77">
        <v>25000</v>
      </c>
      <c r="AE440" s="75">
        <v>0</v>
      </c>
      <c r="AF440" s="75">
        <v>0</v>
      </c>
      <c r="AG440" s="75">
        <v>25000</v>
      </c>
      <c r="AH440" s="75">
        <v>25000</v>
      </c>
      <c r="AI440" s="75">
        <v>20000</v>
      </c>
      <c r="AJ440" s="75">
        <v>20000</v>
      </c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 t="s">
        <v>494</v>
      </c>
      <c r="AY440" s="19" t="s">
        <v>261</v>
      </c>
      <c r="AZ440" s="27"/>
      <c r="BA440" s="27"/>
      <c r="BB440" s="27"/>
      <c r="BC440" s="27"/>
      <c r="BD440" s="27"/>
      <c r="BE440" s="27"/>
      <c r="BF440" s="27"/>
      <c r="BG440" s="27"/>
      <c r="BH440" s="27"/>
      <c r="BI440" s="27"/>
      <c r="BJ440" s="27"/>
      <c r="BK440" s="27"/>
      <c r="BL440" s="27"/>
      <c r="BM440" s="27"/>
      <c r="BN440" s="27"/>
      <c r="BO440" s="27"/>
      <c r="BP440" s="27">
        <f t="shared" si="150"/>
        <v>0</v>
      </c>
      <c r="BQ440" s="27">
        <f t="shared" si="151"/>
        <v>6250</v>
      </c>
      <c r="BR440" s="27">
        <f t="shared" si="152"/>
        <v>0</v>
      </c>
      <c r="BS440" s="27">
        <f t="shared" si="153"/>
        <v>0</v>
      </c>
      <c r="BT440" s="28">
        <f t="shared" si="147"/>
        <v>6250</v>
      </c>
      <c r="BU440" s="28">
        <f t="shared" si="138"/>
        <v>0</v>
      </c>
      <c r="BV440" s="28">
        <f t="shared" si="139"/>
        <v>0</v>
      </c>
      <c r="BW440" s="28">
        <f t="shared" si="140"/>
        <v>6250</v>
      </c>
    </row>
    <row r="441" spans="1:75" ht="17.399999999999999" x14ac:dyDescent="0.25">
      <c r="A441" s="69">
        <f t="shared" si="148"/>
        <v>440</v>
      </c>
      <c r="B441" s="71" t="s">
        <v>582</v>
      </c>
      <c r="C441" s="71" t="s">
        <v>235</v>
      </c>
      <c r="D441" s="71" t="s">
        <v>487</v>
      </c>
      <c r="E441" s="71" t="s">
        <v>1881</v>
      </c>
      <c r="F441" s="71" t="s">
        <v>488</v>
      </c>
      <c r="G441" s="71" t="s">
        <v>583</v>
      </c>
      <c r="H441" s="71" t="s">
        <v>584</v>
      </c>
      <c r="I441" s="71" t="str">
        <f>VLOOKUP(H441,[1]Sheet1!$C:$C,1,0)</f>
        <v>SC9683TS-Q-DB-4XAR-9683</v>
      </c>
      <c r="J441" s="71"/>
      <c r="K441" s="71"/>
      <c r="L441" s="71" t="s">
        <v>448</v>
      </c>
      <c r="M441" s="85"/>
      <c r="N441" s="85"/>
      <c r="O441" s="85"/>
      <c r="P441" s="85"/>
      <c r="Q441" s="85"/>
      <c r="R441" s="100">
        <v>2.5499999999999998</v>
      </c>
      <c r="S441" s="75">
        <f t="shared" si="149"/>
        <v>0</v>
      </c>
      <c r="T441" s="76">
        <v>0</v>
      </c>
      <c r="U441" s="76">
        <f t="shared" si="137"/>
        <v>0</v>
      </c>
      <c r="V441" s="85"/>
      <c r="W441" s="85"/>
      <c r="X441" s="85"/>
      <c r="Y441" s="85"/>
      <c r="Z441" s="80"/>
      <c r="AA441" s="80"/>
      <c r="AB441" s="80"/>
      <c r="AC441" s="80"/>
      <c r="AD441" s="77"/>
      <c r="AE441" s="75"/>
      <c r="AF441" s="75"/>
      <c r="AG441" s="75"/>
      <c r="AH441" s="75">
        <v>0</v>
      </c>
      <c r="AI441" s="75"/>
      <c r="AJ441" s="75">
        <v>0</v>
      </c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 t="s">
        <v>494</v>
      </c>
      <c r="AY441" s="19" t="s">
        <v>386</v>
      </c>
      <c r="AZ441" s="27"/>
      <c r="BA441" s="27"/>
      <c r="BB441" s="27"/>
      <c r="BC441" s="27"/>
      <c r="BD441" s="27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>
        <f t="shared" si="150"/>
        <v>0</v>
      </c>
      <c r="BQ441" s="27">
        <f t="shared" si="151"/>
        <v>0</v>
      </c>
      <c r="BR441" s="27">
        <f t="shared" si="152"/>
        <v>0</v>
      </c>
      <c r="BS441" s="27">
        <f t="shared" si="153"/>
        <v>0</v>
      </c>
      <c r="BT441" s="28">
        <f t="shared" si="147"/>
        <v>0</v>
      </c>
      <c r="BU441" s="28">
        <f t="shared" si="138"/>
        <v>0</v>
      </c>
      <c r="BV441" s="28">
        <f t="shared" si="139"/>
        <v>0</v>
      </c>
      <c r="BW441" s="28">
        <f t="shared" si="140"/>
        <v>0</v>
      </c>
    </row>
    <row r="442" spans="1:75" ht="17.399999999999999" x14ac:dyDescent="0.25">
      <c r="A442" s="69">
        <f t="shared" si="148"/>
        <v>441</v>
      </c>
      <c r="B442" s="71" t="s">
        <v>673</v>
      </c>
      <c r="C442" s="71" t="s">
        <v>243</v>
      </c>
      <c r="D442" s="71" t="s">
        <v>668</v>
      </c>
      <c r="E442" s="71" t="s">
        <v>533</v>
      </c>
      <c r="F442" s="71" t="s">
        <v>669</v>
      </c>
      <c r="G442" s="71" t="s">
        <v>434</v>
      </c>
      <c r="H442" s="71" t="s">
        <v>435</v>
      </c>
      <c r="I442" s="71" t="str">
        <f>VLOOKUP(H442,[1]Sheet1!$C:$C,1,0)</f>
        <v>SC4688SA-Q-DC-40CK-4688</v>
      </c>
      <c r="J442" s="71"/>
      <c r="K442" s="71"/>
      <c r="L442" s="71" t="s">
        <v>674</v>
      </c>
      <c r="M442" s="85"/>
      <c r="N442" s="85"/>
      <c r="O442" s="85"/>
      <c r="P442" s="85"/>
      <c r="Q442" s="85"/>
      <c r="R442" s="100">
        <v>2.5</v>
      </c>
      <c r="S442" s="75">
        <f t="shared" si="149"/>
        <v>375000</v>
      </c>
      <c r="T442" s="76">
        <v>1000000</v>
      </c>
      <c r="U442" s="76">
        <f t="shared" si="137"/>
        <v>150000</v>
      </c>
      <c r="V442" s="85"/>
      <c r="W442" s="85"/>
      <c r="X442" s="85"/>
      <c r="Y442" s="85"/>
      <c r="Z442" s="72">
        <v>50000</v>
      </c>
      <c r="AA442" s="72">
        <v>50000</v>
      </c>
      <c r="AB442" s="72">
        <v>50000</v>
      </c>
      <c r="AC442" s="72">
        <v>50000</v>
      </c>
      <c r="AD442" s="77">
        <v>50000</v>
      </c>
      <c r="AE442" s="75">
        <v>50000</v>
      </c>
      <c r="AF442" s="75">
        <v>50000</v>
      </c>
      <c r="AG442" s="75">
        <v>50000</v>
      </c>
      <c r="AH442" s="75">
        <v>50000</v>
      </c>
      <c r="AI442" s="75">
        <v>40000</v>
      </c>
      <c r="AJ442" s="75">
        <v>40000</v>
      </c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 t="s">
        <v>494</v>
      </c>
      <c r="AY442" s="19" t="s">
        <v>371</v>
      </c>
      <c r="AZ442" s="27"/>
      <c r="BA442" s="27"/>
      <c r="BB442" s="27"/>
      <c r="BC442" s="27"/>
      <c r="BD442" s="27"/>
      <c r="BE442" s="27"/>
      <c r="BF442" s="27"/>
      <c r="BG442" s="27"/>
      <c r="BH442" s="27"/>
      <c r="BI442" s="27"/>
      <c r="BJ442" s="27"/>
      <c r="BK442" s="27"/>
      <c r="BL442" s="27"/>
      <c r="BM442" s="27"/>
      <c r="BN442" s="27"/>
      <c r="BO442" s="27"/>
      <c r="BP442" s="27">
        <f t="shared" si="150"/>
        <v>125000</v>
      </c>
      <c r="BQ442" s="27">
        <f t="shared" si="151"/>
        <v>125000</v>
      </c>
      <c r="BR442" s="27">
        <f t="shared" si="152"/>
        <v>125000</v>
      </c>
      <c r="BS442" s="27">
        <f t="shared" si="153"/>
        <v>125000</v>
      </c>
      <c r="BT442" s="28">
        <f t="shared" si="147"/>
        <v>125000</v>
      </c>
      <c r="BU442" s="28">
        <f t="shared" si="138"/>
        <v>125000</v>
      </c>
      <c r="BV442" s="28">
        <f t="shared" si="139"/>
        <v>125000</v>
      </c>
      <c r="BW442" s="28">
        <f t="shared" si="140"/>
        <v>125000</v>
      </c>
    </row>
    <row r="443" spans="1:75" ht="17.399999999999999" x14ac:dyDescent="0.25">
      <c r="A443" s="69">
        <f t="shared" si="148"/>
        <v>442</v>
      </c>
      <c r="B443" s="71" t="s">
        <v>675</v>
      </c>
      <c r="C443" s="71" t="s">
        <v>243</v>
      </c>
      <c r="D443" s="71" t="s">
        <v>668</v>
      </c>
      <c r="E443" s="71" t="s">
        <v>533</v>
      </c>
      <c r="F443" s="71" t="s">
        <v>669</v>
      </c>
      <c r="G443" s="71" t="s">
        <v>630</v>
      </c>
      <c r="H443" s="71" t="s">
        <v>631</v>
      </c>
      <c r="I443" s="71" t="str">
        <f>VLOOKUP(H443,[1]Sheet1!$C:$C,1,0)</f>
        <v>SC9625VB-CE-00CK-9625L</v>
      </c>
      <c r="J443" s="71"/>
      <c r="K443" s="71"/>
      <c r="L443" s="71" t="s">
        <v>439</v>
      </c>
      <c r="M443" s="85"/>
      <c r="N443" s="85"/>
      <c r="O443" s="85"/>
      <c r="P443" s="85"/>
      <c r="Q443" s="85"/>
      <c r="R443" s="100">
        <v>2</v>
      </c>
      <c r="S443" s="75">
        <f t="shared" si="149"/>
        <v>60000</v>
      </c>
      <c r="T443" s="76">
        <v>160000</v>
      </c>
      <c r="U443" s="76">
        <f t="shared" si="137"/>
        <v>30000</v>
      </c>
      <c r="V443" s="85"/>
      <c r="W443" s="85"/>
      <c r="X443" s="85"/>
      <c r="Y443" s="85"/>
      <c r="Z443" s="72">
        <v>10000</v>
      </c>
      <c r="AA443" s="72">
        <v>10000</v>
      </c>
      <c r="AB443" s="72">
        <v>10000</v>
      </c>
      <c r="AC443" s="72">
        <v>10000</v>
      </c>
      <c r="AD443" s="77">
        <v>10000</v>
      </c>
      <c r="AE443" s="75">
        <v>10000</v>
      </c>
      <c r="AF443" s="75">
        <v>10000</v>
      </c>
      <c r="AG443" s="75">
        <v>10000</v>
      </c>
      <c r="AH443" s="75">
        <v>10000</v>
      </c>
      <c r="AI443" s="75">
        <v>8000</v>
      </c>
      <c r="AJ443" s="75">
        <v>8000</v>
      </c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 t="s">
        <v>494</v>
      </c>
      <c r="AY443" s="19" t="s">
        <v>386</v>
      </c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>
        <f t="shared" si="150"/>
        <v>20000</v>
      </c>
      <c r="BQ443" s="16">
        <f t="shared" si="151"/>
        <v>20000</v>
      </c>
      <c r="BR443" s="16">
        <f t="shared" si="152"/>
        <v>20000</v>
      </c>
      <c r="BS443" s="16">
        <f t="shared" si="153"/>
        <v>20000</v>
      </c>
      <c r="BT443" s="17">
        <f t="shared" si="147"/>
        <v>20000</v>
      </c>
      <c r="BU443" s="28">
        <f t="shared" si="138"/>
        <v>20000</v>
      </c>
      <c r="BV443" s="28">
        <f t="shared" si="139"/>
        <v>20000</v>
      </c>
      <c r="BW443" s="28">
        <f t="shared" si="140"/>
        <v>20000</v>
      </c>
    </row>
    <row r="444" spans="1:75" ht="17.399999999999999" x14ac:dyDescent="0.25">
      <c r="A444" s="69">
        <f t="shared" si="148"/>
        <v>443</v>
      </c>
      <c r="B444" s="71" t="s">
        <v>676</v>
      </c>
      <c r="C444" s="71" t="s">
        <v>243</v>
      </c>
      <c r="D444" s="71" t="s">
        <v>668</v>
      </c>
      <c r="E444" s="71" t="s">
        <v>533</v>
      </c>
      <c r="F444" s="71" t="s">
        <v>669</v>
      </c>
      <c r="G444" s="71" t="s">
        <v>621</v>
      </c>
      <c r="H444" s="71" t="s">
        <v>622</v>
      </c>
      <c r="I444" s="71" t="str">
        <f>VLOOKUP(H444,[1]Sheet1!$C:$C,1,0)</f>
        <v>SC2442SO-CR-10CR-2442</v>
      </c>
      <c r="J444" s="71"/>
      <c r="K444" s="71"/>
      <c r="L444" s="71" t="s">
        <v>677</v>
      </c>
      <c r="M444" s="85"/>
      <c r="N444" s="85"/>
      <c r="O444" s="85"/>
      <c r="P444" s="85"/>
      <c r="Q444" s="85"/>
      <c r="R444" s="100">
        <v>0.32</v>
      </c>
      <c r="S444" s="75">
        <f t="shared" si="149"/>
        <v>64000</v>
      </c>
      <c r="T444" s="76">
        <v>192000</v>
      </c>
      <c r="U444" s="76">
        <f t="shared" si="137"/>
        <v>200000</v>
      </c>
      <c r="V444" s="85"/>
      <c r="W444" s="85"/>
      <c r="X444" s="85"/>
      <c r="Y444" s="85"/>
      <c r="Z444" s="72">
        <v>0</v>
      </c>
      <c r="AA444" s="72">
        <v>200000</v>
      </c>
      <c r="AB444" s="72">
        <v>0</v>
      </c>
      <c r="AC444" s="72">
        <v>0</v>
      </c>
      <c r="AD444" s="77">
        <v>200000</v>
      </c>
      <c r="AE444" s="75">
        <v>0</v>
      </c>
      <c r="AF444" s="75">
        <v>0</v>
      </c>
      <c r="AG444" s="75">
        <v>200000</v>
      </c>
      <c r="AH444" s="75">
        <v>200000</v>
      </c>
      <c r="AI444" s="75">
        <v>160000</v>
      </c>
      <c r="AJ444" s="75">
        <v>160000</v>
      </c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 t="s">
        <v>494</v>
      </c>
      <c r="AY444" s="19" t="s">
        <v>261</v>
      </c>
      <c r="AZ444" s="27"/>
      <c r="BA444" s="27"/>
      <c r="BB444" s="27"/>
      <c r="BC444" s="27"/>
      <c r="BD444" s="27"/>
      <c r="BE444" s="27"/>
      <c r="BF444" s="27"/>
      <c r="BG444" s="27"/>
      <c r="BH444" s="27"/>
      <c r="BI444" s="27"/>
      <c r="BJ444" s="27"/>
      <c r="BK444" s="27"/>
      <c r="BL444" s="27"/>
      <c r="BM444" s="27"/>
      <c r="BN444" s="27"/>
      <c r="BO444" s="27"/>
      <c r="BP444" s="27">
        <f t="shared" si="150"/>
        <v>0</v>
      </c>
      <c r="BQ444" s="27">
        <f t="shared" si="151"/>
        <v>64000</v>
      </c>
      <c r="BR444" s="27">
        <f t="shared" si="152"/>
        <v>0</v>
      </c>
      <c r="BS444" s="27">
        <f t="shared" si="153"/>
        <v>0</v>
      </c>
      <c r="BT444" s="28">
        <f t="shared" si="147"/>
        <v>64000</v>
      </c>
      <c r="BU444" s="28">
        <f t="shared" si="138"/>
        <v>0</v>
      </c>
      <c r="BV444" s="28">
        <f t="shared" si="139"/>
        <v>0</v>
      </c>
      <c r="BW444" s="28">
        <f t="shared" si="140"/>
        <v>64000</v>
      </c>
    </row>
    <row r="445" spans="1:75" ht="17.399999999999999" x14ac:dyDescent="0.25">
      <c r="A445" s="69">
        <f t="shared" si="148"/>
        <v>444</v>
      </c>
      <c r="B445" s="71" t="s">
        <v>678</v>
      </c>
      <c r="C445" s="71" t="s">
        <v>243</v>
      </c>
      <c r="D445" s="71" t="s">
        <v>668</v>
      </c>
      <c r="E445" s="71" t="s">
        <v>533</v>
      </c>
      <c r="F445" s="71" t="s">
        <v>669</v>
      </c>
      <c r="G445" s="71" t="s">
        <v>595</v>
      </c>
      <c r="H445" s="71" t="s">
        <v>596</v>
      </c>
      <c r="I445" s="71" t="str">
        <f>VLOOKUP(H445,[1]Sheet1!$C:$C,1,0)</f>
        <v>SC9648TS-AI-10AR-9648</v>
      </c>
      <c r="J445" s="71"/>
      <c r="K445" s="71"/>
      <c r="L445" s="71" t="s">
        <v>439</v>
      </c>
      <c r="M445" s="85"/>
      <c r="N445" s="85"/>
      <c r="O445" s="85"/>
      <c r="P445" s="85"/>
      <c r="Q445" s="85"/>
      <c r="R445" s="100">
        <v>1.35</v>
      </c>
      <c r="S445" s="75">
        <f t="shared" si="149"/>
        <v>0</v>
      </c>
      <c r="T445" s="76">
        <v>2160000</v>
      </c>
      <c r="U445" s="76">
        <f t="shared" si="137"/>
        <v>0</v>
      </c>
      <c r="V445" s="85"/>
      <c r="W445" s="85"/>
      <c r="X445" s="85"/>
      <c r="Y445" s="85"/>
      <c r="Z445" s="72">
        <v>200000</v>
      </c>
      <c r="AA445" s="72">
        <v>200000</v>
      </c>
      <c r="AB445" s="72">
        <v>200000</v>
      </c>
      <c r="AC445" s="72"/>
      <c r="AD445" s="77"/>
      <c r="AE445" s="75"/>
      <c r="AF445" s="75"/>
      <c r="AG445" s="75"/>
      <c r="AH445" s="75">
        <v>0</v>
      </c>
      <c r="AI445" s="75"/>
      <c r="AJ445" s="75">
        <v>0</v>
      </c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 t="s">
        <v>494</v>
      </c>
      <c r="AY445" s="19" t="s">
        <v>386</v>
      </c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>
        <f t="shared" si="150"/>
        <v>270000</v>
      </c>
      <c r="BQ445" s="16">
        <f t="shared" si="151"/>
        <v>270000</v>
      </c>
      <c r="BR445" s="16">
        <f t="shared" si="152"/>
        <v>270000</v>
      </c>
      <c r="BS445" s="16">
        <f t="shared" si="153"/>
        <v>0</v>
      </c>
      <c r="BT445" s="17">
        <f t="shared" si="147"/>
        <v>0</v>
      </c>
      <c r="BU445" s="28">
        <f t="shared" si="138"/>
        <v>0</v>
      </c>
      <c r="BV445" s="28">
        <f t="shared" si="139"/>
        <v>0</v>
      </c>
      <c r="BW445" s="28">
        <f t="shared" si="140"/>
        <v>0</v>
      </c>
    </row>
    <row r="446" spans="1:75" ht="17.399999999999999" x14ac:dyDescent="0.25">
      <c r="A446" s="69">
        <f t="shared" si="148"/>
        <v>445</v>
      </c>
      <c r="B446" s="71" t="s">
        <v>679</v>
      </c>
      <c r="C446" s="71" t="s">
        <v>243</v>
      </c>
      <c r="D446" s="71" t="s">
        <v>668</v>
      </c>
      <c r="E446" s="71" t="s">
        <v>533</v>
      </c>
      <c r="F446" s="71" t="s">
        <v>669</v>
      </c>
      <c r="G446" s="71" t="s">
        <v>610</v>
      </c>
      <c r="H446" s="71" t="s">
        <v>611</v>
      </c>
      <c r="I446" s="71" t="str">
        <f>VLOOKUP(H446,[1]Sheet1!$C:$C,1,0)</f>
        <v>SC69401HS-Q-HD-4XTR-69401</v>
      </c>
      <c r="J446" s="71"/>
      <c r="K446" s="71"/>
      <c r="L446" s="71" t="s">
        <v>680</v>
      </c>
      <c r="M446" s="85"/>
      <c r="N446" s="85"/>
      <c r="O446" s="85"/>
      <c r="P446" s="85"/>
      <c r="Q446" s="85"/>
      <c r="R446" s="100">
        <v>3.8</v>
      </c>
      <c r="S446" s="75">
        <f t="shared" si="149"/>
        <v>114000</v>
      </c>
      <c r="T446" s="76">
        <v>304000</v>
      </c>
      <c r="U446" s="76">
        <f t="shared" si="137"/>
        <v>30000</v>
      </c>
      <c r="V446" s="85"/>
      <c r="W446" s="85"/>
      <c r="X446" s="85"/>
      <c r="Y446" s="85"/>
      <c r="Z446" s="72">
        <v>10000</v>
      </c>
      <c r="AA446" s="72">
        <v>10000</v>
      </c>
      <c r="AB446" s="72">
        <v>10000</v>
      </c>
      <c r="AC446" s="72">
        <v>10000</v>
      </c>
      <c r="AD446" s="77">
        <v>10000</v>
      </c>
      <c r="AE446" s="75">
        <v>10000</v>
      </c>
      <c r="AF446" s="75">
        <v>10000</v>
      </c>
      <c r="AG446" s="75">
        <v>10000</v>
      </c>
      <c r="AH446" s="75">
        <v>10000</v>
      </c>
      <c r="AI446" s="75">
        <v>8000</v>
      </c>
      <c r="AJ446" s="75">
        <v>8000</v>
      </c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 t="s">
        <v>494</v>
      </c>
      <c r="AY446" s="19" t="s">
        <v>371</v>
      </c>
      <c r="AZ446" s="27"/>
      <c r="BA446" s="27"/>
      <c r="BB446" s="27"/>
      <c r="BC446" s="27"/>
      <c r="BD446" s="27"/>
      <c r="BE446" s="27"/>
      <c r="BF446" s="27"/>
      <c r="BG446" s="27"/>
      <c r="BH446" s="27"/>
      <c r="BI446" s="27"/>
      <c r="BJ446" s="27"/>
      <c r="BK446" s="27"/>
      <c r="BL446" s="27"/>
      <c r="BM446" s="27"/>
      <c r="BN446" s="27"/>
      <c r="BO446" s="27"/>
      <c r="BP446" s="27">
        <f t="shared" si="150"/>
        <v>38000</v>
      </c>
      <c r="BQ446" s="27">
        <f t="shared" si="151"/>
        <v>38000</v>
      </c>
      <c r="BR446" s="27">
        <f t="shared" si="152"/>
        <v>38000</v>
      </c>
      <c r="BS446" s="27">
        <f t="shared" si="153"/>
        <v>38000</v>
      </c>
      <c r="BT446" s="28">
        <f t="shared" si="147"/>
        <v>38000</v>
      </c>
      <c r="BU446" s="28">
        <f t="shared" si="138"/>
        <v>38000</v>
      </c>
      <c r="BV446" s="28">
        <f t="shared" si="139"/>
        <v>38000</v>
      </c>
      <c r="BW446" s="28">
        <f t="shared" si="140"/>
        <v>38000</v>
      </c>
    </row>
    <row r="447" spans="1:75" ht="17.399999999999999" x14ac:dyDescent="0.25">
      <c r="A447" s="69">
        <f t="shared" si="148"/>
        <v>446</v>
      </c>
      <c r="B447" s="71" t="s">
        <v>681</v>
      </c>
      <c r="C447" s="71" t="s">
        <v>243</v>
      </c>
      <c r="D447" s="71" t="s">
        <v>681</v>
      </c>
      <c r="E447" s="71" t="s">
        <v>533</v>
      </c>
      <c r="F447" s="71" t="s">
        <v>682</v>
      </c>
      <c r="G447" s="71" t="s">
        <v>543</v>
      </c>
      <c r="H447" s="71" t="s">
        <v>544</v>
      </c>
      <c r="I447" s="71" t="str">
        <f>VLOOKUP(H447,[1]Sheet1!$C:$C,1,0)</f>
        <v>SC9641TS-PC-Q-AI-10LR-9641PC</v>
      </c>
      <c r="J447" s="71"/>
      <c r="K447" s="71"/>
      <c r="L447" s="71" t="s">
        <v>448</v>
      </c>
      <c r="M447" s="85"/>
      <c r="N447" s="85"/>
      <c r="O447" s="85"/>
      <c r="P447" s="85"/>
      <c r="Q447" s="85"/>
      <c r="R447" s="100">
        <v>2.2799999999999998</v>
      </c>
      <c r="S447" s="75">
        <f t="shared" si="149"/>
        <v>0</v>
      </c>
      <c r="T447" s="76">
        <v>934799.99999999988</v>
      </c>
      <c r="U447" s="76">
        <f t="shared" si="137"/>
        <v>0</v>
      </c>
      <c r="V447" s="85"/>
      <c r="W447" s="85"/>
      <c r="X447" s="85"/>
      <c r="Y447" s="85"/>
      <c r="Z447" s="72">
        <v>200000</v>
      </c>
      <c r="AA447" s="72">
        <v>30000</v>
      </c>
      <c r="AB447" s="72">
        <v>30000</v>
      </c>
      <c r="AC447" s="72"/>
      <c r="AD447" s="77"/>
      <c r="AE447" s="75"/>
      <c r="AF447" s="75"/>
      <c r="AG447" s="75"/>
      <c r="AH447" s="75">
        <v>0</v>
      </c>
      <c r="AI447" s="75"/>
      <c r="AJ447" s="75">
        <v>0</v>
      </c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 t="s">
        <v>494</v>
      </c>
      <c r="AY447" s="19" t="s">
        <v>386</v>
      </c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>
        <f t="shared" si="150"/>
        <v>455999.99999999994</v>
      </c>
      <c r="BQ447" s="16">
        <f t="shared" si="151"/>
        <v>68400</v>
      </c>
      <c r="BR447" s="16">
        <f t="shared" si="152"/>
        <v>68400</v>
      </c>
      <c r="BS447" s="16">
        <f t="shared" si="153"/>
        <v>0</v>
      </c>
      <c r="BT447" s="17">
        <f t="shared" si="147"/>
        <v>0</v>
      </c>
      <c r="BU447" s="28">
        <f t="shared" si="138"/>
        <v>0</v>
      </c>
      <c r="BV447" s="28">
        <f t="shared" si="139"/>
        <v>0</v>
      </c>
      <c r="BW447" s="28">
        <f t="shared" si="140"/>
        <v>0</v>
      </c>
    </row>
    <row r="448" spans="1:75" ht="17.399999999999999" x14ac:dyDescent="0.25">
      <c r="A448" s="69">
        <f t="shared" si="148"/>
        <v>447</v>
      </c>
      <c r="B448" s="71" t="s">
        <v>681</v>
      </c>
      <c r="C448" s="71" t="s">
        <v>243</v>
      </c>
      <c r="D448" s="71" t="s">
        <v>681</v>
      </c>
      <c r="E448" s="71" t="s">
        <v>533</v>
      </c>
      <c r="F448" s="71" t="s">
        <v>682</v>
      </c>
      <c r="G448" s="71" t="s">
        <v>337</v>
      </c>
      <c r="H448" s="71" t="s">
        <v>338</v>
      </c>
      <c r="I448" s="71" t="str">
        <f>VLOOKUP(H448,[1]Sheet1!$C:$C,1,0)</f>
        <v>SC2443SO-Q-DB-60CR-2443</v>
      </c>
      <c r="J448" s="71"/>
      <c r="K448" s="71"/>
      <c r="L448" s="71" t="s">
        <v>683</v>
      </c>
      <c r="M448" s="85"/>
      <c r="N448" s="85"/>
      <c r="O448" s="85"/>
      <c r="P448" s="85"/>
      <c r="Q448" s="85"/>
      <c r="R448" s="100">
        <v>0.52</v>
      </c>
      <c r="S448" s="75">
        <f t="shared" si="149"/>
        <v>0</v>
      </c>
      <c r="T448" s="76">
        <v>20800</v>
      </c>
      <c r="U448" s="76">
        <f t="shared" si="137"/>
        <v>0</v>
      </c>
      <c r="V448" s="85"/>
      <c r="W448" s="85"/>
      <c r="X448" s="85"/>
      <c r="Y448" s="85"/>
      <c r="Z448" s="72">
        <v>5000</v>
      </c>
      <c r="AA448" s="72">
        <v>5000</v>
      </c>
      <c r="AB448" s="72">
        <v>5000</v>
      </c>
      <c r="AC448" s="72">
        <v>5000</v>
      </c>
      <c r="AD448" s="77"/>
      <c r="AE448" s="75"/>
      <c r="AF448" s="75"/>
      <c r="AG448" s="75"/>
      <c r="AH448" s="75"/>
      <c r="AI448" s="75"/>
      <c r="AJ448" s="75">
        <v>0</v>
      </c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 t="s">
        <v>494</v>
      </c>
      <c r="AY448" s="19" t="s">
        <v>261</v>
      </c>
      <c r="AZ448" s="27"/>
      <c r="BA448" s="27"/>
      <c r="BB448" s="27"/>
      <c r="BC448" s="27"/>
      <c r="BD448" s="27"/>
      <c r="BE448" s="27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>
        <f t="shared" si="150"/>
        <v>2600</v>
      </c>
      <c r="BQ448" s="27">
        <f t="shared" si="151"/>
        <v>2600</v>
      </c>
      <c r="BR448" s="27">
        <f t="shared" si="152"/>
        <v>2600</v>
      </c>
      <c r="BS448" s="27">
        <f t="shared" si="153"/>
        <v>2600</v>
      </c>
      <c r="BT448" s="28">
        <f t="shared" si="147"/>
        <v>0</v>
      </c>
      <c r="BU448" s="28">
        <f t="shared" si="138"/>
        <v>0</v>
      </c>
      <c r="BV448" s="28">
        <f t="shared" si="139"/>
        <v>0</v>
      </c>
      <c r="BW448" s="28">
        <f t="shared" si="140"/>
        <v>0</v>
      </c>
    </row>
    <row r="449" spans="1:75" ht="17.399999999999999" x14ac:dyDescent="0.25">
      <c r="A449" s="69">
        <f t="shared" si="148"/>
        <v>448</v>
      </c>
      <c r="B449" s="71" t="s">
        <v>1757</v>
      </c>
      <c r="C449" s="71" t="s">
        <v>243</v>
      </c>
      <c r="D449" s="71" t="s">
        <v>541</v>
      </c>
      <c r="E449" s="71" t="s">
        <v>533</v>
      </c>
      <c r="F449" s="71" t="s">
        <v>550</v>
      </c>
      <c r="G449" s="71" t="s">
        <v>263</v>
      </c>
      <c r="H449" s="71" t="s">
        <v>1309</v>
      </c>
      <c r="I449" s="71" t="str">
        <f>VLOOKUP(H449,[1]Sheet1!$C:$C,1,0)</f>
        <v>SC2442SO-Q-DB-60CR-2442</v>
      </c>
      <c r="J449" s="71"/>
      <c r="K449" s="71"/>
      <c r="L449" s="71" t="s">
        <v>1758</v>
      </c>
      <c r="M449" s="85"/>
      <c r="N449" s="85"/>
      <c r="O449" s="85"/>
      <c r="P449" s="85"/>
      <c r="Q449" s="85"/>
      <c r="R449" s="100">
        <v>0.36</v>
      </c>
      <c r="S449" s="75">
        <f t="shared" si="149"/>
        <v>19440</v>
      </c>
      <c r="T449" s="76"/>
      <c r="U449" s="76">
        <f t="shared" ref="U449:U512" si="154">SUM(AE449:AG449)</f>
        <v>54000</v>
      </c>
      <c r="V449" s="85"/>
      <c r="W449" s="85"/>
      <c r="X449" s="85"/>
      <c r="Y449" s="85"/>
      <c r="Z449" s="72"/>
      <c r="AA449" s="72">
        <v>18000</v>
      </c>
      <c r="AB449" s="72">
        <v>16400</v>
      </c>
      <c r="AC449" s="72">
        <v>18000</v>
      </c>
      <c r="AD449" s="77">
        <v>86500</v>
      </c>
      <c r="AE449" s="75">
        <v>18000</v>
      </c>
      <c r="AF449" s="75">
        <v>18000</v>
      </c>
      <c r="AG449" s="75">
        <v>18000</v>
      </c>
      <c r="AH449" s="75">
        <v>18000</v>
      </c>
      <c r="AI449" s="75">
        <v>9000</v>
      </c>
      <c r="AJ449" s="75">
        <v>18000</v>
      </c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 t="s">
        <v>494</v>
      </c>
      <c r="AY449" s="19" t="s">
        <v>261</v>
      </c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>
        <f t="shared" ref="BQ449:BS455" si="155">$R449*AA449</f>
        <v>6480</v>
      </c>
      <c r="BR449" s="16">
        <f t="shared" si="155"/>
        <v>5904</v>
      </c>
      <c r="BS449" s="16">
        <f t="shared" si="155"/>
        <v>6480</v>
      </c>
      <c r="BT449" s="17">
        <f t="shared" si="147"/>
        <v>31140</v>
      </c>
      <c r="BU449" s="28">
        <f t="shared" si="138"/>
        <v>6480</v>
      </c>
      <c r="BV449" s="28">
        <f t="shared" si="139"/>
        <v>6480</v>
      </c>
      <c r="BW449" s="28">
        <f t="shared" si="140"/>
        <v>6480</v>
      </c>
    </row>
    <row r="450" spans="1:75" ht="17.399999999999999" x14ac:dyDescent="0.25">
      <c r="A450" s="69">
        <f t="shared" si="148"/>
        <v>449</v>
      </c>
      <c r="B450" s="71" t="s">
        <v>1760</v>
      </c>
      <c r="C450" s="71" t="s">
        <v>243</v>
      </c>
      <c r="D450" s="71" t="s">
        <v>422</v>
      </c>
      <c r="E450" s="71" t="s">
        <v>533</v>
      </c>
      <c r="F450" s="71" t="s">
        <v>418</v>
      </c>
      <c r="G450" s="71" t="s">
        <v>1732</v>
      </c>
      <c r="H450" s="71" t="s">
        <v>1733</v>
      </c>
      <c r="I450" s="71" t="str">
        <f>VLOOKUP(H450,[1]Sheet1!$C:$C,1,0)</f>
        <v>SC2432SO-CM-10CR-2432</v>
      </c>
      <c r="J450" s="71"/>
      <c r="K450" s="71"/>
      <c r="L450" s="71"/>
      <c r="M450" s="85"/>
      <c r="N450" s="85"/>
      <c r="O450" s="85"/>
      <c r="P450" s="85"/>
      <c r="Q450" s="85"/>
      <c r="R450" s="100">
        <v>0.27</v>
      </c>
      <c r="S450" s="75">
        <f t="shared" si="149"/>
        <v>0</v>
      </c>
      <c r="T450" s="76"/>
      <c r="U450" s="76">
        <f t="shared" si="154"/>
        <v>0</v>
      </c>
      <c r="V450" s="85"/>
      <c r="W450" s="85"/>
      <c r="X450" s="85"/>
      <c r="Y450" s="85"/>
      <c r="Z450" s="72"/>
      <c r="AA450" s="72">
        <v>30000</v>
      </c>
      <c r="AB450" s="72">
        <v>12000</v>
      </c>
      <c r="AC450" s="72"/>
      <c r="AD450" s="77"/>
      <c r="AE450" s="75"/>
      <c r="AF450" s="106"/>
      <c r="AG450" s="106"/>
      <c r="AH450" s="75">
        <v>0</v>
      </c>
      <c r="AI450" s="75"/>
      <c r="AJ450" s="75">
        <v>0</v>
      </c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0"/>
      <c r="AX450" s="16" t="s">
        <v>494</v>
      </c>
      <c r="AY450" s="19" t="s">
        <v>261</v>
      </c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>
        <f t="shared" si="155"/>
        <v>8100.0000000000009</v>
      </c>
      <c r="BR450" s="16">
        <f t="shared" si="155"/>
        <v>3240</v>
      </c>
      <c r="BS450" s="16">
        <f t="shared" si="155"/>
        <v>0</v>
      </c>
      <c r="BT450" s="17">
        <f t="shared" si="147"/>
        <v>0</v>
      </c>
      <c r="BU450" s="28">
        <f t="shared" si="138"/>
        <v>0</v>
      </c>
      <c r="BV450" s="28">
        <f t="shared" si="139"/>
        <v>0</v>
      </c>
      <c r="BW450" s="28">
        <f t="shared" si="140"/>
        <v>0</v>
      </c>
    </row>
    <row r="451" spans="1:75" ht="17.399999999999999" x14ac:dyDescent="0.25">
      <c r="A451" s="69">
        <f t="shared" si="148"/>
        <v>450</v>
      </c>
      <c r="B451" s="71" t="s">
        <v>614</v>
      </c>
      <c r="C451" s="71" t="s">
        <v>243</v>
      </c>
      <c r="D451" s="71" t="s">
        <v>606</v>
      </c>
      <c r="E451" s="71" t="s">
        <v>533</v>
      </c>
      <c r="F451" s="71" t="s">
        <v>607</v>
      </c>
      <c r="G451" s="71" t="s">
        <v>633</v>
      </c>
      <c r="H451" s="71" t="s">
        <v>1761</v>
      </c>
      <c r="I451" s="71" t="str">
        <f>VLOOKUP(H451,[1]Sheet1!$C:$C,1,0)</f>
        <v>SC9621VB-CF-00CK-9621</v>
      </c>
      <c r="J451" s="71"/>
      <c r="K451" s="71"/>
      <c r="L451" s="71" t="s">
        <v>439</v>
      </c>
      <c r="M451" s="85"/>
      <c r="N451" s="85"/>
      <c r="O451" s="85"/>
      <c r="P451" s="85"/>
      <c r="Q451" s="85"/>
      <c r="R451" s="100">
        <v>1.6</v>
      </c>
      <c r="S451" s="75">
        <f t="shared" si="149"/>
        <v>0</v>
      </c>
      <c r="T451" s="76"/>
      <c r="U451" s="76">
        <f t="shared" si="154"/>
        <v>0</v>
      </c>
      <c r="V451" s="85"/>
      <c r="W451" s="85"/>
      <c r="X451" s="85"/>
      <c r="Y451" s="85"/>
      <c r="Z451" s="72"/>
      <c r="AA451" s="72"/>
      <c r="AB451" s="72"/>
      <c r="AC451" s="72">
        <v>10000</v>
      </c>
      <c r="AD451" s="77"/>
      <c r="AE451" s="75"/>
      <c r="AF451" s="106"/>
      <c r="AG451" s="106"/>
      <c r="AH451" s="75">
        <v>0</v>
      </c>
      <c r="AI451" s="75"/>
      <c r="AJ451" s="75">
        <v>0</v>
      </c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19"/>
      <c r="AX451" s="27" t="s">
        <v>494</v>
      </c>
      <c r="AY451" s="19" t="s">
        <v>386</v>
      </c>
      <c r="AZ451" s="27"/>
      <c r="BA451" s="27"/>
      <c r="BB451" s="27"/>
      <c r="BC451" s="27"/>
      <c r="BD451" s="27"/>
      <c r="BE451" s="27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>
        <f t="shared" si="155"/>
        <v>0</v>
      </c>
      <c r="BR451" s="27">
        <f t="shared" si="155"/>
        <v>0</v>
      </c>
      <c r="BS451" s="27">
        <f t="shared" si="155"/>
        <v>16000</v>
      </c>
      <c r="BT451" s="28">
        <f t="shared" si="147"/>
        <v>0</v>
      </c>
      <c r="BU451" s="28">
        <f t="shared" ref="BU451:BU514" si="156">$R451*AE451</f>
        <v>0</v>
      </c>
      <c r="BV451" s="28">
        <f t="shared" ref="BV451:BV514" si="157">$R451*AF451</f>
        <v>0</v>
      </c>
      <c r="BW451" s="28">
        <f t="shared" ref="BW451:BW514" si="158">$R451*AG451</f>
        <v>0</v>
      </c>
    </row>
    <row r="452" spans="1:75" ht="17.399999999999999" x14ac:dyDescent="0.25">
      <c r="A452" s="69">
        <f t="shared" si="148"/>
        <v>451</v>
      </c>
      <c r="B452" s="71" t="s">
        <v>627</v>
      </c>
      <c r="C452" s="71" t="s">
        <v>243</v>
      </c>
      <c r="D452" s="71" t="s">
        <v>422</v>
      </c>
      <c r="E452" s="71" t="s">
        <v>533</v>
      </c>
      <c r="F452" s="71" t="s">
        <v>418</v>
      </c>
      <c r="G452" s="71" t="s">
        <v>477</v>
      </c>
      <c r="H452" s="71" t="s">
        <v>647</v>
      </c>
      <c r="I452" s="71" t="str">
        <f>VLOOKUP(H452,[1]Sheet1!$C:$C,1,0)</f>
        <v>SC9642TS-E-Q-AH-4XLR-9642</v>
      </c>
      <c r="J452" s="71"/>
      <c r="K452" s="71"/>
      <c r="L452" s="71" t="s">
        <v>448</v>
      </c>
      <c r="M452" s="85"/>
      <c r="N452" s="85"/>
      <c r="O452" s="85"/>
      <c r="P452" s="85"/>
      <c r="Q452" s="85"/>
      <c r="R452" s="100">
        <v>1.88</v>
      </c>
      <c r="S452" s="75">
        <f t="shared" si="149"/>
        <v>0</v>
      </c>
      <c r="T452" s="76"/>
      <c r="U452" s="76">
        <f t="shared" si="154"/>
        <v>0</v>
      </c>
      <c r="V452" s="85"/>
      <c r="W452" s="85"/>
      <c r="X452" s="85"/>
      <c r="Y452" s="85"/>
      <c r="Z452" s="72"/>
      <c r="AA452" s="72">
        <v>20000</v>
      </c>
      <c r="AB452" s="72">
        <v>20000</v>
      </c>
      <c r="AC452" s="72">
        <v>20000</v>
      </c>
      <c r="AD452" s="77">
        <v>20000</v>
      </c>
      <c r="AE452" s="75"/>
      <c r="AF452" s="106"/>
      <c r="AG452" s="106"/>
      <c r="AH452" s="106"/>
      <c r="AI452" s="75"/>
      <c r="AJ452" s="75">
        <v>0</v>
      </c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0"/>
      <c r="AX452" s="16" t="s">
        <v>494</v>
      </c>
      <c r="AY452" s="19" t="s">
        <v>386</v>
      </c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>
        <f t="shared" si="155"/>
        <v>37600</v>
      </c>
      <c r="BR452" s="16">
        <f t="shared" si="155"/>
        <v>37600</v>
      </c>
      <c r="BS452" s="16">
        <f t="shared" si="155"/>
        <v>37600</v>
      </c>
      <c r="BT452" s="17">
        <f t="shared" ref="BT452:BT463" si="159">$R452*AD452</f>
        <v>37600</v>
      </c>
      <c r="BU452" s="28">
        <f t="shared" si="156"/>
        <v>0</v>
      </c>
      <c r="BV452" s="28">
        <f t="shared" si="157"/>
        <v>0</v>
      </c>
      <c r="BW452" s="28">
        <f t="shared" si="158"/>
        <v>0</v>
      </c>
    </row>
    <row r="453" spans="1:75" ht="17.399999999999999" x14ac:dyDescent="0.25">
      <c r="A453" s="69">
        <f t="shared" si="148"/>
        <v>452</v>
      </c>
      <c r="B453" s="71" t="s">
        <v>629</v>
      </c>
      <c r="C453" s="71" t="s">
        <v>243</v>
      </c>
      <c r="D453" s="71" t="s">
        <v>422</v>
      </c>
      <c r="E453" s="71" t="s">
        <v>533</v>
      </c>
      <c r="F453" s="71" t="s">
        <v>418</v>
      </c>
      <c r="G453" s="71" t="s">
        <v>477</v>
      </c>
      <c r="H453" s="71" t="s">
        <v>647</v>
      </c>
      <c r="I453" s="71" t="str">
        <f>VLOOKUP(H453,[1]Sheet1!$C:$C,1,0)</f>
        <v>SC9642TS-E-Q-AH-4XLR-9642</v>
      </c>
      <c r="J453" s="71"/>
      <c r="K453" s="71"/>
      <c r="L453" s="71" t="s">
        <v>448</v>
      </c>
      <c r="M453" s="85"/>
      <c r="N453" s="85"/>
      <c r="O453" s="85"/>
      <c r="P453" s="85"/>
      <c r="Q453" s="85"/>
      <c r="R453" s="100">
        <v>1.88</v>
      </c>
      <c r="S453" s="75">
        <f t="shared" si="149"/>
        <v>131600</v>
      </c>
      <c r="T453" s="76"/>
      <c r="U453" s="76">
        <f t="shared" si="154"/>
        <v>70000</v>
      </c>
      <c r="V453" s="85"/>
      <c r="W453" s="85"/>
      <c r="X453" s="85"/>
      <c r="Y453" s="85"/>
      <c r="Z453" s="72"/>
      <c r="AA453" s="72">
        <v>20000</v>
      </c>
      <c r="AB453" s="72">
        <v>20000</v>
      </c>
      <c r="AC453" s="72">
        <v>20000</v>
      </c>
      <c r="AD453" s="77">
        <v>20000</v>
      </c>
      <c r="AE453" s="75">
        <v>30000</v>
      </c>
      <c r="AF453" s="106">
        <v>20000</v>
      </c>
      <c r="AG453" s="106">
        <v>20000</v>
      </c>
      <c r="AH453" s="106">
        <v>20000</v>
      </c>
      <c r="AI453" s="75">
        <v>20000</v>
      </c>
      <c r="AJ453" s="75">
        <v>20000</v>
      </c>
      <c r="AK453" s="27">
        <v>20000</v>
      </c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19"/>
      <c r="AX453" s="27" t="s">
        <v>494</v>
      </c>
      <c r="AY453" s="19" t="s">
        <v>386</v>
      </c>
      <c r="AZ453" s="27"/>
      <c r="BA453" s="27"/>
      <c r="BB453" s="27"/>
      <c r="BC453" s="27"/>
      <c r="BD453" s="27"/>
      <c r="BE453" s="27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>
        <f t="shared" si="155"/>
        <v>37600</v>
      </c>
      <c r="BR453" s="27">
        <f t="shared" si="155"/>
        <v>37600</v>
      </c>
      <c r="BS453" s="27">
        <f t="shared" si="155"/>
        <v>37600</v>
      </c>
      <c r="BT453" s="28">
        <f t="shared" si="159"/>
        <v>37600</v>
      </c>
      <c r="BU453" s="28">
        <f t="shared" si="156"/>
        <v>56400</v>
      </c>
      <c r="BV453" s="28">
        <f t="shared" si="157"/>
        <v>37600</v>
      </c>
      <c r="BW453" s="28">
        <f t="shared" si="158"/>
        <v>37600</v>
      </c>
    </row>
    <row r="454" spans="1:75" ht="17.399999999999999" x14ac:dyDescent="0.25">
      <c r="A454" s="69">
        <f t="shared" si="148"/>
        <v>453</v>
      </c>
      <c r="B454" s="71" t="s">
        <v>627</v>
      </c>
      <c r="C454" s="71" t="s">
        <v>243</v>
      </c>
      <c r="D454" s="71" t="s">
        <v>422</v>
      </c>
      <c r="E454" s="71" t="s">
        <v>533</v>
      </c>
      <c r="F454" s="71" t="s">
        <v>418</v>
      </c>
      <c r="G454" s="71" t="s">
        <v>630</v>
      </c>
      <c r="H454" s="71" t="s">
        <v>631</v>
      </c>
      <c r="I454" s="71" t="str">
        <f>VLOOKUP(H454,[1]Sheet1!$C:$C,1,0)</f>
        <v>SC9625VB-CE-00CK-9625L</v>
      </c>
      <c r="J454" s="71"/>
      <c r="K454" s="71"/>
      <c r="L454" s="71" t="s">
        <v>439</v>
      </c>
      <c r="M454" s="85"/>
      <c r="N454" s="85"/>
      <c r="O454" s="85"/>
      <c r="P454" s="85"/>
      <c r="Q454" s="85"/>
      <c r="R454" s="100">
        <v>1.61</v>
      </c>
      <c r="S454" s="75">
        <f t="shared" si="149"/>
        <v>0</v>
      </c>
      <c r="T454" s="76"/>
      <c r="U454" s="76">
        <f t="shared" si="154"/>
        <v>0</v>
      </c>
      <c r="V454" s="85"/>
      <c r="W454" s="85"/>
      <c r="X454" s="85"/>
      <c r="Y454" s="85"/>
      <c r="Z454" s="72"/>
      <c r="AA454" s="72">
        <v>15000</v>
      </c>
      <c r="AB454" s="72">
        <v>15000</v>
      </c>
      <c r="AC454" s="72"/>
      <c r="AD454" s="77"/>
      <c r="AE454" s="75"/>
      <c r="AF454" s="106"/>
      <c r="AG454" s="106"/>
      <c r="AH454" s="75">
        <v>0</v>
      </c>
      <c r="AI454" s="75"/>
      <c r="AJ454" s="75">
        <v>0</v>
      </c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0"/>
      <c r="AX454" s="16" t="s">
        <v>494</v>
      </c>
      <c r="AY454" s="19" t="s">
        <v>386</v>
      </c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>
        <f t="shared" si="155"/>
        <v>24150</v>
      </c>
      <c r="BR454" s="16">
        <f t="shared" si="155"/>
        <v>24150</v>
      </c>
      <c r="BS454" s="16">
        <f t="shared" si="155"/>
        <v>0</v>
      </c>
      <c r="BT454" s="17">
        <f t="shared" si="159"/>
        <v>0</v>
      </c>
      <c r="BU454" s="28">
        <f t="shared" si="156"/>
        <v>0</v>
      </c>
      <c r="BV454" s="28">
        <f t="shared" si="157"/>
        <v>0</v>
      </c>
      <c r="BW454" s="28">
        <f t="shared" si="158"/>
        <v>0</v>
      </c>
    </row>
    <row r="455" spans="1:75" ht="17.399999999999999" x14ac:dyDescent="0.25">
      <c r="A455" s="69">
        <f t="shared" si="148"/>
        <v>454</v>
      </c>
      <c r="B455" s="71" t="s">
        <v>629</v>
      </c>
      <c r="C455" s="71" t="s">
        <v>243</v>
      </c>
      <c r="D455" s="71" t="s">
        <v>422</v>
      </c>
      <c r="E455" s="71" t="s">
        <v>533</v>
      </c>
      <c r="F455" s="71" t="s">
        <v>418</v>
      </c>
      <c r="G455" s="71" t="s">
        <v>384</v>
      </c>
      <c r="H455" s="71" t="s">
        <v>483</v>
      </c>
      <c r="I455" s="71" t="str">
        <f>VLOOKUP(H455,[1]Sheet1!$C:$C,1,0)</f>
        <v>SC9314UA-CF-0XAK-94M</v>
      </c>
      <c r="J455" s="71"/>
      <c r="K455" s="71"/>
      <c r="L455" s="71"/>
      <c r="M455" s="85"/>
      <c r="N455" s="85"/>
      <c r="O455" s="85"/>
      <c r="P455" s="85"/>
      <c r="Q455" s="85"/>
      <c r="R455" s="100">
        <v>0.98</v>
      </c>
      <c r="S455" s="75">
        <f t="shared" si="149"/>
        <v>88200</v>
      </c>
      <c r="T455" s="76"/>
      <c r="U455" s="76">
        <f t="shared" si="154"/>
        <v>90000</v>
      </c>
      <c r="V455" s="85"/>
      <c r="W455" s="85"/>
      <c r="X455" s="85"/>
      <c r="Y455" s="85"/>
      <c r="Z455" s="72"/>
      <c r="AA455" s="72">
        <v>30000</v>
      </c>
      <c r="AB455" s="72">
        <v>30000</v>
      </c>
      <c r="AC455" s="72">
        <v>30000</v>
      </c>
      <c r="AD455" s="77">
        <v>30000</v>
      </c>
      <c r="AE455" s="75">
        <v>30000</v>
      </c>
      <c r="AF455" s="106">
        <v>30000</v>
      </c>
      <c r="AG455" s="106">
        <v>30000</v>
      </c>
      <c r="AH455" s="106">
        <v>30000</v>
      </c>
      <c r="AI455" s="75">
        <v>30000</v>
      </c>
      <c r="AJ455" s="75">
        <v>30000</v>
      </c>
      <c r="AK455" s="27">
        <v>30000</v>
      </c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19"/>
      <c r="AX455" s="27" t="s">
        <v>494</v>
      </c>
      <c r="AY455" s="19" t="s">
        <v>386</v>
      </c>
      <c r="AZ455" s="27"/>
      <c r="BA455" s="27"/>
      <c r="BB455" s="27"/>
      <c r="BC455" s="27"/>
      <c r="BD455" s="27"/>
      <c r="BE455" s="27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>
        <f t="shared" si="155"/>
        <v>29400</v>
      </c>
      <c r="BR455" s="27">
        <f t="shared" si="155"/>
        <v>29400</v>
      </c>
      <c r="BS455" s="27">
        <f t="shared" si="155"/>
        <v>29400</v>
      </c>
      <c r="BT455" s="28">
        <f t="shared" si="159"/>
        <v>29400</v>
      </c>
      <c r="BU455" s="28">
        <f t="shared" si="156"/>
        <v>29400</v>
      </c>
      <c r="BV455" s="28">
        <f t="shared" si="157"/>
        <v>29400</v>
      </c>
      <c r="BW455" s="28">
        <f t="shared" si="158"/>
        <v>29400</v>
      </c>
    </row>
    <row r="456" spans="1:75" ht="17.399999999999999" x14ac:dyDescent="0.25">
      <c r="A456" s="69">
        <f t="shared" si="148"/>
        <v>455</v>
      </c>
      <c r="B456" s="73" t="s">
        <v>627</v>
      </c>
      <c r="C456" s="71" t="s">
        <v>243</v>
      </c>
      <c r="D456" s="71" t="s">
        <v>422</v>
      </c>
      <c r="E456" s="71" t="s">
        <v>533</v>
      </c>
      <c r="F456" s="71" t="s">
        <v>418</v>
      </c>
      <c r="G456" s="71" t="s">
        <v>619</v>
      </c>
      <c r="H456" s="71" t="s">
        <v>1780</v>
      </c>
      <c r="I456" s="71" t="str">
        <f>VLOOKUP(H456,[1]Sheet1!$C:$C,1,0)</f>
        <v>SC9684TS-Q-DB-4XAR-9684</v>
      </c>
      <c r="J456" s="71"/>
      <c r="K456" s="71"/>
      <c r="L456" s="73" t="s">
        <v>448</v>
      </c>
      <c r="M456" s="80"/>
      <c r="N456" s="72"/>
      <c r="O456" s="73"/>
      <c r="P456" s="71"/>
      <c r="Q456" s="71"/>
      <c r="R456" s="100">
        <v>2.0499999999999998</v>
      </c>
      <c r="S456" s="75">
        <f t="shared" si="149"/>
        <v>252149.99999999997</v>
      </c>
      <c r="T456" s="91"/>
      <c r="U456" s="76">
        <f t="shared" si="154"/>
        <v>123000</v>
      </c>
      <c r="V456" s="80"/>
      <c r="W456" s="80"/>
      <c r="X456" s="80"/>
      <c r="Y456" s="72"/>
      <c r="Z456" s="72"/>
      <c r="AA456" s="72"/>
      <c r="AB456" s="72"/>
      <c r="AC456" s="72">
        <v>40000</v>
      </c>
      <c r="AD456" s="77">
        <v>41000</v>
      </c>
      <c r="AE456" s="75">
        <v>41000</v>
      </c>
      <c r="AF456" s="75">
        <v>41000</v>
      </c>
      <c r="AG456" s="75">
        <v>41000</v>
      </c>
      <c r="AH456" s="75">
        <v>41000</v>
      </c>
      <c r="AI456" s="75">
        <v>41000</v>
      </c>
      <c r="AJ456" s="75">
        <v>41000</v>
      </c>
      <c r="AK456" s="33"/>
      <c r="AL456" s="33"/>
      <c r="AM456" s="33"/>
      <c r="AN456" s="33"/>
      <c r="AO456" s="33"/>
      <c r="AP456" s="33"/>
      <c r="AQ456" s="33"/>
      <c r="AR456" s="33"/>
      <c r="AS456" s="33"/>
      <c r="AT456" s="33"/>
      <c r="AU456" s="33"/>
      <c r="AV456" s="33"/>
      <c r="AW456" s="19"/>
      <c r="AX456" s="19" t="s">
        <v>494</v>
      </c>
      <c r="AY456" s="19" t="s">
        <v>386</v>
      </c>
      <c r="AZ456" s="19"/>
      <c r="BA456" s="19"/>
      <c r="BB456" s="19"/>
      <c r="BC456" s="19"/>
      <c r="BD456" s="19"/>
      <c r="BE456" s="19"/>
      <c r="BF456" s="19"/>
      <c r="BG456" s="24"/>
      <c r="BH456" s="19"/>
      <c r="BI456" s="25"/>
      <c r="BJ456" s="25"/>
      <c r="BK456" s="25"/>
      <c r="BL456" s="25"/>
      <c r="BM456" s="25"/>
      <c r="BN456" s="37"/>
      <c r="BO456" s="21"/>
      <c r="BP456" s="27"/>
      <c r="BQ456" s="27"/>
      <c r="BR456" s="27"/>
      <c r="BS456" s="27">
        <f t="shared" ref="BS456:BS463" si="160">$R456*AC456</f>
        <v>82000</v>
      </c>
      <c r="BT456" s="28">
        <f t="shared" si="159"/>
        <v>84049.999999999985</v>
      </c>
      <c r="BU456" s="28">
        <f t="shared" si="156"/>
        <v>84049.999999999985</v>
      </c>
      <c r="BV456" s="28">
        <f t="shared" si="157"/>
        <v>84049.999999999985</v>
      </c>
      <c r="BW456" s="28">
        <f t="shared" si="158"/>
        <v>84049.999999999985</v>
      </c>
    </row>
    <row r="457" spans="1:75" ht="17.399999999999999" x14ac:dyDescent="0.25">
      <c r="A457" s="69">
        <f t="shared" si="148"/>
        <v>456</v>
      </c>
      <c r="B457" s="73" t="s">
        <v>1785</v>
      </c>
      <c r="C457" s="71" t="s">
        <v>243</v>
      </c>
      <c r="D457" s="71" t="s">
        <v>606</v>
      </c>
      <c r="E457" s="71" t="s">
        <v>533</v>
      </c>
      <c r="F457" s="71"/>
      <c r="G457" s="71" t="s">
        <v>473</v>
      </c>
      <c r="H457" s="71" t="s">
        <v>1786</v>
      </c>
      <c r="I457" s="71" t="str">
        <f>VLOOKUP(H457,[1]Sheet1!$C:$C,1,0)</f>
        <v>SC9641TS-P-AI-10AR-G1630</v>
      </c>
      <c r="J457" s="71"/>
      <c r="K457" s="71"/>
      <c r="L457" s="73" t="s">
        <v>448</v>
      </c>
      <c r="M457" s="80"/>
      <c r="N457" s="72"/>
      <c r="O457" s="73"/>
      <c r="P457" s="71"/>
      <c r="Q457" s="71"/>
      <c r="R457" s="100">
        <v>1.6</v>
      </c>
      <c r="S457" s="75">
        <f t="shared" si="149"/>
        <v>172800</v>
      </c>
      <c r="T457" s="91"/>
      <c r="U457" s="76">
        <f t="shared" si="154"/>
        <v>108000</v>
      </c>
      <c r="V457" s="80"/>
      <c r="W457" s="80"/>
      <c r="X457" s="80"/>
      <c r="Y457" s="72"/>
      <c r="Z457" s="72"/>
      <c r="AA457" s="72"/>
      <c r="AB457" s="72"/>
      <c r="AC457" s="72">
        <v>50000</v>
      </c>
      <c r="AD457" s="77">
        <v>50000</v>
      </c>
      <c r="AE457" s="75">
        <v>36000</v>
      </c>
      <c r="AF457" s="75">
        <v>36000</v>
      </c>
      <c r="AG457" s="75">
        <v>36000</v>
      </c>
      <c r="AH457" s="75">
        <v>36000</v>
      </c>
      <c r="AI457" s="75">
        <v>36000</v>
      </c>
      <c r="AJ457" s="75">
        <v>36000</v>
      </c>
      <c r="AK457" s="31"/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10"/>
      <c r="AX457" s="10" t="s">
        <v>494</v>
      </c>
      <c r="AY457" s="19" t="s">
        <v>386</v>
      </c>
      <c r="AZ457" s="10"/>
      <c r="BA457" s="10"/>
      <c r="BB457" s="10"/>
      <c r="BC457" s="10"/>
      <c r="BD457" s="10"/>
      <c r="BE457" s="10"/>
      <c r="BF457" s="10"/>
      <c r="BG457" s="13"/>
      <c r="BH457" s="10"/>
      <c r="BI457" s="14"/>
      <c r="BJ457" s="14"/>
      <c r="BK457" s="14"/>
      <c r="BL457" s="14"/>
      <c r="BM457" s="14"/>
      <c r="BN457" s="35"/>
      <c r="BO457" s="11"/>
      <c r="BP457" s="16"/>
      <c r="BQ457" s="16"/>
      <c r="BR457" s="16"/>
      <c r="BS457" s="16">
        <f t="shared" si="160"/>
        <v>80000</v>
      </c>
      <c r="BT457" s="17">
        <f t="shared" si="159"/>
        <v>80000</v>
      </c>
      <c r="BU457" s="28">
        <f t="shared" si="156"/>
        <v>57600</v>
      </c>
      <c r="BV457" s="28">
        <f t="shared" si="157"/>
        <v>57600</v>
      </c>
      <c r="BW457" s="28">
        <f t="shared" si="158"/>
        <v>57600</v>
      </c>
    </row>
    <row r="458" spans="1:75" ht="17.399999999999999" x14ac:dyDescent="0.25">
      <c r="A458" s="69">
        <f t="shared" si="148"/>
        <v>457</v>
      </c>
      <c r="B458" s="73" t="s">
        <v>1785</v>
      </c>
      <c r="C458" s="71" t="s">
        <v>243</v>
      </c>
      <c r="D458" s="71" t="s">
        <v>606</v>
      </c>
      <c r="E458" s="71" t="s">
        <v>533</v>
      </c>
      <c r="F458" s="71"/>
      <c r="G458" s="71" t="s">
        <v>595</v>
      </c>
      <c r="H458" s="71" t="s">
        <v>1787</v>
      </c>
      <c r="I458" s="71" t="str">
        <f>VLOOKUP(H458,[1]Sheet1!$C:$C,1,0)</f>
        <v>SC9648TS-AI-10AR-9648</v>
      </c>
      <c r="J458" s="71"/>
      <c r="K458" s="71"/>
      <c r="L458" s="73" t="s">
        <v>448</v>
      </c>
      <c r="M458" s="80"/>
      <c r="N458" s="72"/>
      <c r="O458" s="73"/>
      <c r="P458" s="71"/>
      <c r="Q458" s="71"/>
      <c r="R458" s="100">
        <v>1.2010000000000001</v>
      </c>
      <c r="S458" s="75">
        <f t="shared" si="149"/>
        <v>288240</v>
      </c>
      <c r="T458" s="91"/>
      <c r="U458" s="76">
        <f t="shared" si="154"/>
        <v>240000</v>
      </c>
      <c r="V458" s="80"/>
      <c r="W458" s="80"/>
      <c r="X458" s="80"/>
      <c r="Y458" s="72"/>
      <c r="Z458" s="72"/>
      <c r="AA458" s="72"/>
      <c r="AB458" s="72"/>
      <c r="AC458" s="72">
        <v>300000</v>
      </c>
      <c r="AD458" s="77">
        <v>300000</v>
      </c>
      <c r="AE458" s="75">
        <v>80000</v>
      </c>
      <c r="AF458" s="75">
        <v>80000</v>
      </c>
      <c r="AG458" s="75">
        <v>80000</v>
      </c>
      <c r="AH458" s="75">
        <v>100000</v>
      </c>
      <c r="AI458" s="75">
        <v>100000</v>
      </c>
      <c r="AJ458" s="75">
        <v>100000</v>
      </c>
      <c r="AK458" s="33"/>
      <c r="AL458" s="33"/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19"/>
      <c r="AX458" s="19" t="s">
        <v>494</v>
      </c>
      <c r="AY458" s="19" t="s">
        <v>386</v>
      </c>
      <c r="AZ458" s="19"/>
      <c r="BA458" s="19"/>
      <c r="BB458" s="19"/>
      <c r="BC458" s="19"/>
      <c r="BD458" s="19"/>
      <c r="BE458" s="19"/>
      <c r="BF458" s="19"/>
      <c r="BG458" s="24"/>
      <c r="BH458" s="19"/>
      <c r="BI458" s="25"/>
      <c r="BJ458" s="25"/>
      <c r="BK458" s="25"/>
      <c r="BL458" s="25"/>
      <c r="BM458" s="25"/>
      <c r="BN458" s="37"/>
      <c r="BO458" s="21"/>
      <c r="BP458" s="27"/>
      <c r="BQ458" s="27"/>
      <c r="BR458" s="27"/>
      <c r="BS458" s="27">
        <f t="shared" si="160"/>
        <v>360300</v>
      </c>
      <c r="BT458" s="28">
        <f t="shared" si="159"/>
        <v>360300</v>
      </c>
      <c r="BU458" s="28">
        <f t="shared" si="156"/>
        <v>96080</v>
      </c>
      <c r="BV458" s="28">
        <f t="shared" si="157"/>
        <v>96080</v>
      </c>
      <c r="BW458" s="28">
        <f t="shared" si="158"/>
        <v>96080</v>
      </c>
    </row>
    <row r="459" spans="1:75" ht="17.399999999999999" x14ac:dyDescent="0.25">
      <c r="A459" s="69">
        <f t="shared" si="148"/>
        <v>458</v>
      </c>
      <c r="B459" s="73" t="s">
        <v>1785</v>
      </c>
      <c r="C459" s="71" t="s">
        <v>243</v>
      </c>
      <c r="D459" s="71" t="s">
        <v>606</v>
      </c>
      <c r="E459" s="71" t="s">
        <v>533</v>
      </c>
      <c r="F459" s="71"/>
      <c r="G459" s="71" t="s">
        <v>619</v>
      </c>
      <c r="H459" s="71" t="s">
        <v>1780</v>
      </c>
      <c r="I459" s="71" t="str">
        <f>VLOOKUP(H459,[1]Sheet1!$C:$C,1,0)</f>
        <v>SC9684TS-Q-DB-4XAR-9684</v>
      </c>
      <c r="J459" s="71"/>
      <c r="K459" s="71"/>
      <c r="L459" s="73" t="s">
        <v>448</v>
      </c>
      <c r="M459" s="80"/>
      <c r="N459" s="72"/>
      <c r="O459" s="73"/>
      <c r="P459" s="71"/>
      <c r="Q459" s="71"/>
      <c r="R459" s="100">
        <v>1.95</v>
      </c>
      <c r="S459" s="75">
        <f t="shared" si="149"/>
        <v>70200</v>
      </c>
      <c r="T459" s="91"/>
      <c r="U459" s="76">
        <f t="shared" si="154"/>
        <v>36000</v>
      </c>
      <c r="V459" s="80"/>
      <c r="W459" s="80"/>
      <c r="X459" s="80"/>
      <c r="Y459" s="72"/>
      <c r="Z459" s="72"/>
      <c r="AA459" s="72"/>
      <c r="AB459" s="72"/>
      <c r="AC459" s="72"/>
      <c r="AD459" s="77"/>
      <c r="AE459" s="75">
        <v>12000</v>
      </c>
      <c r="AF459" s="75">
        <v>12000</v>
      </c>
      <c r="AG459" s="75">
        <v>12000</v>
      </c>
      <c r="AH459" s="75">
        <v>12000</v>
      </c>
      <c r="AI459" s="75">
        <v>12000</v>
      </c>
      <c r="AJ459" s="75">
        <v>12000</v>
      </c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10"/>
      <c r="AX459" s="10" t="s">
        <v>494</v>
      </c>
      <c r="AY459" s="19" t="s">
        <v>386</v>
      </c>
      <c r="AZ459" s="10"/>
      <c r="BA459" s="10"/>
      <c r="BB459" s="10"/>
      <c r="BC459" s="10"/>
      <c r="BD459" s="10"/>
      <c r="BE459" s="10"/>
      <c r="BF459" s="10"/>
      <c r="BG459" s="13"/>
      <c r="BH459" s="10"/>
      <c r="BI459" s="14"/>
      <c r="BJ459" s="14"/>
      <c r="BK459" s="14"/>
      <c r="BL459" s="14"/>
      <c r="BM459" s="14"/>
      <c r="BN459" s="35"/>
      <c r="BO459" s="11"/>
      <c r="BP459" s="16"/>
      <c r="BQ459" s="16"/>
      <c r="BR459" s="16"/>
      <c r="BS459" s="16">
        <f t="shared" si="160"/>
        <v>0</v>
      </c>
      <c r="BT459" s="17">
        <f t="shared" si="159"/>
        <v>0</v>
      </c>
      <c r="BU459" s="28">
        <f t="shared" si="156"/>
        <v>23400</v>
      </c>
      <c r="BV459" s="28">
        <f t="shared" si="157"/>
        <v>23400</v>
      </c>
      <c r="BW459" s="28">
        <f t="shared" si="158"/>
        <v>23400</v>
      </c>
    </row>
    <row r="460" spans="1:75" ht="17.399999999999999" x14ac:dyDescent="0.25">
      <c r="A460" s="69">
        <f t="shared" si="148"/>
        <v>459</v>
      </c>
      <c r="B460" s="73" t="s">
        <v>1785</v>
      </c>
      <c r="C460" s="71" t="s">
        <v>243</v>
      </c>
      <c r="D460" s="71" t="s">
        <v>606</v>
      </c>
      <c r="E460" s="71" t="s">
        <v>533</v>
      </c>
      <c r="F460" s="71"/>
      <c r="G460" s="71" t="s">
        <v>543</v>
      </c>
      <c r="H460" s="71" t="s">
        <v>1652</v>
      </c>
      <c r="I460" s="71" t="str">
        <f>VLOOKUP(H460,[1]Sheet1!$C:$C,1,0)</f>
        <v>SC9641TS-PC-Q-AI-10LR-9641PC</v>
      </c>
      <c r="J460" s="71"/>
      <c r="K460" s="71"/>
      <c r="L460" s="73" t="s">
        <v>448</v>
      </c>
      <c r="M460" s="80"/>
      <c r="N460" s="72"/>
      <c r="O460" s="73"/>
      <c r="P460" s="71"/>
      <c r="Q460" s="71"/>
      <c r="R460" s="100">
        <v>1.8</v>
      </c>
      <c r="S460" s="75">
        <f t="shared" si="149"/>
        <v>162000</v>
      </c>
      <c r="T460" s="91"/>
      <c r="U460" s="76">
        <f t="shared" si="154"/>
        <v>90000</v>
      </c>
      <c r="V460" s="80"/>
      <c r="W460" s="80"/>
      <c r="X460" s="80"/>
      <c r="Y460" s="72"/>
      <c r="Z460" s="72"/>
      <c r="AA460" s="72"/>
      <c r="AB460" s="72"/>
      <c r="AC460" s="72">
        <v>30000</v>
      </c>
      <c r="AD460" s="77">
        <v>30000</v>
      </c>
      <c r="AE460" s="75">
        <v>30000</v>
      </c>
      <c r="AF460" s="75">
        <v>30000</v>
      </c>
      <c r="AG460" s="75">
        <v>30000</v>
      </c>
      <c r="AH460" s="75">
        <v>30000</v>
      </c>
      <c r="AI460" s="75">
        <v>30000</v>
      </c>
      <c r="AJ460" s="75">
        <v>30000</v>
      </c>
      <c r="AK460" s="33"/>
      <c r="AL460" s="33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19"/>
      <c r="AX460" s="19" t="s">
        <v>494</v>
      </c>
      <c r="AY460" s="19" t="s">
        <v>386</v>
      </c>
      <c r="AZ460" s="19"/>
      <c r="BA460" s="19"/>
      <c r="BB460" s="19"/>
      <c r="BC460" s="19"/>
      <c r="BD460" s="19"/>
      <c r="BE460" s="19"/>
      <c r="BF460" s="19"/>
      <c r="BG460" s="24"/>
      <c r="BH460" s="19"/>
      <c r="BI460" s="25"/>
      <c r="BJ460" s="25"/>
      <c r="BK460" s="25"/>
      <c r="BL460" s="25"/>
      <c r="BM460" s="25"/>
      <c r="BN460" s="37"/>
      <c r="BO460" s="21"/>
      <c r="BP460" s="27"/>
      <c r="BQ460" s="27"/>
      <c r="BR460" s="27"/>
      <c r="BS460" s="27">
        <f t="shared" si="160"/>
        <v>54000</v>
      </c>
      <c r="BT460" s="28">
        <f t="shared" si="159"/>
        <v>54000</v>
      </c>
      <c r="BU460" s="28">
        <f t="shared" si="156"/>
        <v>54000</v>
      </c>
      <c r="BV460" s="28">
        <f t="shared" si="157"/>
        <v>54000</v>
      </c>
      <c r="BW460" s="28">
        <f t="shared" si="158"/>
        <v>54000</v>
      </c>
    </row>
    <row r="461" spans="1:75" ht="17.399999999999999" x14ac:dyDescent="0.25">
      <c r="A461" s="69">
        <f t="shared" si="148"/>
        <v>460</v>
      </c>
      <c r="B461" s="73" t="s">
        <v>1785</v>
      </c>
      <c r="C461" s="71" t="s">
        <v>243</v>
      </c>
      <c r="D461" s="71" t="s">
        <v>606</v>
      </c>
      <c r="E461" s="71" t="s">
        <v>533</v>
      </c>
      <c r="F461" s="71"/>
      <c r="G461" s="71" t="s">
        <v>621</v>
      </c>
      <c r="H461" s="86" t="s">
        <v>622</v>
      </c>
      <c r="I461" s="71" t="str">
        <f>VLOOKUP(H461,[1]Sheet1!$C:$C,1,0)</f>
        <v>SC2442SO-CR-10CR-2442</v>
      </c>
      <c r="J461" s="71"/>
      <c r="K461" s="71"/>
      <c r="L461" s="73" t="s">
        <v>623</v>
      </c>
      <c r="M461" s="80"/>
      <c r="N461" s="72"/>
      <c r="O461" s="73"/>
      <c r="P461" s="71"/>
      <c r="Q461" s="71"/>
      <c r="R461" s="100">
        <v>0.28000000000000003</v>
      </c>
      <c r="S461" s="75">
        <f t="shared" si="149"/>
        <v>0</v>
      </c>
      <c r="T461" s="91"/>
      <c r="U461" s="76">
        <f t="shared" si="154"/>
        <v>0</v>
      </c>
      <c r="V461" s="80"/>
      <c r="W461" s="80"/>
      <c r="X461" s="80"/>
      <c r="Y461" s="72"/>
      <c r="Z461" s="72"/>
      <c r="AA461" s="72"/>
      <c r="AB461" s="72"/>
      <c r="AC461" s="72"/>
      <c r="AD461" s="77"/>
      <c r="AE461" s="75"/>
      <c r="AF461" s="75"/>
      <c r="AG461" s="75"/>
      <c r="AH461" s="75">
        <v>0</v>
      </c>
      <c r="AI461" s="75"/>
      <c r="AJ461" s="75">
        <v>0</v>
      </c>
      <c r="AK461" s="31"/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10"/>
      <c r="AX461" s="10" t="s">
        <v>494</v>
      </c>
      <c r="AY461" s="19" t="s">
        <v>261</v>
      </c>
      <c r="AZ461" s="10"/>
      <c r="BA461" s="10"/>
      <c r="BB461" s="10"/>
      <c r="BC461" s="10"/>
      <c r="BD461" s="10"/>
      <c r="BE461" s="10"/>
      <c r="BF461" s="10"/>
      <c r="BG461" s="13"/>
      <c r="BH461" s="10"/>
      <c r="BI461" s="14"/>
      <c r="BJ461" s="14"/>
      <c r="BK461" s="14"/>
      <c r="BL461" s="14"/>
      <c r="BM461" s="14"/>
      <c r="BN461" s="35"/>
      <c r="BO461" s="11"/>
      <c r="BP461" s="16"/>
      <c r="BQ461" s="16"/>
      <c r="BR461" s="16"/>
      <c r="BS461" s="16">
        <f t="shared" si="160"/>
        <v>0</v>
      </c>
      <c r="BT461" s="17">
        <f t="shared" si="159"/>
        <v>0</v>
      </c>
      <c r="BU461" s="28">
        <f t="shared" si="156"/>
        <v>0</v>
      </c>
      <c r="BV461" s="28">
        <f t="shared" si="157"/>
        <v>0</v>
      </c>
      <c r="BW461" s="28">
        <f t="shared" si="158"/>
        <v>0</v>
      </c>
    </row>
    <row r="462" spans="1:75" ht="17.399999999999999" x14ac:dyDescent="0.25">
      <c r="A462" s="69">
        <f t="shared" si="148"/>
        <v>461</v>
      </c>
      <c r="B462" s="73" t="s">
        <v>1785</v>
      </c>
      <c r="C462" s="71" t="s">
        <v>243</v>
      </c>
      <c r="D462" s="71" t="s">
        <v>606</v>
      </c>
      <c r="E462" s="71" t="s">
        <v>533</v>
      </c>
      <c r="F462" s="71"/>
      <c r="G462" s="71" t="s">
        <v>357</v>
      </c>
      <c r="H462" s="71" t="s">
        <v>358</v>
      </c>
      <c r="I462" s="71" t="str">
        <f>VLOOKUP(H462,[1]Sheet1!$C:$C,1,0)</f>
        <v>SC2442SO-N-CP-10CR-2442</v>
      </c>
      <c r="J462" s="71"/>
      <c r="K462" s="71"/>
      <c r="L462" s="73" t="s">
        <v>1788</v>
      </c>
      <c r="M462" s="80"/>
      <c r="N462" s="72"/>
      <c r="O462" s="73"/>
      <c r="P462" s="71"/>
      <c r="Q462" s="71"/>
      <c r="R462" s="100">
        <v>0.28000000000000003</v>
      </c>
      <c r="S462" s="75">
        <f t="shared" si="149"/>
        <v>0</v>
      </c>
      <c r="T462" s="91"/>
      <c r="U462" s="76">
        <f t="shared" si="154"/>
        <v>0</v>
      </c>
      <c r="V462" s="80"/>
      <c r="W462" s="80"/>
      <c r="X462" s="80"/>
      <c r="Y462" s="72"/>
      <c r="Z462" s="72"/>
      <c r="AA462" s="72"/>
      <c r="AB462" s="72"/>
      <c r="AC462" s="72"/>
      <c r="AD462" s="77"/>
      <c r="AE462" s="75"/>
      <c r="AF462" s="75"/>
      <c r="AG462" s="75"/>
      <c r="AH462" s="75">
        <v>0</v>
      </c>
      <c r="AI462" s="75"/>
      <c r="AJ462" s="75">
        <v>0</v>
      </c>
      <c r="AK462" s="33"/>
      <c r="AL462" s="33"/>
      <c r="AM462" s="33"/>
      <c r="AN462" s="33"/>
      <c r="AO462" s="33"/>
      <c r="AP462" s="33"/>
      <c r="AQ462" s="33"/>
      <c r="AR462" s="33"/>
      <c r="AS462" s="33"/>
      <c r="AT462" s="33"/>
      <c r="AU462" s="33"/>
      <c r="AV462" s="33"/>
      <c r="AW462" s="19"/>
      <c r="AX462" s="19" t="s">
        <v>494</v>
      </c>
      <c r="AY462" s="19" t="s">
        <v>261</v>
      </c>
      <c r="AZ462" s="19"/>
      <c r="BA462" s="19"/>
      <c r="BB462" s="19"/>
      <c r="BC462" s="19"/>
      <c r="BD462" s="19"/>
      <c r="BE462" s="19"/>
      <c r="BF462" s="19"/>
      <c r="BG462" s="24"/>
      <c r="BH462" s="19"/>
      <c r="BI462" s="25"/>
      <c r="BJ462" s="25"/>
      <c r="BK462" s="25"/>
      <c r="BL462" s="25"/>
      <c r="BM462" s="25"/>
      <c r="BN462" s="37"/>
      <c r="BO462" s="21"/>
      <c r="BP462" s="27"/>
      <c r="BQ462" s="27"/>
      <c r="BR462" s="27"/>
      <c r="BS462" s="27">
        <f t="shared" si="160"/>
        <v>0</v>
      </c>
      <c r="BT462" s="28">
        <f t="shared" si="159"/>
        <v>0</v>
      </c>
      <c r="BU462" s="28">
        <f t="shared" si="156"/>
        <v>0</v>
      </c>
      <c r="BV462" s="28">
        <f t="shared" si="157"/>
        <v>0</v>
      </c>
      <c r="BW462" s="28">
        <f t="shared" si="158"/>
        <v>0</v>
      </c>
    </row>
    <row r="463" spans="1:75" ht="17.399999999999999" x14ac:dyDescent="0.25">
      <c r="A463" s="69">
        <f t="shared" si="148"/>
        <v>462</v>
      </c>
      <c r="B463" s="73" t="s">
        <v>1785</v>
      </c>
      <c r="C463" s="71" t="s">
        <v>243</v>
      </c>
      <c r="D463" s="71" t="s">
        <v>606</v>
      </c>
      <c r="E463" s="71" t="s">
        <v>533</v>
      </c>
      <c r="F463" s="71"/>
      <c r="G463" s="71" t="s">
        <v>838</v>
      </c>
      <c r="H463" s="86" t="s">
        <v>839</v>
      </c>
      <c r="I463" s="71" t="str">
        <f>VLOOKUP(H463,[1]Sheet1!$C:$C,1,0)</f>
        <v>SC1134BU-CI-00CR-1134</v>
      </c>
      <c r="J463" s="71"/>
      <c r="K463" s="71"/>
      <c r="L463" s="73" t="s">
        <v>572</v>
      </c>
      <c r="M463" s="80"/>
      <c r="N463" s="72"/>
      <c r="O463" s="73"/>
      <c r="P463" s="71"/>
      <c r="Q463" s="71"/>
      <c r="R463" s="100">
        <v>0.28000000000000003</v>
      </c>
      <c r="S463" s="75">
        <f t="shared" si="149"/>
        <v>0</v>
      </c>
      <c r="T463" s="91"/>
      <c r="U463" s="76">
        <f t="shared" si="154"/>
        <v>0</v>
      </c>
      <c r="V463" s="80"/>
      <c r="W463" s="80"/>
      <c r="X463" s="80"/>
      <c r="Y463" s="72"/>
      <c r="Z463" s="72"/>
      <c r="AA463" s="72"/>
      <c r="AB463" s="72"/>
      <c r="AC463" s="72"/>
      <c r="AD463" s="77"/>
      <c r="AE463" s="75"/>
      <c r="AF463" s="75"/>
      <c r="AG463" s="75"/>
      <c r="AH463" s="75">
        <v>0</v>
      </c>
      <c r="AI463" s="75"/>
      <c r="AJ463" s="75">
        <v>0</v>
      </c>
      <c r="AK463" s="31"/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10"/>
      <c r="AX463" s="10" t="s">
        <v>494</v>
      </c>
      <c r="AY463" s="19" t="s">
        <v>261</v>
      </c>
      <c r="AZ463" s="10"/>
      <c r="BA463" s="10"/>
      <c r="BB463" s="10"/>
      <c r="BC463" s="10"/>
      <c r="BD463" s="10"/>
      <c r="BE463" s="10"/>
      <c r="BF463" s="10"/>
      <c r="BG463" s="13"/>
      <c r="BH463" s="10"/>
      <c r="BI463" s="14"/>
      <c r="BJ463" s="14"/>
      <c r="BK463" s="14"/>
      <c r="BL463" s="14"/>
      <c r="BM463" s="14"/>
      <c r="BN463" s="35"/>
      <c r="BO463" s="11"/>
      <c r="BP463" s="16"/>
      <c r="BQ463" s="16"/>
      <c r="BR463" s="16"/>
      <c r="BS463" s="16">
        <f t="shared" si="160"/>
        <v>0</v>
      </c>
      <c r="BT463" s="17">
        <f t="shared" si="159"/>
        <v>0</v>
      </c>
      <c r="BU463" s="28">
        <f t="shared" si="156"/>
        <v>0</v>
      </c>
      <c r="BV463" s="28">
        <f t="shared" si="157"/>
        <v>0</v>
      </c>
      <c r="BW463" s="28">
        <f t="shared" si="158"/>
        <v>0</v>
      </c>
    </row>
    <row r="464" spans="1:75" ht="17.399999999999999" x14ac:dyDescent="0.25">
      <c r="A464" s="69">
        <f t="shared" si="148"/>
        <v>463</v>
      </c>
      <c r="B464" s="71" t="s">
        <v>605</v>
      </c>
      <c r="C464" s="71" t="s">
        <v>243</v>
      </c>
      <c r="D464" s="71" t="s">
        <v>606</v>
      </c>
      <c r="E464" s="71" t="s">
        <v>533</v>
      </c>
      <c r="F464" s="71" t="s">
        <v>607</v>
      </c>
      <c r="G464" s="71" t="s">
        <v>492</v>
      </c>
      <c r="H464" s="71" t="s">
        <v>1993</v>
      </c>
      <c r="I464" s="71" t="str">
        <f>VLOOKUP(H464,[1]Sheet1!$C:$C,1,0)</f>
        <v>SC9641TS-P-Q-AI-10LR-9641P</v>
      </c>
      <c r="J464" s="71"/>
      <c r="K464" s="85"/>
      <c r="L464" s="71" t="s">
        <v>448</v>
      </c>
      <c r="M464" s="85"/>
      <c r="N464" s="85"/>
      <c r="O464" s="85"/>
      <c r="P464" s="74"/>
      <c r="Q464" s="75"/>
      <c r="R464" s="100">
        <v>1.6</v>
      </c>
      <c r="S464" s="76"/>
      <c r="T464" s="85"/>
      <c r="U464" s="76">
        <f t="shared" si="154"/>
        <v>9000</v>
      </c>
      <c r="V464" s="85"/>
      <c r="W464" s="85"/>
      <c r="X464" s="72"/>
      <c r="Y464" s="72"/>
      <c r="Z464" s="72"/>
      <c r="AA464" s="72"/>
      <c r="AB464" s="77"/>
      <c r="AC464" s="77"/>
      <c r="AD464" s="77"/>
      <c r="AE464" s="75">
        <v>3000</v>
      </c>
      <c r="AF464" s="75">
        <v>3000</v>
      </c>
      <c r="AG464" s="75">
        <v>3000</v>
      </c>
      <c r="AH464" s="75">
        <v>3000</v>
      </c>
      <c r="AI464" s="117">
        <v>0</v>
      </c>
      <c r="AJ464" s="117">
        <v>3000</v>
      </c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9" t="s">
        <v>386</v>
      </c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28">
        <f t="shared" si="156"/>
        <v>4800</v>
      </c>
      <c r="BV464" s="28">
        <f t="shared" si="157"/>
        <v>4800</v>
      </c>
      <c r="BW464" s="28">
        <f t="shared" si="158"/>
        <v>4800</v>
      </c>
    </row>
    <row r="465" spans="1:75" ht="17.399999999999999" x14ac:dyDescent="0.25">
      <c r="A465" s="69">
        <f t="shared" si="148"/>
        <v>464</v>
      </c>
      <c r="B465" s="70" t="s">
        <v>1158</v>
      </c>
      <c r="C465" s="71" t="s">
        <v>243</v>
      </c>
      <c r="D465" s="71" t="s">
        <v>1159</v>
      </c>
      <c r="E465" s="71" t="s">
        <v>1160</v>
      </c>
      <c r="F465" s="71"/>
      <c r="G465" s="71" t="s">
        <v>286</v>
      </c>
      <c r="H465" s="86" t="s">
        <v>287</v>
      </c>
      <c r="I465" s="71" t="str">
        <f>VLOOKUP(H465,[1]Sheet1!$C:$C,1,0)</f>
        <v>SC2063SO-GC-00NR-2063</v>
      </c>
      <c r="J465" s="71"/>
      <c r="K465" s="71"/>
      <c r="L465" s="71" t="s">
        <v>1161</v>
      </c>
      <c r="M465" s="72">
        <v>3000000</v>
      </c>
      <c r="N465" s="71" t="s">
        <v>361</v>
      </c>
      <c r="O465" s="73"/>
      <c r="P465" s="70" t="s">
        <v>95</v>
      </c>
      <c r="Q465" s="83"/>
      <c r="R465" s="100">
        <v>0.125</v>
      </c>
      <c r="S465" s="75">
        <f t="shared" ref="S465:S499" si="161">R465*U465</f>
        <v>0</v>
      </c>
      <c r="T465" s="92"/>
      <c r="U465" s="76">
        <f t="shared" si="154"/>
        <v>0</v>
      </c>
      <c r="V465" s="72"/>
      <c r="W465" s="72"/>
      <c r="X465" s="72">
        <v>1000000</v>
      </c>
      <c r="Y465" s="72"/>
      <c r="Z465" s="72"/>
      <c r="AA465" s="72"/>
      <c r="AB465" s="72"/>
      <c r="AC465" s="72">
        <v>0</v>
      </c>
      <c r="AD465" s="77"/>
      <c r="AE465" s="75"/>
      <c r="AF465" s="75"/>
      <c r="AG465" s="75"/>
      <c r="AH465" s="75"/>
      <c r="AI465" s="75">
        <v>0</v>
      </c>
      <c r="AJ465" s="75">
        <v>0</v>
      </c>
      <c r="AK465" s="22"/>
      <c r="AL465" s="22">
        <v>0</v>
      </c>
      <c r="AM465" s="22">
        <v>0</v>
      </c>
      <c r="AN465" s="22">
        <v>0</v>
      </c>
      <c r="AO465" s="22"/>
      <c r="AP465" s="21"/>
      <c r="AQ465" s="21">
        <v>0</v>
      </c>
      <c r="AR465" s="21"/>
      <c r="AS465" s="21"/>
      <c r="AT465" s="21"/>
      <c r="AU465" s="21"/>
      <c r="AV465" s="21"/>
      <c r="AW465" s="19" t="s">
        <v>1162</v>
      </c>
      <c r="AX465" s="19" t="s">
        <v>120</v>
      </c>
      <c r="AY465" s="19" t="s">
        <v>261</v>
      </c>
      <c r="AZ465" s="19" t="s">
        <v>115</v>
      </c>
      <c r="BA465" s="19" t="s">
        <v>123</v>
      </c>
      <c r="BB465" s="19" t="s">
        <v>1163</v>
      </c>
      <c r="BC465" s="30"/>
      <c r="BD465" s="19"/>
      <c r="BE465" s="19"/>
      <c r="BF465" s="19"/>
      <c r="BG465" s="24"/>
      <c r="BH465" s="19"/>
      <c r="BI465" s="19"/>
      <c r="BJ465" s="19"/>
      <c r="BK465" s="19"/>
      <c r="BL465" s="19"/>
      <c r="BM465" s="19"/>
      <c r="BN465" s="18"/>
      <c r="BO465" s="18"/>
      <c r="BP465" s="27">
        <f t="shared" ref="BP465:BP488" si="162">$R465*Z465</f>
        <v>0</v>
      </c>
      <c r="BQ465" s="27">
        <f t="shared" ref="BQ465:BQ488" si="163">$R465*AA465</f>
        <v>0</v>
      </c>
      <c r="BR465" s="27">
        <f t="shared" ref="BR465:BR488" si="164">$R465*AB465</f>
        <v>0</v>
      </c>
      <c r="BS465" s="27">
        <f t="shared" ref="BS465:BS488" si="165">$R465*AC465</f>
        <v>0</v>
      </c>
      <c r="BT465" s="28">
        <f t="shared" ref="BT465:BT488" si="166">$R465*AD465</f>
        <v>0</v>
      </c>
      <c r="BU465" s="28">
        <f t="shared" si="156"/>
        <v>0</v>
      </c>
      <c r="BV465" s="28">
        <f t="shared" si="157"/>
        <v>0</v>
      </c>
      <c r="BW465" s="28">
        <f t="shared" si="158"/>
        <v>0</v>
      </c>
    </row>
    <row r="466" spans="1:75" ht="17.399999999999999" x14ac:dyDescent="0.25">
      <c r="A466" s="69">
        <f t="shared" si="148"/>
        <v>465</v>
      </c>
      <c r="B466" s="70" t="s">
        <v>896</v>
      </c>
      <c r="C466" s="71" t="s">
        <v>243</v>
      </c>
      <c r="D466" s="71" t="s">
        <v>1159</v>
      </c>
      <c r="E466" s="71" t="s">
        <v>1160</v>
      </c>
      <c r="F466" s="71"/>
      <c r="G466" s="71" t="s">
        <v>305</v>
      </c>
      <c r="H466" s="71" t="s">
        <v>306</v>
      </c>
      <c r="I466" s="71" t="str">
        <f>VLOOKUP(H466,[1]Sheet1!$C:$C,1,0)</f>
        <v>SC1134SO-N-CF-00LR-1134</v>
      </c>
      <c r="J466" s="71"/>
      <c r="K466" s="71"/>
      <c r="L466" s="71" t="s">
        <v>830</v>
      </c>
      <c r="M466" s="72">
        <v>661230</v>
      </c>
      <c r="N466" s="71" t="s">
        <v>361</v>
      </c>
      <c r="O466" s="73"/>
      <c r="P466" s="70" t="s">
        <v>95</v>
      </c>
      <c r="Q466" s="83"/>
      <c r="R466" s="100">
        <v>0.23</v>
      </c>
      <c r="S466" s="75">
        <f t="shared" si="161"/>
        <v>0</v>
      </c>
      <c r="T466" s="92"/>
      <c r="U466" s="76">
        <f t="shared" si="154"/>
        <v>0</v>
      </c>
      <c r="V466" s="72">
        <v>60000</v>
      </c>
      <c r="W466" s="72">
        <v>60000</v>
      </c>
      <c r="X466" s="72">
        <v>60000</v>
      </c>
      <c r="Y466" s="72">
        <v>60000</v>
      </c>
      <c r="Z466" s="72">
        <v>60000</v>
      </c>
      <c r="AA466" s="72">
        <v>60000</v>
      </c>
      <c r="AB466" s="72">
        <v>0</v>
      </c>
      <c r="AC466" s="72">
        <v>60000</v>
      </c>
      <c r="AD466" s="77"/>
      <c r="AE466" s="75"/>
      <c r="AF466" s="75"/>
      <c r="AG466" s="75"/>
      <c r="AH466" s="75"/>
      <c r="AI466" s="75"/>
      <c r="AJ466" s="75">
        <v>0</v>
      </c>
      <c r="AK466" s="11">
        <v>0</v>
      </c>
      <c r="AL466" s="11">
        <v>0</v>
      </c>
      <c r="AM466" s="11">
        <v>0</v>
      </c>
      <c r="AN466" s="11">
        <v>0</v>
      </c>
      <c r="AO466" s="11">
        <v>0</v>
      </c>
      <c r="AP466" s="11">
        <v>0</v>
      </c>
      <c r="AQ466" s="11">
        <v>0</v>
      </c>
      <c r="AR466" s="11"/>
      <c r="AS466" s="11"/>
      <c r="AT466" s="11"/>
      <c r="AU466" s="11"/>
      <c r="AV466" s="11"/>
      <c r="AW466" s="10" t="s">
        <v>1162</v>
      </c>
      <c r="AX466" s="10" t="s">
        <v>120</v>
      </c>
      <c r="AY466" s="19" t="s">
        <v>261</v>
      </c>
      <c r="AZ466" s="10" t="s">
        <v>167</v>
      </c>
      <c r="BA466" s="10" t="s">
        <v>317</v>
      </c>
      <c r="BB466" s="10" t="s">
        <v>330</v>
      </c>
      <c r="BC466" s="32" t="s">
        <v>336</v>
      </c>
      <c r="BD466" s="10"/>
      <c r="BE466" s="10"/>
      <c r="BF466" s="10"/>
      <c r="BG466" s="13"/>
      <c r="BH466" s="10"/>
      <c r="BI466" s="10"/>
      <c r="BJ466" s="10"/>
      <c r="BK466" s="10"/>
      <c r="BL466" s="10"/>
      <c r="BM466" s="10"/>
      <c r="BN466" s="9"/>
      <c r="BO466" s="9"/>
      <c r="BP466" s="16">
        <f t="shared" si="162"/>
        <v>13800</v>
      </c>
      <c r="BQ466" s="16">
        <f t="shared" si="163"/>
        <v>13800</v>
      </c>
      <c r="BR466" s="16">
        <f t="shared" si="164"/>
        <v>0</v>
      </c>
      <c r="BS466" s="16">
        <f t="shared" si="165"/>
        <v>13800</v>
      </c>
      <c r="BT466" s="17">
        <f t="shared" si="166"/>
        <v>0</v>
      </c>
      <c r="BU466" s="28">
        <f t="shared" si="156"/>
        <v>0</v>
      </c>
      <c r="BV466" s="28">
        <f t="shared" si="157"/>
        <v>0</v>
      </c>
      <c r="BW466" s="28">
        <f t="shared" si="158"/>
        <v>0</v>
      </c>
    </row>
    <row r="467" spans="1:75" ht="17.399999999999999" x14ac:dyDescent="0.25">
      <c r="A467" s="69">
        <f t="shared" si="148"/>
        <v>466</v>
      </c>
      <c r="B467" s="70" t="s">
        <v>1175</v>
      </c>
      <c r="C467" s="71" t="s">
        <v>243</v>
      </c>
      <c r="D467" s="71" t="s">
        <v>1176</v>
      </c>
      <c r="E467" s="71" t="s">
        <v>1160</v>
      </c>
      <c r="F467" s="71"/>
      <c r="G467" s="71" t="s">
        <v>1177</v>
      </c>
      <c r="H467" s="71" t="s">
        <v>1178</v>
      </c>
      <c r="I467" s="71" t="str">
        <f>VLOOKUP(H467,[1]Sheet1!$C:$C,1,0)</f>
        <v>SL54123ADC-GB-00AR-54123A</v>
      </c>
      <c r="J467" s="71"/>
      <c r="K467" s="71"/>
      <c r="L467" s="71" t="s">
        <v>1179</v>
      </c>
      <c r="M467" s="72">
        <v>1000000</v>
      </c>
      <c r="N467" s="71" t="s">
        <v>361</v>
      </c>
      <c r="O467" s="73"/>
      <c r="P467" s="70" t="s">
        <v>1180</v>
      </c>
      <c r="Q467" s="83"/>
      <c r="R467" s="100">
        <v>0.16</v>
      </c>
      <c r="S467" s="75">
        <f t="shared" si="161"/>
        <v>16000</v>
      </c>
      <c r="T467" s="92"/>
      <c r="U467" s="76">
        <f t="shared" si="154"/>
        <v>100000</v>
      </c>
      <c r="V467" s="72">
        <v>0</v>
      </c>
      <c r="W467" s="72">
        <v>0</v>
      </c>
      <c r="X467" s="72">
        <v>150000</v>
      </c>
      <c r="Y467" s="72">
        <v>100000</v>
      </c>
      <c r="Z467" s="72">
        <v>200000</v>
      </c>
      <c r="AA467" s="72">
        <v>50000</v>
      </c>
      <c r="AB467" s="72">
        <v>0</v>
      </c>
      <c r="AC467" s="72">
        <v>200000</v>
      </c>
      <c r="AD467" s="77"/>
      <c r="AE467" s="75">
        <v>100000</v>
      </c>
      <c r="AF467" s="75"/>
      <c r="AG467" s="75"/>
      <c r="AH467" s="75">
        <v>100000</v>
      </c>
      <c r="AI467" s="75"/>
      <c r="AJ467" s="75">
        <v>100000</v>
      </c>
      <c r="AK467" s="21">
        <v>0</v>
      </c>
      <c r="AL467" s="21">
        <v>0</v>
      </c>
      <c r="AM467" s="21">
        <v>0</v>
      </c>
      <c r="AN467" s="21">
        <v>0</v>
      </c>
      <c r="AO467" s="21">
        <v>0</v>
      </c>
      <c r="AP467" s="21">
        <v>0</v>
      </c>
      <c r="AQ467" s="21">
        <v>0</v>
      </c>
      <c r="AR467" s="21"/>
      <c r="AS467" s="21"/>
      <c r="AT467" s="21"/>
      <c r="AU467" s="21"/>
      <c r="AV467" s="21"/>
      <c r="AW467" s="19" t="s">
        <v>1162</v>
      </c>
      <c r="AX467" s="19" t="s">
        <v>120</v>
      </c>
      <c r="AY467" s="19" t="s">
        <v>247</v>
      </c>
      <c r="AZ467" s="19" t="s">
        <v>167</v>
      </c>
      <c r="BA467" s="19" t="s">
        <v>317</v>
      </c>
      <c r="BB467" s="19" t="s">
        <v>330</v>
      </c>
      <c r="BC467" s="19" t="s">
        <v>336</v>
      </c>
      <c r="BD467" s="19"/>
      <c r="BE467" s="19"/>
      <c r="BF467" s="19"/>
      <c r="BG467" s="24"/>
      <c r="BH467" s="19"/>
      <c r="BI467" s="19"/>
      <c r="BJ467" s="19"/>
      <c r="BK467" s="19"/>
      <c r="BL467" s="19"/>
      <c r="BM467" s="19"/>
      <c r="BN467" s="18"/>
      <c r="BO467" s="18"/>
      <c r="BP467" s="27">
        <f t="shared" si="162"/>
        <v>32000</v>
      </c>
      <c r="BQ467" s="27">
        <f t="shared" si="163"/>
        <v>8000</v>
      </c>
      <c r="BR467" s="27">
        <f t="shared" si="164"/>
        <v>0</v>
      </c>
      <c r="BS467" s="27">
        <f t="shared" si="165"/>
        <v>32000</v>
      </c>
      <c r="BT467" s="28">
        <f t="shared" si="166"/>
        <v>0</v>
      </c>
      <c r="BU467" s="28">
        <f t="shared" si="156"/>
        <v>16000</v>
      </c>
      <c r="BV467" s="28">
        <f t="shared" si="157"/>
        <v>0</v>
      </c>
      <c r="BW467" s="28">
        <f t="shared" si="158"/>
        <v>0</v>
      </c>
    </row>
    <row r="468" spans="1:75" ht="17.399999999999999" x14ac:dyDescent="0.25">
      <c r="A468" s="69">
        <f t="shared" si="148"/>
        <v>467</v>
      </c>
      <c r="B468" s="70" t="s">
        <v>1181</v>
      </c>
      <c r="C468" s="71" t="s">
        <v>243</v>
      </c>
      <c r="D468" s="71" t="s">
        <v>1176</v>
      </c>
      <c r="E468" s="71" t="s">
        <v>1160</v>
      </c>
      <c r="F468" s="71"/>
      <c r="G468" s="71" t="s">
        <v>1182</v>
      </c>
      <c r="H468" s="71" t="s">
        <v>1183</v>
      </c>
      <c r="I468" s="71" t="str">
        <f>VLOOKUP(H468,[1]Sheet1!$C:$C,1,0)</f>
        <v>SD477VB-GC-90AK-477S</v>
      </c>
      <c r="J468" s="71"/>
      <c r="K468" s="71"/>
      <c r="L468" s="71" t="s">
        <v>800</v>
      </c>
      <c r="M468" s="72"/>
      <c r="N468" s="71" t="s">
        <v>361</v>
      </c>
      <c r="O468" s="73"/>
      <c r="P468" s="70" t="s">
        <v>1184</v>
      </c>
      <c r="Q468" s="83"/>
      <c r="R468" s="100">
        <v>0.16500000000000001</v>
      </c>
      <c r="S468" s="75">
        <f t="shared" si="161"/>
        <v>0</v>
      </c>
      <c r="T468" s="92"/>
      <c r="U468" s="76">
        <f t="shared" si="154"/>
        <v>0</v>
      </c>
      <c r="V468" s="72">
        <v>0</v>
      </c>
      <c r="W468" s="72">
        <v>0</v>
      </c>
      <c r="X468" s="72">
        <v>500000</v>
      </c>
      <c r="Y468" s="72"/>
      <c r="Z468" s="72"/>
      <c r="AA468" s="72"/>
      <c r="AB468" s="72"/>
      <c r="AC468" s="72"/>
      <c r="AD468" s="77"/>
      <c r="AE468" s="75"/>
      <c r="AF468" s="75"/>
      <c r="AG468" s="75"/>
      <c r="AH468" s="75">
        <v>0</v>
      </c>
      <c r="AI468" s="75"/>
      <c r="AJ468" s="75">
        <v>0</v>
      </c>
      <c r="AK468" s="11">
        <v>0</v>
      </c>
      <c r="AL468" s="11">
        <v>0</v>
      </c>
      <c r="AM468" s="11">
        <v>0</v>
      </c>
      <c r="AN468" s="11">
        <v>0</v>
      </c>
      <c r="AO468" s="11">
        <v>0</v>
      </c>
      <c r="AP468" s="11">
        <v>0</v>
      </c>
      <c r="AQ468" s="11">
        <v>0</v>
      </c>
      <c r="AR468" s="11"/>
      <c r="AS468" s="11"/>
      <c r="AT468" s="11"/>
      <c r="AU468" s="11"/>
      <c r="AV468" s="11"/>
      <c r="AW468" s="10" t="s">
        <v>1162</v>
      </c>
      <c r="AX468" s="10" t="s">
        <v>120</v>
      </c>
      <c r="AY468" s="19" t="s">
        <v>299</v>
      </c>
      <c r="AZ468" s="10" t="s">
        <v>1185</v>
      </c>
      <c r="BA468" s="10" t="s">
        <v>1186</v>
      </c>
      <c r="BB468" s="10" t="s">
        <v>324</v>
      </c>
      <c r="BC468" s="10" t="s">
        <v>324</v>
      </c>
      <c r="BD468" s="10"/>
      <c r="BE468" s="10"/>
      <c r="BF468" s="10"/>
      <c r="BG468" s="13"/>
      <c r="BH468" s="10"/>
      <c r="BI468" s="10"/>
      <c r="BJ468" s="10"/>
      <c r="BK468" s="10"/>
      <c r="BL468" s="10"/>
      <c r="BM468" s="10"/>
      <c r="BN468" s="9"/>
      <c r="BO468" s="9"/>
      <c r="BP468" s="16">
        <f t="shared" si="162"/>
        <v>0</v>
      </c>
      <c r="BQ468" s="16">
        <f t="shared" si="163"/>
        <v>0</v>
      </c>
      <c r="BR468" s="16">
        <f t="shared" si="164"/>
        <v>0</v>
      </c>
      <c r="BS468" s="16">
        <f t="shared" si="165"/>
        <v>0</v>
      </c>
      <c r="BT468" s="17">
        <f t="shared" si="166"/>
        <v>0</v>
      </c>
      <c r="BU468" s="28">
        <f t="shared" si="156"/>
        <v>0</v>
      </c>
      <c r="BV468" s="28">
        <f t="shared" si="157"/>
        <v>0</v>
      </c>
      <c r="BW468" s="28">
        <f t="shared" si="158"/>
        <v>0</v>
      </c>
    </row>
    <row r="469" spans="1:75" ht="17.399999999999999" x14ac:dyDescent="0.25">
      <c r="A469" s="69">
        <f t="shared" si="148"/>
        <v>468</v>
      </c>
      <c r="B469" s="70" t="s">
        <v>1187</v>
      </c>
      <c r="C469" s="71" t="s">
        <v>243</v>
      </c>
      <c r="D469" s="71" t="s">
        <v>1176</v>
      </c>
      <c r="E469" s="71" t="s">
        <v>1160</v>
      </c>
      <c r="F469" s="71"/>
      <c r="G469" s="71" t="s">
        <v>1188</v>
      </c>
      <c r="H469" s="71" t="s">
        <v>1189</v>
      </c>
      <c r="I469" s="71" t="str">
        <f>VLOOKUP(H469,[1]Sheet1!$C:$C,1,0)</f>
        <v>SD2276VB-CA-90AK-276</v>
      </c>
      <c r="J469" s="71"/>
      <c r="K469" s="71"/>
      <c r="L469" s="71" t="s">
        <v>800</v>
      </c>
      <c r="M469" s="72"/>
      <c r="N469" s="71" t="s">
        <v>361</v>
      </c>
      <c r="O469" s="73"/>
      <c r="P469" s="70" t="s">
        <v>1190</v>
      </c>
      <c r="Q469" s="83"/>
      <c r="R469" s="100">
        <v>0.125</v>
      </c>
      <c r="S469" s="75">
        <f t="shared" si="161"/>
        <v>750000</v>
      </c>
      <c r="T469" s="92"/>
      <c r="U469" s="76">
        <f t="shared" si="154"/>
        <v>6000000</v>
      </c>
      <c r="V469" s="72">
        <v>2000000</v>
      </c>
      <c r="W469" s="72">
        <v>800000</v>
      </c>
      <c r="X469" s="72">
        <v>1200000</v>
      </c>
      <c r="Y469" s="72">
        <v>800000</v>
      </c>
      <c r="Z469" s="72">
        <v>3000000</v>
      </c>
      <c r="AA469" s="72">
        <v>2000000</v>
      </c>
      <c r="AB469" s="72">
        <v>2000000</v>
      </c>
      <c r="AC469" s="72">
        <v>2000000</v>
      </c>
      <c r="AD469" s="77">
        <v>3000000</v>
      </c>
      <c r="AE469" s="75">
        <v>3000000</v>
      </c>
      <c r="AF469" s="75"/>
      <c r="AG469" s="75">
        <v>3000000</v>
      </c>
      <c r="AH469" s="75">
        <v>2000000</v>
      </c>
      <c r="AI469" s="75"/>
      <c r="AJ469" s="75">
        <v>2000000</v>
      </c>
      <c r="AK469" s="21">
        <v>0</v>
      </c>
      <c r="AL469" s="21"/>
      <c r="AM469" s="21"/>
      <c r="AN469" s="21"/>
      <c r="AO469" s="21"/>
      <c r="AP469" s="21"/>
      <c r="AQ469" s="21">
        <v>0</v>
      </c>
      <c r="AR469" s="21"/>
      <c r="AS469" s="21"/>
      <c r="AT469" s="21"/>
      <c r="AU469" s="21"/>
      <c r="AV469" s="21"/>
      <c r="AW469" s="19" t="s">
        <v>1162</v>
      </c>
      <c r="AX469" s="19" t="s">
        <v>120</v>
      </c>
      <c r="AY469" s="19" t="s">
        <v>299</v>
      </c>
      <c r="AZ469" s="19" t="s">
        <v>1185</v>
      </c>
      <c r="BA469" s="19" t="s">
        <v>1186</v>
      </c>
      <c r="BB469" s="19" t="s">
        <v>324</v>
      </c>
      <c r="BC469" s="19" t="s">
        <v>324</v>
      </c>
      <c r="BD469" s="19"/>
      <c r="BE469" s="19"/>
      <c r="BF469" s="19"/>
      <c r="BG469" s="24"/>
      <c r="BH469" s="19"/>
      <c r="BI469" s="19"/>
      <c r="BJ469" s="19"/>
      <c r="BK469" s="19"/>
      <c r="BL469" s="19"/>
      <c r="BM469" s="19"/>
      <c r="BN469" s="18"/>
      <c r="BO469" s="18"/>
      <c r="BP469" s="27">
        <f t="shared" si="162"/>
        <v>375000</v>
      </c>
      <c r="BQ469" s="27">
        <f t="shared" si="163"/>
        <v>250000</v>
      </c>
      <c r="BR469" s="27">
        <f t="shared" si="164"/>
        <v>250000</v>
      </c>
      <c r="BS469" s="27">
        <f t="shared" si="165"/>
        <v>250000</v>
      </c>
      <c r="BT469" s="28">
        <f t="shared" si="166"/>
        <v>375000</v>
      </c>
      <c r="BU469" s="28">
        <f t="shared" si="156"/>
        <v>375000</v>
      </c>
      <c r="BV469" s="28">
        <f t="shared" si="157"/>
        <v>0</v>
      </c>
      <c r="BW469" s="28">
        <f t="shared" si="158"/>
        <v>375000</v>
      </c>
    </row>
    <row r="470" spans="1:75" ht="17.399999999999999" x14ac:dyDescent="0.25">
      <c r="A470" s="69">
        <f t="shared" si="148"/>
        <v>469</v>
      </c>
      <c r="B470" s="70" t="s">
        <v>1191</v>
      </c>
      <c r="C470" s="71" t="s">
        <v>243</v>
      </c>
      <c r="D470" s="71" t="s">
        <v>1176</v>
      </c>
      <c r="E470" s="71" t="s">
        <v>1160</v>
      </c>
      <c r="F470" s="71"/>
      <c r="G470" s="71" t="s">
        <v>1192</v>
      </c>
      <c r="H470" s="71" t="s">
        <v>1193</v>
      </c>
      <c r="I470" s="71" t="str">
        <f>VLOOKUP(H470,[1]Sheet1!$C:$C,1,0)</f>
        <v>SD211VB-CA-90AK-211</v>
      </c>
      <c r="J470" s="71"/>
      <c r="K470" s="71"/>
      <c r="L470" s="71" t="s">
        <v>800</v>
      </c>
      <c r="M470" s="72"/>
      <c r="N470" s="71" t="s">
        <v>361</v>
      </c>
      <c r="O470" s="73"/>
      <c r="P470" s="70" t="s">
        <v>1194</v>
      </c>
      <c r="Q470" s="83"/>
      <c r="R470" s="100">
        <v>0.14000000000000001</v>
      </c>
      <c r="S470" s="75">
        <f t="shared" si="161"/>
        <v>280000</v>
      </c>
      <c r="T470" s="92"/>
      <c r="U470" s="76">
        <f t="shared" si="154"/>
        <v>2000000</v>
      </c>
      <c r="V470" s="72">
        <v>1000000</v>
      </c>
      <c r="W470" s="72">
        <v>800000</v>
      </c>
      <c r="X470" s="72">
        <v>1200000</v>
      </c>
      <c r="Y470" s="72">
        <v>800000</v>
      </c>
      <c r="Z470" s="72">
        <v>1000000</v>
      </c>
      <c r="AA470" s="72">
        <v>1000000</v>
      </c>
      <c r="AB470" s="72">
        <v>600000</v>
      </c>
      <c r="AC470" s="72">
        <v>1000000</v>
      </c>
      <c r="AD470" s="77">
        <v>1000000</v>
      </c>
      <c r="AE470" s="75"/>
      <c r="AF470" s="75">
        <v>1000000</v>
      </c>
      <c r="AG470" s="75">
        <v>1000000</v>
      </c>
      <c r="AH470" s="75"/>
      <c r="AI470" s="75"/>
      <c r="AJ470" s="75">
        <v>0</v>
      </c>
      <c r="AK470" s="11">
        <v>0</v>
      </c>
      <c r="AL470" s="11">
        <v>0</v>
      </c>
      <c r="AM470" s="11">
        <v>0</v>
      </c>
      <c r="AN470" s="11"/>
      <c r="AO470" s="11"/>
      <c r="AP470" s="11"/>
      <c r="AQ470" s="11">
        <v>0</v>
      </c>
      <c r="AR470" s="11"/>
      <c r="AS470" s="11"/>
      <c r="AT470" s="11"/>
      <c r="AU470" s="11"/>
      <c r="AV470" s="11"/>
      <c r="AW470" s="10" t="s">
        <v>1162</v>
      </c>
      <c r="AX470" s="10" t="s">
        <v>120</v>
      </c>
      <c r="AY470" s="19" t="s">
        <v>299</v>
      </c>
      <c r="AZ470" s="10" t="s">
        <v>1185</v>
      </c>
      <c r="BA470" s="10" t="s">
        <v>1186</v>
      </c>
      <c r="BB470" s="10" t="s">
        <v>324</v>
      </c>
      <c r="BC470" s="10" t="s">
        <v>324</v>
      </c>
      <c r="BD470" s="10"/>
      <c r="BE470" s="10"/>
      <c r="BF470" s="10"/>
      <c r="BG470" s="13"/>
      <c r="BH470" s="10"/>
      <c r="BI470" s="10"/>
      <c r="BJ470" s="10"/>
      <c r="BK470" s="10"/>
      <c r="BL470" s="10"/>
      <c r="BM470" s="10"/>
      <c r="BN470" s="9"/>
      <c r="BO470" s="9"/>
      <c r="BP470" s="16">
        <f t="shared" si="162"/>
        <v>140000</v>
      </c>
      <c r="BQ470" s="16">
        <f t="shared" si="163"/>
        <v>140000</v>
      </c>
      <c r="BR470" s="16">
        <f t="shared" si="164"/>
        <v>84000.000000000015</v>
      </c>
      <c r="BS470" s="16">
        <f t="shared" si="165"/>
        <v>140000</v>
      </c>
      <c r="BT470" s="17">
        <f t="shared" si="166"/>
        <v>140000</v>
      </c>
      <c r="BU470" s="28">
        <f t="shared" si="156"/>
        <v>0</v>
      </c>
      <c r="BV470" s="28">
        <f t="shared" si="157"/>
        <v>140000</v>
      </c>
      <c r="BW470" s="28">
        <f t="shared" si="158"/>
        <v>140000</v>
      </c>
    </row>
    <row r="471" spans="1:75" ht="17.399999999999999" x14ac:dyDescent="0.25">
      <c r="A471" s="69">
        <f t="shared" si="148"/>
        <v>470</v>
      </c>
      <c r="B471" s="70" t="s">
        <v>1195</v>
      </c>
      <c r="C471" s="71" t="s">
        <v>243</v>
      </c>
      <c r="D471" s="71" t="s">
        <v>1176</v>
      </c>
      <c r="E471" s="71" t="s">
        <v>1160</v>
      </c>
      <c r="F471" s="71"/>
      <c r="G471" s="71" t="s">
        <v>434</v>
      </c>
      <c r="H471" s="71" t="s">
        <v>435</v>
      </c>
      <c r="I471" s="71" t="str">
        <f>VLOOKUP(H471,[1]Sheet1!$C:$C,1,0)</f>
        <v>SC4688SA-Q-DC-40CK-4688</v>
      </c>
      <c r="J471" s="71"/>
      <c r="K471" s="71"/>
      <c r="L471" s="71" t="s">
        <v>1196</v>
      </c>
      <c r="M471" s="72">
        <v>100000</v>
      </c>
      <c r="N471" s="71" t="s">
        <v>361</v>
      </c>
      <c r="O471" s="73"/>
      <c r="P471" s="70" t="s">
        <v>1105</v>
      </c>
      <c r="Q471" s="83"/>
      <c r="R471" s="100">
        <v>2.52</v>
      </c>
      <c r="S471" s="75">
        <f t="shared" si="161"/>
        <v>75600</v>
      </c>
      <c r="T471" s="92"/>
      <c r="U471" s="76">
        <f t="shared" si="154"/>
        <v>30000</v>
      </c>
      <c r="V471" s="72">
        <v>10000</v>
      </c>
      <c r="W471" s="72">
        <v>0</v>
      </c>
      <c r="X471" s="72">
        <v>10000</v>
      </c>
      <c r="Y471" s="72">
        <v>5000</v>
      </c>
      <c r="Z471" s="72">
        <v>5000</v>
      </c>
      <c r="AA471" s="72">
        <v>10000</v>
      </c>
      <c r="AB471" s="72">
        <v>10000</v>
      </c>
      <c r="AC471" s="72">
        <v>10000</v>
      </c>
      <c r="AD471" s="77">
        <v>10000</v>
      </c>
      <c r="AE471" s="75">
        <v>10000</v>
      </c>
      <c r="AF471" s="75">
        <v>10000</v>
      </c>
      <c r="AG471" s="75">
        <v>10000</v>
      </c>
      <c r="AH471" s="75">
        <v>10000</v>
      </c>
      <c r="AI471" s="75"/>
      <c r="AJ471" s="75">
        <v>10000</v>
      </c>
      <c r="AK471" s="21">
        <v>0</v>
      </c>
      <c r="AL471" s="21">
        <v>0</v>
      </c>
      <c r="AM471" s="21">
        <v>0</v>
      </c>
      <c r="AN471" s="21">
        <v>0</v>
      </c>
      <c r="AO471" s="21">
        <v>0</v>
      </c>
      <c r="AP471" s="21">
        <v>0</v>
      </c>
      <c r="AQ471" s="21">
        <v>0</v>
      </c>
      <c r="AR471" s="21"/>
      <c r="AS471" s="21"/>
      <c r="AT471" s="21"/>
      <c r="AU471" s="21"/>
      <c r="AV471" s="21"/>
      <c r="AW471" s="19" t="s">
        <v>1162</v>
      </c>
      <c r="AX471" s="19" t="s">
        <v>120</v>
      </c>
      <c r="AY471" s="19" t="s">
        <v>371</v>
      </c>
      <c r="AZ471" s="19" t="s">
        <v>185</v>
      </c>
      <c r="BA471" s="19" t="s">
        <v>1197</v>
      </c>
      <c r="BB471" s="19" t="s">
        <v>1198</v>
      </c>
      <c r="BC471" s="19" t="s">
        <v>530</v>
      </c>
      <c r="BD471" s="19"/>
      <c r="BE471" s="19"/>
      <c r="BF471" s="19"/>
      <c r="BG471" s="24"/>
      <c r="BH471" s="19"/>
      <c r="BI471" s="19"/>
      <c r="BJ471" s="19"/>
      <c r="BK471" s="19"/>
      <c r="BL471" s="19"/>
      <c r="BM471" s="19"/>
      <c r="BN471" s="18"/>
      <c r="BO471" s="18"/>
      <c r="BP471" s="27">
        <f t="shared" si="162"/>
        <v>12600</v>
      </c>
      <c r="BQ471" s="27">
        <f t="shared" si="163"/>
        <v>25200</v>
      </c>
      <c r="BR471" s="27">
        <f t="shared" si="164"/>
        <v>25200</v>
      </c>
      <c r="BS471" s="27">
        <f t="shared" si="165"/>
        <v>25200</v>
      </c>
      <c r="BT471" s="28">
        <f t="shared" si="166"/>
        <v>25200</v>
      </c>
      <c r="BU471" s="28">
        <f t="shared" si="156"/>
        <v>25200</v>
      </c>
      <c r="BV471" s="28">
        <f t="shared" si="157"/>
        <v>25200</v>
      </c>
      <c r="BW471" s="28">
        <f t="shared" si="158"/>
        <v>25200</v>
      </c>
    </row>
    <row r="472" spans="1:75" ht="18" customHeight="1" x14ac:dyDescent="0.25">
      <c r="A472" s="69">
        <f t="shared" si="148"/>
        <v>471</v>
      </c>
      <c r="B472" s="70" t="s">
        <v>1199</v>
      </c>
      <c r="C472" s="71" t="s">
        <v>243</v>
      </c>
      <c r="D472" s="71" t="s">
        <v>1176</v>
      </c>
      <c r="E472" s="71" t="s">
        <v>1160</v>
      </c>
      <c r="F472" s="71"/>
      <c r="G472" s="71" t="s">
        <v>1167</v>
      </c>
      <c r="H472" s="71" t="s">
        <v>1200</v>
      </c>
      <c r="I472" s="71" t="str">
        <f>VLOOKUP(H472,[1]Sheet1!$C:$C,1,0)</f>
        <v>SC4002UA-CA-00AK-4002</v>
      </c>
      <c r="J472" s="71"/>
      <c r="K472" s="71"/>
      <c r="L472" s="71" t="s">
        <v>1201</v>
      </c>
      <c r="M472" s="72"/>
      <c r="N472" s="71" t="s">
        <v>361</v>
      </c>
      <c r="O472" s="73"/>
      <c r="P472" s="70" t="s">
        <v>295</v>
      </c>
      <c r="Q472" s="83"/>
      <c r="R472" s="100">
        <v>0.5</v>
      </c>
      <c r="S472" s="75">
        <f t="shared" si="161"/>
        <v>0</v>
      </c>
      <c r="T472" s="92"/>
      <c r="U472" s="76">
        <f t="shared" si="154"/>
        <v>0</v>
      </c>
      <c r="V472" s="72">
        <v>0</v>
      </c>
      <c r="W472" s="72">
        <v>50000</v>
      </c>
      <c r="X472" s="72">
        <v>50000</v>
      </c>
      <c r="Y472" s="72">
        <v>50000</v>
      </c>
      <c r="Z472" s="72">
        <v>50000</v>
      </c>
      <c r="AA472" s="72">
        <v>50000</v>
      </c>
      <c r="AB472" s="72">
        <v>50000</v>
      </c>
      <c r="AC472" s="72">
        <v>50000</v>
      </c>
      <c r="AD472" s="77"/>
      <c r="AE472" s="75"/>
      <c r="AF472" s="75"/>
      <c r="AG472" s="75"/>
      <c r="AH472" s="75"/>
      <c r="AI472" s="75"/>
      <c r="AJ472" s="75">
        <v>0</v>
      </c>
      <c r="AK472" s="11">
        <v>0</v>
      </c>
      <c r="AL472" s="11"/>
      <c r="AM472" s="11"/>
      <c r="AN472" s="11">
        <v>0</v>
      </c>
      <c r="AO472" s="11">
        <v>0</v>
      </c>
      <c r="AP472" s="11"/>
      <c r="AQ472" s="11">
        <v>0</v>
      </c>
      <c r="AR472" s="11"/>
      <c r="AS472" s="11"/>
      <c r="AT472" s="11"/>
      <c r="AU472" s="11"/>
      <c r="AV472" s="11"/>
      <c r="AW472" s="10" t="s">
        <v>155</v>
      </c>
      <c r="AX472" s="10" t="s">
        <v>120</v>
      </c>
      <c r="AY472" s="19" t="s">
        <v>261</v>
      </c>
      <c r="AZ472" s="10" t="s">
        <v>167</v>
      </c>
      <c r="BA472" s="10" t="s">
        <v>168</v>
      </c>
      <c r="BB472" s="10" t="s">
        <v>1171</v>
      </c>
      <c r="BC472" s="10" t="s">
        <v>327</v>
      </c>
      <c r="BD472" s="10"/>
      <c r="BE472" s="10"/>
      <c r="BF472" s="10"/>
      <c r="BG472" s="13"/>
      <c r="BH472" s="10"/>
      <c r="BI472" s="10"/>
      <c r="BJ472" s="10"/>
      <c r="BK472" s="10"/>
      <c r="BL472" s="10"/>
      <c r="BM472" s="10"/>
      <c r="BN472" s="9"/>
      <c r="BO472" s="9"/>
      <c r="BP472" s="16">
        <f t="shared" si="162"/>
        <v>25000</v>
      </c>
      <c r="BQ472" s="16">
        <f t="shared" si="163"/>
        <v>25000</v>
      </c>
      <c r="BR472" s="16">
        <f t="shared" si="164"/>
        <v>25000</v>
      </c>
      <c r="BS472" s="16">
        <f t="shared" si="165"/>
        <v>25000</v>
      </c>
      <c r="BT472" s="17">
        <f t="shared" si="166"/>
        <v>0</v>
      </c>
      <c r="BU472" s="28">
        <f t="shared" si="156"/>
        <v>0</v>
      </c>
      <c r="BV472" s="28">
        <f t="shared" si="157"/>
        <v>0</v>
      </c>
      <c r="BW472" s="28">
        <f t="shared" si="158"/>
        <v>0</v>
      </c>
    </row>
    <row r="473" spans="1:75" ht="18" customHeight="1" x14ac:dyDescent="0.25">
      <c r="A473" s="69">
        <f t="shared" si="148"/>
        <v>472</v>
      </c>
      <c r="B473" s="70" t="s">
        <v>1202</v>
      </c>
      <c r="C473" s="71" t="s">
        <v>243</v>
      </c>
      <c r="D473" s="71" t="s">
        <v>1176</v>
      </c>
      <c r="E473" s="71" t="s">
        <v>1160</v>
      </c>
      <c r="F473" s="71"/>
      <c r="G473" s="71" t="s">
        <v>1203</v>
      </c>
      <c r="H473" s="71" t="s">
        <v>1204</v>
      </c>
      <c r="I473" s="71" t="str">
        <f>VLOOKUP(H473,[1]Sheet1!$C:$C,1,0)</f>
        <v>SC2063UA-GC-00AK-2063</v>
      </c>
      <c r="J473" s="71"/>
      <c r="K473" s="71"/>
      <c r="L473" s="71" t="s">
        <v>1205</v>
      </c>
      <c r="M473" s="72"/>
      <c r="N473" s="71" t="s">
        <v>361</v>
      </c>
      <c r="O473" s="73"/>
      <c r="P473" s="70" t="s">
        <v>295</v>
      </c>
      <c r="Q473" s="83"/>
      <c r="R473" s="100">
        <v>0.13</v>
      </c>
      <c r="S473" s="75">
        <f t="shared" si="161"/>
        <v>7800</v>
      </c>
      <c r="T473" s="92"/>
      <c r="U473" s="76">
        <f t="shared" si="154"/>
        <v>60000</v>
      </c>
      <c r="V473" s="72">
        <v>50000</v>
      </c>
      <c r="W473" s="72">
        <v>30000</v>
      </c>
      <c r="X473" s="72">
        <v>30000</v>
      </c>
      <c r="Y473" s="72">
        <v>0</v>
      </c>
      <c r="Z473" s="72">
        <v>30000</v>
      </c>
      <c r="AA473" s="72">
        <v>0</v>
      </c>
      <c r="AB473" s="72">
        <v>30000</v>
      </c>
      <c r="AC473" s="72">
        <v>0</v>
      </c>
      <c r="AD473" s="77">
        <v>30000</v>
      </c>
      <c r="AE473" s="75">
        <v>0</v>
      </c>
      <c r="AF473" s="75">
        <v>30000</v>
      </c>
      <c r="AG473" s="75">
        <v>30000</v>
      </c>
      <c r="AH473" s="75">
        <v>30000</v>
      </c>
      <c r="AI473" s="75"/>
      <c r="AJ473" s="75">
        <v>30000</v>
      </c>
      <c r="AK473" s="21">
        <v>0</v>
      </c>
      <c r="AL473" s="21">
        <v>0</v>
      </c>
      <c r="AM473" s="21"/>
      <c r="AN473" s="21">
        <v>0</v>
      </c>
      <c r="AO473" s="21"/>
      <c r="AP473" s="21">
        <v>0</v>
      </c>
      <c r="AQ473" s="21">
        <v>0</v>
      </c>
      <c r="AR473" s="21"/>
      <c r="AS473" s="21"/>
      <c r="AT473" s="21"/>
      <c r="AU473" s="21"/>
      <c r="AV473" s="21"/>
      <c r="AW473" s="19" t="s">
        <v>1162</v>
      </c>
      <c r="AX473" s="19" t="s">
        <v>120</v>
      </c>
      <c r="AY473" s="19" t="s">
        <v>261</v>
      </c>
      <c r="AZ473" s="19" t="s">
        <v>167</v>
      </c>
      <c r="BA473" s="19" t="s">
        <v>168</v>
      </c>
      <c r="BB473" s="19" t="s">
        <v>1171</v>
      </c>
      <c r="BC473" s="19" t="s">
        <v>327</v>
      </c>
      <c r="BD473" s="19"/>
      <c r="BE473" s="19"/>
      <c r="BF473" s="19"/>
      <c r="BG473" s="24"/>
      <c r="BH473" s="19"/>
      <c r="BI473" s="19"/>
      <c r="BJ473" s="19"/>
      <c r="BK473" s="19"/>
      <c r="BL473" s="19"/>
      <c r="BM473" s="19"/>
      <c r="BN473" s="18"/>
      <c r="BO473" s="18"/>
      <c r="BP473" s="27">
        <f t="shared" si="162"/>
        <v>3900</v>
      </c>
      <c r="BQ473" s="27">
        <f t="shared" si="163"/>
        <v>0</v>
      </c>
      <c r="BR473" s="27">
        <f t="shared" si="164"/>
        <v>3900</v>
      </c>
      <c r="BS473" s="27">
        <f t="shared" si="165"/>
        <v>0</v>
      </c>
      <c r="BT473" s="28">
        <f t="shared" si="166"/>
        <v>3900</v>
      </c>
      <c r="BU473" s="28">
        <f t="shared" si="156"/>
        <v>0</v>
      </c>
      <c r="BV473" s="28">
        <f t="shared" si="157"/>
        <v>3900</v>
      </c>
      <c r="BW473" s="28">
        <f t="shared" si="158"/>
        <v>3900</v>
      </c>
    </row>
    <row r="474" spans="1:75" ht="18" customHeight="1" x14ac:dyDescent="0.25">
      <c r="A474" s="69">
        <f t="shared" si="148"/>
        <v>473</v>
      </c>
      <c r="B474" s="70" t="s">
        <v>1202</v>
      </c>
      <c r="C474" s="71" t="s">
        <v>243</v>
      </c>
      <c r="D474" s="71" t="s">
        <v>1176</v>
      </c>
      <c r="E474" s="71" t="s">
        <v>1160</v>
      </c>
      <c r="F474" s="71"/>
      <c r="G474" s="71" t="s">
        <v>305</v>
      </c>
      <c r="H474" s="71" t="s">
        <v>306</v>
      </c>
      <c r="I474" s="71" t="str">
        <f>VLOOKUP(H474,[1]Sheet1!$C:$C,1,0)</f>
        <v>SC1134SO-N-CF-00LR-1134</v>
      </c>
      <c r="J474" s="71"/>
      <c r="K474" s="71"/>
      <c r="L474" s="71" t="s">
        <v>844</v>
      </c>
      <c r="M474" s="72"/>
      <c r="N474" s="71" t="s">
        <v>361</v>
      </c>
      <c r="O474" s="73"/>
      <c r="P474" s="70" t="s">
        <v>295</v>
      </c>
      <c r="Q474" s="83"/>
      <c r="R474" s="100">
        <v>0.2</v>
      </c>
      <c r="S474" s="75">
        <f t="shared" si="161"/>
        <v>12000</v>
      </c>
      <c r="T474" s="92"/>
      <c r="U474" s="76">
        <f t="shared" si="154"/>
        <v>60000</v>
      </c>
      <c r="V474" s="72">
        <v>18000</v>
      </c>
      <c r="W474" s="72">
        <v>12000</v>
      </c>
      <c r="X474" s="72">
        <v>0</v>
      </c>
      <c r="Y474" s="72">
        <v>30000</v>
      </c>
      <c r="Z474" s="72">
        <v>0</v>
      </c>
      <c r="AA474" s="72">
        <v>0</v>
      </c>
      <c r="AB474" s="72">
        <v>30000</v>
      </c>
      <c r="AC474" s="72">
        <v>0</v>
      </c>
      <c r="AD474" s="77">
        <v>0</v>
      </c>
      <c r="AE474" s="75">
        <v>0</v>
      </c>
      <c r="AF474" s="75">
        <v>60000</v>
      </c>
      <c r="AG474" s="75">
        <v>0</v>
      </c>
      <c r="AH474" s="75">
        <v>0</v>
      </c>
      <c r="AI474" s="75"/>
      <c r="AJ474" s="75">
        <v>0</v>
      </c>
      <c r="AK474" s="11"/>
      <c r="AL474" s="11">
        <v>0</v>
      </c>
      <c r="AM474" s="11">
        <v>0</v>
      </c>
      <c r="AN474" s="11">
        <v>0</v>
      </c>
      <c r="AO474" s="11"/>
      <c r="AP474" s="11">
        <v>0</v>
      </c>
      <c r="AQ474" s="11">
        <v>0</v>
      </c>
      <c r="AR474" s="11"/>
      <c r="AS474" s="11"/>
      <c r="AT474" s="11"/>
      <c r="AU474" s="11"/>
      <c r="AV474" s="11"/>
      <c r="AW474" s="10" t="s">
        <v>1162</v>
      </c>
      <c r="AX474" s="10" t="s">
        <v>120</v>
      </c>
      <c r="AY474" s="19" t="s">
        <v>261</v>
      </c>
      <c r="AZ474" s="10" t="s">
        <v>167</v>
      </c>
      <c r="BA474" s="10" t="s">
        <v>168</v>
      </c>
      <c r="BB474" s="10" t="s">
        <v>1171</v>
      </c>
      <c r="BC474" s="10" t="s">
        <v>327</v>
      </c>
      <c r="BD474" s="10"/>
      <c r="BE474" s="10"/>
      <c r="BF474" s="10"/>
      <c r="BG474" s="13"/>
      <c r="BH474" s="10"/>
      <c r="BI474" s="10"/>
      <c r="BJ474" s="10"/>
      <c r="BK474" s="10"/>
      <c r="BL474" s="10"/>
      <c r="BM474" s="10"/>
      <c r="BN474" s="9"/>
      <c r="BO474" s="9"/>
      <c r="BP474" s="16">
        <f t="shared" si="162"/>
        <v>0</v>
      </c>
      <c r="BQ474" s="16">
        <f t="shared" si="163"/>
        <v>0</v>
      </c>
      <c r="BR474" s="16">
        <f t="shared" si="164"/>
        <v>6000</v>
      </c>
      <c r="BS474" s="16">
        <f t="shared" si="165"/>
        <v>0</v>
      </c>
      <c r="BT474" s="17">
        <f t="shared" si="166"/>
        <v>0</v>
      </c>
      <c r="BU474" s="28">
        <f t="shared" si="156"/>
        <v>0</v>
      </c>
      <c r="BV474" s="28">
        <f t="shared" si="157"/>
        <v>12000</v>
      </c>
      <c r="BW474" s="28">
        <f t="shared" si="158"/>
        <v>0</v>
      </c>
    </row>
    <row r="475" spans="1:75" ht="18" customHeight="1" x14ac:dyDescent="0.25">
      <c r="A475" s="69">
        <f t="shared" si="148"/>
        <v>474</v>
      </c>
      <c r="B475" s="70" t="s">
        <v>1206</v>
      </c>
      <c r="C475" s="71" t="s">
        <v>243</v>
      </c>
      <c r="D475" s="71" t="s">
        <v>1176</v>
      </c>
      <c r="E475" s="71" t="s">
        <v>1160</v>
      </c>
      <c r="F475" s="71"/>
      <c r="G475" s="71" t="s">
        <v>1207</v>
      </c>
      <c r="H475" s="71" t="s">
        <v>1208</v>
      </c>
      <c r="I475" s="71" t="str">
        <f>VLOOKUP(H475,[1]Sheet1!$C:$C,1,0)</f>
        <v>SC1134B1-CI-00HK-43F</v>
      </c>
      <c r="J475" s="71"/>
      <c r="K475" s="71"/>
      <c r="L475" s="71" t="s">
        <v>844</v>
      </c>
      <c r="M475" s="72"/>
      <c r="N475" s="71" t="s">
        <v>361</v>
      </c>
      <c r="O475" s="73"/>
      <c r="P475" s="70" t="s">
        <v>295</v>
      </c>
      <c r="Q475" s="83"/>
      <c r="R475" s="100">
        <v>0.2</v>
      </c>
      <c r="S475" s="75">
        <f t="shared" si="161"/>
        <v>74000</v>
      </c>
      <c r="T475" s="92"/>
      <c r="U475" s="76">
        <f t="shared" si="154"/>
        <v>370000</v>
      </c>
      <c r="V475" s="72">
        <v>0</v>
      </c>
      <c r="W475" s="72">
        <v>370000</v>
      </c>
      <c r="X475" s="72">
        <v>0</v>
      </c>
      <c r="Y475" s="72">
        <v>0</v>
      </c>
      <c r="Z475" s="72">
        <v>370000</v>
      </c>
      <c r="AA475" s="72">
        <v>0</v>
      </c>
      <c r="AB475" s="72">
        <v>0</v>
      </c>
      <c r="AC475" s="72">
        <v>0</v>
      </c>
      <c r="AD475" s="77">
        <v>370000</v>
      </c>
      <c r="AE475" s="75">
        <v>0</v>
      </c>
      <c r="AF475" s="75">
        <v>0</v>
      </c>
      <c r="AG475" s="75">
        <v>370000</v>
      </c>
      <c r="AH475" s="75"/>
      <c r="AI475" s="75"/>
      <c r="AJ475" s="75">
        <v>0</v>
      </c>
      <c r="AK475" s="21">
        <v>0</v>
      </c>
      <c r="AL475" s="21">
        <v>0</v>
      </c>
      <c r="AM475" s="21">
        <v>0</v>
      </c>
      <c r="AN475" s="21">
        <v>0</v>
      </c>
      <c r="AO475" s="21">
        <v>0</v>
      </c>
      <c r="AP475" s="21">
        <v>0</v>
      </c>
      <c r="AQ475" s="21">
        <v>0</v>
      </c>
      <c r="AR475" s="21"/>
      <c r="AS475" s="21"/>
      <c r="AT475" s="21"/>
      <c r="AU475" s="21"/>
      <c r="AV475" s="21"/>
      <c r="AW475" s="19" t="s">
        <v>1162</v>
      </c>
      <c r="AX475" s="19" t="s">
        <v>120</v>
      </c>
      <c r="AY475" s="19" t="s">
        <v>261</v>
      </c>
      <c r="AZ475" s="19" t="s">
        <v>167</v>
      </c>
      <c r="BA475" s="19" t="s">
        <v>168</v>
      </c>
      <c r="BB475" s="19" t="s">
        <v>1171</v>
      </c>
      <c r="BC475" s="19" t="s">
        <v>327</v>
      </c>
      <c r="BD475" s="19"/>
      <c r="BE475" s="19"/>
      <c r="BF475" s="19"/>
      <c r="BG475" s="24"/>
      <c r="BH475" s="19"/>
      <c r="BI475" s="19"/>
      <c r="BJ475" s="19"/>
      <c r="BK475" s="19"/>
      <c r="BL475" s="19"/>
      <c r="BM475" s="19"/>
      <c r="BN475" s="18"/>
      <c r="BO475" s="18"/>
      <c r="BP475" s="27">
        <f t="shared" si="162"/>
        <v>74000</v>
      </c>
      <c r="BQ475" s="27">
        <f t="shared" si="163"/>
        <v>0</v>
      </c>
      <c r="BR475" s="27">
        <f t="shared" si="164"/>
        <v>0</v>
      </c>
      <c r="BS475" s="27">
        <f t="shared" si="165"/>
        <v>0</v>
      </c>
      <c r="BT475" s="28">
        <f t="shared" si="166"/>
        <v>74000</v>
      </c>
      <c r="BU475" s="28">
        <f t="shared" si="156"/>
        <v>0</v>
      </c>
      <c r="BV475" s="28">
        <f t="shared" si="157"/>
        <v>0</v>
      </c>
      <c r="BW475" s="28">
        <f t="shared" si="158"/>
        <v>74000</v>
      </c>
    </row>
    <row r="476" spans="1:75" ht="17.399999999999999" x14ac:dyDescent="0.25">
      <c r="A476" s="69">
        <f t="shared" si="148"/>
        <v>475</v>
      </c>
      <c r="B476" s="70" t="s">
        <v>1209</v>
      </c>
      <c r="C476" s="71" t="s">
        <v>243</v>
      </c>
      <c r="D476" s="71" t="s">
        <v>1210</v>
      </c>
      <c r="E476" s="71" t="s">
        <v>1160</v>
      </c>
      <c r="F476" s="71"/>
      <c r="G476" s="71" t="s">
        <v>1182</v>
      </c>
      <c r="H476" s="71" t="s">
        <v>1211</v>
      </c>
      <c r="I476" s="71" t="str">
        <f>VLOOKUP(H476,[1]Sheet1!$C:$C,1,0)</f>
        <v>SD477VB-GC-90AK-KH477</v>
      </c>
      <c r="J476" s="71"/>
      <c r="K476" s="71"/>
      <c r="L476" s="71" t="s">
        <v>800</v>
      </c>
      <c r="M476" s="72"/>
      <c r="N476" s="71" t="s">
        <v>361</v>
      </c>
      <c r="O476" s="73"/>
      <c r="P476" s="70"/>
      <c r="Q476" s="83"/>
      <c r="R476" s="100">
        <v>0.18</v>
      </c>
      <c r="S476" s="75">
        <f t="shared" si="161"/>
        <v>0</v>
      </c>
      <c r="T476" s="92"/>
      <c r="U476" s="76">
        <f t="shared" si="154"/>
        <v>0</v>
      </c>
      <c r="V476" s="72">
        <v>70000</v>
      </c>
      <c r="W476" s="72">
        <v>0</v>
      </c>
      <c r="X476" s="72">
        <v>0</v>
      </c>
      <c r="Y476" s="72"/>
      <c r="Z476" s="72"/>
      <c r="AA476" s="72"/>
      <c r="AB476" s="72"/>
      <c r="AC476" s="72"/>
      <c r="AD476" s="77"/>
      <c r="AE476" s="75"/>
      <c r="AF476" s="75"/>
      <c r="AG476" s="75"/>
      <c r="AH476" s="75">
        <v>0</v>
      </c>
      <c r="AI476" s="75"/>
      <c r="AJ476" s="75">
        <v>0</v>
      </c>
      <c r="AK476" s="11"/>
      <c r="AL476" s="11">
        <v>0</v>
      </c>
      <c r="AM476" s="11">
        <v>0</v>
      </c>
      <c r="AN476" s="11">
        <v>0</v>
      </c>
      <c r="AO476" s="11"/>
      <c r="AP476" s="11"/>
      <c r="AQ476" s="11">
        <v>0</v>
      </c>
      <c r="AR476" s="11"/>
      <c r="AS476" s="11"/>
      <c r="AT476" s="11"/>
      <c r="AU476" s="11"/>
      <c r="AV476" s="11"/>
      <c r="AW476" s="10" t="s">
        <v>122</v>
      </c>
      <c r="AX476" s="10" t="s">
        <v>120</v>
      </c>
      <c r="AY476" s="19" t="s">
        <v>299</v>
      </c>
      <c r="AZ476" s="10" t="s">
        <v>1185</v>
      </c>
      <c r="BA476" s="10" t="s">
        <v>1186</v>
      </c>
      <c r="BB476" s="10" t="s">
        <v>324</v>
      </c>
      <c r="BC476" s="10" t="s">
        <v>324</v>
      </c>
      <c r="BD476" s="10"/>
      <c r="BE476" s="10"/>
      <c r="BF476" s="10"/>
      <c r="BG476" s="13"/>
      <c r="BH476" s="10"/>
      <c r="BI476" s="10"/>
      <c r="BJ476" s="10"/>
      <c r="BK476" s="10"/>
      <c r="BL476" s="10"/>
      <c r="BM476" s="10"/>
      <c r="BN476" s="9"/>
      <c r="BO476" s="9"/>
      <c r="BP476" s="16">
        <f t="shared" si="162"/>
        <v>0</v>
      </c>
      <c r="BQ476" s="16">
        <f t="shared" si="163"/>
        <v>0</v>
      </c>
      <c r="BR476" s="16">
        <f t="shared" si="164"/>
        <v>0</v>
      </c>
      <c r="BS476" s="16">
        <f t="shared" si="165"/>
        <v>0</v>
      </c>
      <c r="BT476" s="17">
        <f t="shared" si="166"/>
        <v>0</v>
      </c>
      <c r="BU476" s="28">
        <f t="shared" si="156"/>
        <v>0</v>
      </c>
      <c r="BV476" s="28">
        <f t="shared" si="157"/>
        <v>0</v>
      </c>
      <c r="BW476" s="28">
        <f t="shared" si="158"/>
        <v>0</v>
      </c>
    </row>
    <row r="477" spans="1:75" ht="18" customHeight="1" x14ac:dyDescent="0.25">
      <c r="A477" s="69">
        <f t="shared" si="148"/>
        <v>476</v>
      </c>
      <c r="B477" s="70" t="s">
        <v>1209</v>
      </c>
      <c r="C477" s="71" t="s">
        <v>243</v>
      </c>
      <c r="D477" s="71" t="s">
        <v>1210</v>
      </c>
      <c r="E477" s="71" t="s">
        <v>1160</v>
      </c>
      <c r="F477" s="71"/>
      <c r="G477" s="71" t="s">
        <v>1188</v>
      </c>
      <c r="H477" s="71" t="s">
        <v>1212</v>
      </c>
      <c r="I477" s="71" t="str">
        <f>VLOOKUP(H477,[1]Sheet1!$C:$C,1,0)</f>
        <v>SD2276VB-CA-90AK-KH276</v>
      </c>
      <c r="J477" s="71"/>
      <c r="K477" s="71"/>
      <c r="L477" s="71" t="s">
        <v>800</v>
      </c>
      <c r="M477" s="72"/>
      <c r="N477" s="71" t="s">
        <v>361</v>
      </c>
      <c r="O477" s="73"/>
      <c r="P477" s="70"/>
      <c r="Q477" s="83"/>
      <c r="R477" s="100">
        <v>0.125</v>
      </c>
      <c r="S477" s="75">
        <f t="shared" si="161"/>
        <v>0</v>
      </c>
      <c r="T477" s="92"/>
      <c r="U477" s="76">
        <f t="shared" si="154"/>
        <v>0</v>
      </c>
      <c r="V477" s="72">
        <v>0</v>
      </c>
      <c r="W477" s="72">
        <v>400000</v>
      </c>
      <c r="X477" s="72">
        <v>800000</v>
      </c>
      <c r="Y477" s="72">
        <v>400000</v>
      </c>
      <c r="Z477" s="72">
        <v>800000</v>
      </c>
      <c r="AA477" s="72">
        <v>800000</v>
      </c>
      <c r="AB477" s="72">
        <v>800000</v>
      </c>
      <c r="AC477" s="72">
        <v>800000</v>
      </c>
      <c r="AD477" s="77"/>
      <c r="AE477" s="75"/>
      <c r="AF477" s="75"/>
      <c r="AG477" s="75"/>
      <c r="AH477" s="75"/>
      <c r="AI477" s="75"/>
      <c r="AJ477" s="75">
        <v>0</v>
      </c>
      <c r="AK477" s="21"/>
      <c r="AL477" s="21">
        <v>0</v>
      </c>
      <c r="AM477" s="21"/>
      <c r="AN477" s="21"/>
      <c r="AO477" s="21">
        <v>0</v>
      </c>
      <c r="AP477" s="21"/>
      <c r="AQ477" s="21">
        <v>0</v>
      </c>
      <c r="AR477" s="21"/>
      <c r="AS477" s="21"/>
      <c r="AT477" s="21"/>
      <c r="AU477" s="21"/>
      <c r="AV477" s="21"/>
      <c r="AW477" s="19" t="s">
        <v>122</v>
      </c>
      <c r="AX477" s="19" t="s">
        <v>120</v>
      </c>
      <c r="AY477" s="19" t="s">
        <v>299</v>
      </c>
      <c r="AZ477" s="19" t="s">
        <v>1185</v>
      </c>
      <c r="BA477" s="19" t="s">
        <v>1186</v>
      </c>
      <c r="BB477" s="19" t="s">
        <v>324</v>
      </c>
      <c r="BC477" s="19" t="s">
        <v>324</v>
      </c>
      <c r="BD477" s="19"/>
      <c r="BE477" s="19"/>
      <c r="BF477" s="19"/>
      <c r="BG477" s="24"/>
      <c r="BH477" s="19"/>
      <c r="BI477" s="19"/>
      <c r="BJ477" s="19"/>
      <c r="BK477" s="19"/>
      <c r="BL477" s="19"/>
      <c r="BM477" s="19"/>
      <c r="BN477" s="18"/>
      <c r="BO477" s="18"/>
      <c r="BP477" s="27">
        <f t="shared" si="162"/>
        <v>100000</v>
      </c>
      <c r="BQ477" s="27">
        <f t="shared" si="163"/>
        <v>100000</v>
      </c>
      <c r="BR477" s="27">
        <f t="shared" si="164"/>
        <v>100000</v>
      </c>
      <c r="BS477" s="27">
        <f t="shared" si="165"/>
        <v>100000</v>
      </c>
      <c r="BT477" s="28">
        <f t="shared" si="166"/>
        <v>0</v>
      </c>
      <c r="BU477" s="28">
        <f t="shared" si="156"/>
        <v>0</v>
      </c>
      <c r="BV477" s="28">
        <f t="shared" si="157"/>
        <v>0</v>
      </c>
      <c r="BW477" s="28">
        <f t="shared" si="158"/>
        <v>0</v>
      </c>
    </row>
    <row r="478" spans="1:75" ht="17.399999999999999" x14ac:dyDescent="0.25">
      <c r="A478" s="69">
        <f t="shared" si="148"/>
        <v>477</v>
      </c>
      <c r="B478" s="70" t="s">
        <v>1209</v>
      </c>
      <c r="C478" s="71" t="s">
        <v>243</v>
      </c>
      <c r="D478" s="71" t="s">
        <v>1210</v>
      </c>
      <c r="E478" s="71" t="s">
        <v>1160</v>
      </c>
      <c r="F478" s="71"/>
      <c r="G478" s="71" t="s">
        <v>1192</v>
      </c>
      <c r="H478" s="71" t="s">
        <v>1213</v>
      </c>
      <c r="I478" s="71" t="str">
        <f>VLOOKUP(H478,[1]Sheet1!$C:$C,1,0)</f>
        <v>SD211VB-CA-90AK-KH211</v>
      </c>
      <c r="J478" s="71"/>
      <c r="K478" s="71"/>
      <c r="L478" s="71" t="s">
        <v>800</v>
      </c>
      <c r="M478" s="72"/>
      <c r="N478" s="71" t="s">
        <v>361</v>
      </c>
      <c r="O478" s="73"/>
      <c r="P478" s="70"/>
      <c r="Q478" s="83"/>
      <c r="R478" s="100">
        <v>0.13700000000000001</v>
      </c>
      <c r="S478" s="75">
        <f t="shared" si="161"/>
        <v>0</v>
      </c>
      <c r="T478" s="92"/>
      <c r="U478" s="76">
        <f t="shared" si="154"/>
        <v>0</v>
      </c>
      <c r="V478" s="72">
        <v>0</v>
      </c>
      <c r="W478" s="72">
        <v>0</v>
      </c>
      <c r="X478" s="72">
        <v>0</v>
      </c>
      <c r="Y478" s="72">
        <v>0</v>
      </c>
      <c r="Z478" s="72">
        <v>300000</v>
      </c>
      <c r="AA478" s="72">
        <v>600000</v>
      </c>
      <c r="AB478" s="72">
        <v>400000</v>
      </c>
      <c r="AC478" s="72">
        <v>400000</v>
      </c>
      <c r="AD478" s="77"/>
      <c r="AE478" s="75"/>
      <c r="AF478" s="75"/>
      <c r="AG478" s="75"/>
      <c r="AH478" s="75"/>
      <c r="AI478" s="75"/>
      <c r="AJ478" s="75">
        <v>0</v>
      </c>
      <c r="AK478" s="11"/>
      <c r="AL478" s="11">
        <v>0</v>
      </c>
      <c r="AM478" s="11">
        <v>0</v>
      </c>
      <c r="AN478" s="11">
        <v>0</v>
      </c>
      <c r="AO478" s="11">
        <v>0</v>
      </c>
      <c r="AP478" s="11"/>
      <c r="AQ478" s="11">
        <v>0</v>
      </c>
      <c r="AR478" s="11"/>
      <c r="AS478" s="11"/>
      <c r="AT478" s="11"/>
      <c r="AU478" s="11"/>
      <c r="AV478" s="11"/>
      <c r="AW478" s="10" t="s">
        <v>122</v>
      </c>
      <c r="AX478" s="10" t="s">
        <v>120</v>
      </c>
      <c r="AY478" s="19" t="s">
        <v>299</v>
      </c>
      <c r="AZ478" s="10" t="s">
        <v>1185</v>
      </c>
      <c r="BA478" s="10" t="s">
        <v>1186</v>
      </c>
      <c r="BB478" s="10" t="s">
        <v>324</v>
      </c>
      <c r="BC478" s="10" t="s">
        <v>324</v>
      </c>
      <c r="BD478" s="10"/>
      <c r="BE478" s="10"/>
      <c r="BF478" s="10"/>
      <c r="BG478" s="13"/>
      <c r="BH478" s="10"/>
      <c r="BI478" s="10"/>
      <c r="BJ478" s="10"/>
      <c r="BK478" s="10"/>
      <c r="BL478" s="10"/>
      <c r="BM478" s="10"/>
      <c r="BN478" s="9"/>
      <c r="BO478" s="9"/>
      <c r="BP478" s="16">
        <f t="shared" si="162"/>
        <v>41100</v>
      </c>
      <c r="BQ478" s="16">
        <f t="shared" si="163"/>
        <v>82200</v>
      </c>
      <c r="BR478" s="16">
        <f t="shared" si="164"/>
        <v>54800.000000000007</v>
      </c>
      <c r="BS478" s="16">
        <f t="shared" si="165"/>
        <v>54800.000000000007</v>
      </c>
      <c r="BT478" s="17">
        <f t="shared" si="166"/>
        <v>0</v>
      </c>
      <c r="BU478" s="28">
        <f t="shared" si="156"/>
        <v>0</v>
      </c>
      <c r="BV478" s="28">
        <f t="shared" si="157"/>
        <v>0</v>
      </c>
      <c r="BW478" s="28">
        <f t="shared" si="158"/>
        <v>0</v>
      </c>
    </row>
    <row r="479" spans="1:75" ht="17.399999999999999" x14ac:dyDescent="0.25">
      <c r="A479" s="69">
        <f t="shared" si="148"/>
        <v>478</v>
      </c>
      <c r="B479" s="70" t="s">
        <v>1214</v>
      </c>
      <c r="C479" s="71" t="s">
        <v>243</v>
      </c>
      <c r="D479" s="71" t="s">
        <v>1176</v>
      </c>
      <c r="E479" s="71" t="s">
        <v>1160</v>
      </c>
      <c r="F479" s="71"/>
      <c r="G479" s="71" t="s">
        <v>1215</v>
      </c>
      <c r="H479" s="71" t="s">
        <v>1216</v>
      </c>
      <c r="I479" s="71" t="str">
        <f>VLOOKUP(H479,[1]Sheet1!$C:$C,1,0)</f>
        <v>SL002147DC-GB-00AR-2147</v>
      </c>
      <c r="J479" s="71"/>
      <c r="K479" s="71"/>
      <c r="L479" s="71" t="s">
        <v>1217</v>
      </c>
      <c r="M479" s="72">
        <v>200000</v>
      </c>
      <c r="N479" s="71" t="s">
        <v>367</v>
      </c>
      <c r="O479" s="73"/>
      <c r="P479" s="70" t="s">
        <v>1218</v>
      </c>
      <c r="Q479" s="83"/>
      <c r="R479" s="100">
        <v>0.35</v>
      </c>
      <c r="S479" s="75">
        <f t="shared" si="161"/>
        <v>105000</v>
      </c>
      <c r="T479" s="92"/>
      <c r="U479" s="76">
        <f t="shared" si="154"/>
        <v>300000</v>
      </c>
      <c r="V479" s="72">
        <v>0</v>
      </c>
      <c r="W479" s="72">
        <v>0</v>
      </c>
      <c r="X479" s="72">
        <v>50000</v>
      </c>
      <c r="Y479" s="72">
        <v>50000</v>
      </c>
      <c r="Z479" s="72">
        <v>50000</v>
      </c>
      <c r="AA479" s="72">
        <v>100000</v>
      </c>
      <c r="AB479" s="72">
        <v>50000</v>
      </c>
      <c r="AC479" s="72">
        <v>50000</v>
      </c>
      <c r="AD479" s="77">
        <v>80000</v>
      </c>
      <c r="AE479" s="75"/>
      <c r="AF479" s="75">
        <v>100000</v>
      </c>
      <c r="AG479" s="75">
        <v>200000</v>
      </c>
      <c r="AH479" s="75">
        <v>200000</v>
      </c>
      <c r="AI479" s="75"/>
      <c r="AJ479" s="75">
        <v>200000</v>
      </c>
      <c r="AK479" s="21">
        <v>0</v>
      </c>
      <c r="AL479" s="21">
        <v>0</v>
      </c>
      <c r="AM479" s="21">
        <v>0</v>
      </c>
      <c r="AN479" s="21">
        <v>0</v>
      </c>
      <c r="AO479" s="21">
        <v>0</v>
      </c>
      <c r="AP479" s="21">
        <v>0</v>
      </c>
      <c r="AQ479" s="21">
        <v>0</v>
      </c>
      <c r="AR479" s="21"/>
      <c r="AS479" s="21"/>
      <c r="AT479" s="21"/>
      <c r="AU479" s="21"/>
      <c r="AV479" s="21"/>
      <c r="AW479" s="19" t="s">
        <v>1162</v>
      </c>
      <c r="AX479" s="19" t="s">
        <v>120</v>
      </c>
      <c r="AY479" s="19" t="s">
        <v>247</v>
      </c>
      <c r="AZ479" s="19" t="s">
        <v>167</v>
      </c>
      <c r="BA479" s="19" t="s">
        <v>317</v>
      </c>
      <c r="BB479" s="19" t="s">
        <v>330</v>
      </c>
      <c r="BC479" s="19" t="s">
        <v>336</v>
      </c>
      <c r="BD479" s="19"/>
      <c r="BE479" s="19"/>
      <c r="BF479" s="19"/>
      <c r="BG479" s="24"/>
      <c r="BH479" s="19"/>
      <c r="BI479" s="19"/>
      <c r="BJ479" s="19"/>
      <c r="BK479" s="19"/>
      <c r="BL479" s="19"/>
      <c r="BM479" s="19"/>
      <c r="BN479" s="18"/>
      <c r="BO479" s="18"/>
      <c r="BP479" s="27">
        <f t="shared" si="162"/>
        <v>17500</v>
      </c>
      <c r="BQ479" s="27">
        <f t="shared" si="163"/>
        <v>35000</v>
      </c>
      <c r="BR479" s="27">
        <f t="shared" si="164"/>
        <v>17500</v>
      </c>
      <c r="BS479" s="27">
        <f t="shared" si="165"/>
        <v>17500</v>
      </c>
      <c r="BT479" s="28">
        <f t="shared" si="166"/>
        <v>28000</v>
      </c>
      <c r="BU479" s="28">
        <f t="shared" si="156"/>
        <v>0</v>
      </c>
      <c r="BV479" s="28">
        <f t="shared" si="157"/>
        <v>35000</v>
      </c>
      <c r="BW479" s="28">
        <f t="shared" si="158"/>
        <v>70000</v>
      </c>
    </row>
    <row r="480" spans="1:75" ht="17.399999999999999" x14ac:dyDescent="0.25">
      <c r="A480" s="69">
        <f t="shared" si="148"/>
        <v>479</v>
      </c>
      <c r="B480" s="70" t="s">
        <v>1214</v>
      </c>
      <c r="C480" s="71" t="s">
        <v>243</v>
      </c>
      <c r="D480" s="71" t="s">
        <v>1176</v>
      </c>
      <c r="E480" s="71" t="s">
        <v>1160</v>
      </c>
      <c r="F480" s="71"/>
      <c r="G480" s="71" t="s">
        <v>1177</v>
      </c>
      <c r="H480" s="71" t="s">
        <v>1178</v>
      </c>
      <c r="I480" s="71" t="str">
        <f>VLOOKUP(H480,[1]Sheet1!$C:$C,1,0)</f>
        <v>SL54123ADC-GB-00AR-54123A</v>
      </c>
      <c r="J480" s="71"/>
      <c r="K480" s="71"/>
      <c r="L480" s="71" t="s">
        <v>1217</v>
      </c>
      <c r="M480" s="72">
        <v>1000000</v>
      </c>
      <c r="N480" s="71" t="s">
        <v>367</v>
      </c>
      <c r="O480" s="73"/>
      <c r="P480" s="70" t="s">
        <v>1219</v>
      </c>
      <c r="Q480" s="83"/>
      <c r="R480" s="100">
        <v>0.16</v>
      </c>
      <c r="S480" s="75">
        <f t="shared" si="161"/>
        <v>32000</v>
      </c>
      <c r="T480" s="92"/>
      <c r="U480" s="76">
        <f t="shared" si="154"/>
        <v>200000</v>
      </c>
      <c r="V480" s="72">
        <v>0</v>
      </c>
      <c r="W480" s="72">
        <v>0</v>
      </c>
      <c r="X480" s="72">
        <v>50000</v>
      </c>
      <c r="Y480" s="72">
        <v>100000</v>
      </c>
      <c r="Z480" s="72">
        <v>100000</v>
      </c>
      <c r="AA480" s="72">
        <v>50000</v>
      </c>
      <c r="AB480" s="72">
        <v>60000</v>
      </c>
      <c r="AC480" s="72">
        <v>100000</v>
      </c>
      <c r="AD480" s="77"/>
      <c r="AE480" s="75">
        <v>200000</v>
      </c>
      <c r="AF480" s="75"/>
      <c r="AG480" s="75"/>
      <c r="AH480" s="75">
        <v>200000</v>
      </c>
      <c r="AI480" s="75"/>
      <c r="AJ480" s="75">
        <v>200000</v>
      </c>
      <c r="AK480" s="11">
        <v>0</v>
      </c>
      <c r="AL480" s="11">
        <v>0</v>
      </c>
      <c r="AM480" s="11">
        <v>0</v>
      </c>
      <c r="AN480" s="11">
        <v>0</v>
      </c>
      <c r="AO480" s="11">
        <v>0</v>
      </c>
      <c r="AP480" s="11">
        <v>0</v>
      </c>
      <c r="AQ480" s="11">
        <v>0</v>
      </c>
      <c r="AR480" s="11"/>
      <c r="AS480" s="11"/>
      <c r="AT480" s="11"/>
      <c r="AU480" s="11"/>
      <c r="AV480" s="11"/>
      <c r="AW480" s="10" t="s">
        <v>1162</v>
      </c>
      <c r="AX480" s="10" t="s">
        <v>120</v>
      </c>
      <c r="AY480" s="19" t="s">
        <v>247</v>
      </c>
      <c r="AZ480" s="10" t="s">
        <v>167</v>
      </c>
      <c r="BA480" s="10" t="s">
        <v>317</v>
      </c>
      <c r="BB480" s="10" t="s">
        <v>330</v>
      </c>
      <c r="BC480" s="10" t="s">
        <v>336</v>
      </c>
      <c r="BD480" s="10"/>
      <c r="BE480" s="10"/>
      <c r="BF480" s="10"/>
      <c r="BG480" s="13"/>
      <c r="BH480" s="10"/>
      <c r="BI480" s="10"/>
      <c r="BJ480" s="10"/>
      <c r="BK480" s="10"/>
      <c r="BL480" s="10"/>
      <c r="BM480" s="10"/>
      <c r="BN480" s="9"/>
      <c r="BO480" s="9"/>
      <c r="BP480" s="16">
        <f t="shared" si="162"/>
        <v>16000</v>
      </c>
      <c r="BQ480" s="16">
        <f t="shared" si="163"/>
        <v>8000</v>
      </c>
      <c r="BR480" s="16">
        <f t="shared" si="164"/>
        <v>9600</v>
      </c>
      <c r="BS480" s="16">
        <f t="shared" si="165"/>
        <v>16000</v>
      </c>
      <c r="BT480" s="17">
        <f t="shared" si="166"/>
        <v>0</v>
      </c>
      <c r="BU480" s="28">
        <f t="shared" si="156"/>
        <v>32000</v>
      </c>
      <c r="BV480" s="28">
        <f t="shared" si="157"/>
        <v>0</v>
      </c>
      <c r="BW480" s="28">
        <f t="shared" si="158"/>
        <v>0</v>
      </c>
    </row>
    <row r="481" spans="1:75" ht="17.399999999999999" x14ac:dyDescent="0.25">
      <c r="A481" s="69">
        <f t="shared" si="148"/>
        <v>480</v>
      </c>
      <c r="B481" s="70" t="s">
        <v>1220</v>
      </c>
      <c r="C481" s="71" t="s">
        <v>243</v>
      </c>
      <c r="D481" s="71" t="s">
        <v>1176</v>
      </c>
      <c r="E481" s="71" t="s">
        <v>1160</v>
      </c>
      <c r="F481" s="71"/>
      <c r="G481" s="71" t="s">
        <v>1177</v>
      </c>
      <c r="H481" s="71" t="s">
        <v>1178</v>
      </c>
      <c r="I481" s="71" t="str">
        <f>VLOOKUP(H481,[1]Sheet1!$C:$C,1,0)</f>
        <v>SL54123ADC-GB-00AR-54123A</v>
      </c>
      <c r="J481" s="71"/>
      <c r="K481" s="71"/>
      <c r="L481" s="71" t="s">
        <v>1179</v>
      </c>
      <c r="M481" s="72">
        <v>3000000</v>
      </c>
      <c r="N481" s="71" t="s">
        <v>361</v>
      </c>
      <c r="O481" s="73"/>
      <c r="P481" s="70" t="s">
        <v>1180</v>
      </c>
      <c r="Q481" s="83"/>
      <c r="R481" s="100">
        <v>0.16</v>
      </c>
      <c r="S481" s="75">
        <f t="shared" si="161"/>
        <v>48000</v>
      </c>
      <c r="T481" s="92"/>
      <c r="U481" s="76">
        <f t="shared" si="154"/>
        <v>300000</v>
      </c>
      <c r="V481" s="72">
        <v>0</v>
      </c>
      <c r="W481" s="72">
        <v>0</v>
      </c>
      <c r="X481" s="72">
        <v>200000</v>
      </c>
      <c r="Y481" s="72">
        <v>200000</v>
      </c>
      <c r="Z481" s="72">
        <v>300000</v>
      </c>
      <c r="AA481" s="72">
        <v>100000</v>
      </c>
      <c r="AB481" s="72">
        <v>100000</v>
      </c>
      <c r="AC481" s="72">
        <v>200000</v>
      </c>
      <c r="AD481" s="77"/>
      <c r="AE481" s="75">
        <v>300000</v>
      </c>
      <c r="AF481" s="75"/>
      <c r="AG481" s="75"/>
      <c r="AH481" s="75">
        <v>300000</v>
      </c>
      <c r="AI481" s="75"/>
      <c r="AJ481" s="75">
        <v>300000</v>
      </c>
      <c r="AK481" s="21">
        <v>0</v>
      </c>
      <c r="AL481" s="21">
        <v>0</v>
      </c>
      <c r="AM481" s="21">
        <v>0</v>
      </c>
      <c r="AN481" s="21">
        <v>0</v>
      </c>
      <c r="AO481" s="21">
        <v>0</v>
      </c>
      <c r="AP481" s="21">
        <v>0</v>
      </c>
      <c r="AQ481" s="21">
        <v>0</v>
      </c>
      <c r="AR481" s="21"/>
      <c r="AS481" s="21"/>
      <c r="AT481" s="21"/>
      <c r="AU481" s="21"/>
      <c r="AV481" s="21"/>
      <c r="AW481" s="19" t="s">
        <v>1162</v>
      </c>
      <c r="AX481" s="19" t="s">
        <v>120</v>
      </c>
      <c r="AY481" s="19" t="s">
        <v>247</v>
      </c>
      <c r="AZ481" s="19" t="s">
        <v>167</v>
      </c>
      <c r="BA481" s="19" t="s">
        <v>317</v>
      </c>
      <c r="BB481" s="19" t="s">
        <v>330</v>
      </c>
      <c r="BC481" s="19" t="s">
        <v>336</v>
      </c>
      <c r="BD481" s="19"/>
      <c r="BE481" s="19"/>
      <c r="BF481" s="19"/>
      <c r="BG481" s="24"/>
      <c r="BH481" s="19"/>
      <c r="BI481" s="19"/>
      <c r="BJ481" s="19"/>
      <c r="BK481" s="19"/>
      <c r="BL481" s="19"/>
      <c r="BM481" s="19"/>
      <c r="BN481" s="18"/>
      <c r="BO481" s="18"/>
      <c r="BP481" s="27">
        <f t="shared" si="162"/>
        <v>48000</v>
      </c>
      <c r="BQ481" s="27">
        <f t="shared" si="163"/>
        <v>16000</v>
      </c>
      <c r="BR481" s="27">
        <f t="shared" si="164"/>
        <v>16000</v>
      </c>
      <c r="BS481" s="27">
        <f t="shared" si="165"/>
        <v>32000</v>
      </c>
      <c r="BT481" s="28">
        <f t="shared" si="166"/>
        <v>0</v>
      </c>
      <c r="BU481" s="28">
        <f t="shared" si="156"/>
        <v>48000</v>
      </c>
      <c r="BV481" s="28">
        <f t="shared" si="157"/>
        <v>0</v>
      </c>
      <c r="BW481" s="28">
        <f t="shared" si="158"/>
        <v>0</v>
      </c>
    </row>
    <row r="482" spans="1:75" ht="17.399999999999999" x14ac:dyDescent="0.25">
      <c r="A482" s="69">
        <f t="shared" si="148"/>
        <v>481</v>
      </c>
      <c r="B482" s="70" t="s">
        <v>1221</v>
      </c>
      <c r="C482" s="71" t="s">
        <v>243</v>
      </c>
      <c r="D482" s="71" t="s">
        <v>1176</v>
      </c>
      <c r="E482" s="71" t="s">
        <v>1160</v>
      </c>
      <c r="F482" s="71"/>
      <c r="G482" s="71" t="s">
        <v>1188</v>
      </c>
      <c r="H482" s="71" t="s">
        <v>1189</v>
      </c>
      <c r="I482" s="71" t="str">
        <f>VLOOKUP(H482,[1]Sheet1!$C:$C,1,0)</f>
        <v>SD2276VB-CA-90AK-276</v>
      </c>
      <c r="J482" s="71"/>
      <c r="K482" s="71"/>
      <c r="L482" s="71" t="s">
        <v>800</v>
      </c>
      <c r="M482" s="72">
        <v>5000000</v>
      </c>
      <c r="N482" s="71" t="s">
        <v>361</v>
      </c>
      <c r="O482" s="73"/>
      <c r="P482" s="70" t="s">
        <v>295</v>
      </c>
      <c r="Q482" s="83"/>
      <c r="R482" s="100">
        <v>0.125</v>
      </c>
      <c r="S482" s="75">
        <f t="shared" si="161"/>
        <v>0</v>
      </c>
      <c r="T482" s="92"/>
      <c r="U482" s="76">
        <f t="shared" si="154"/>
        <v>0</v>
      </c>
      <c r="V482" s="72">
        <v>0</v>
      </c>
      <c r="W482" s="72">
        <v>200000</v>
      </c>
      <c r="X482" s="72">
        <v>400000</v>
      </c>
      <c r="Y482" s="72">
        <v>600000</v>
      </c>
      <c r="Z482" s="72">
        <v>400000</v>
      </c>
      <c r="AA482" s="72">
        <v>400000</v>
      </c>
      <c r="AB482" s="72">
        <v>200000</v>
      </c>
      <c r="AC482" s="72">
        <v>400000</v>
      </c>
      <c r="AD482" s="77"/>
      <c r="AE482" s="75"/>
      <c r="AF482" s="75"/>
      <c r="AG482" s="75"/>
      <c r="AH482" s="75"/>
      <c r="AI482" s="75"/>
      <c r="AJ482" s="75">
        <v>0</v>
      </c>
      <c r="AK482" s="11">
        <v>0</v>
      </c>
      <c r="AL482" s="11">
        <v>0</v>
      </c>
      <c r="AM482" s="11">
        <v>0</v>
      </c>
      <c r="AN482" s="11">
        <v>0</v>
      </c>
      <c r="AO482" s="11">
        <v>0</v>
      </c>
      <c r="AP482" s="11">
        <v>0</v>
      </c>
      <c r="AQ482" s="11">
        <v>0</v>
      </c>
      <c r="AR482" s="11"/>
      <c r="AS482" s="11"/>
      <c r="AT482" s="11"/>
      <c r="AU482" s="11"/>
      <c r="AV482" s="11"/>
      <c r="AW482" s="10" t="s">
        <v>1162</v>
      </c>
      <c r="AX482" s="10" t="s">
        <v>120</v>
      </c>
      <c r="AY482" s="19" t="s">
        <v>299</v>
      </c>
      <c r="AZ482" s="10" t="s">
        <v>1185</v>
      </c>
      <c r="BA482" s="10" t="s">
        <v>1186</v>
      </c>
      <c r="BB482" s="10" t="s">
        <v>324</v>
      </c>
      <c r="BC482" s="10" t="s">
        <v>324</v>
      </c>
      <c r="BD482" s="10"/>
      <c r="BE482" s="10"/>
      <c r="BF482" s="10"/>
      <c r="BG482" s="13"/>
      <c r="BH482" s="10"/>
      <c r="BI482" s="10"/>
      <c r="BJ482" s="10"/>
      <c r="BK482" s="10"/>
      <c r="BL482" s="10"/>
      <c r="BM482" s="10"/>
      <c r="BN482" s="9"/>
      <c r="BO482" s="9"/>
      <c r="BP482" s="16">
        <f t="shared" si="162"/>
        <v>50000</v>
      </c>
      <c r="BQ482" s="16">
        <f t="shared" si="163"/>
        <v>50000</v>
      </c>
      <c r="BR482" s="16">
        <f t="shared" si="164"/>
        <v>25000</v>
      </c>
      <c r="BS482" s="16">
        <f t="shared" si="165"/>
        <v>50000</v>
      </c>
      <c r="BT482" s="17">
        <f t="shared" si="166"/>
        <v>0</v>
      </c>
      <c r="BU482" s="28">
        <f t="shared" si="156"/>
        <v>0</v>
      </c>
      <c r="BV482" s="28">
        <f t="shared" si="157"/>
        <v>0</v>
      </c>
      <c r="BW482" s="28">
        <f t="shared" si="158"/>
        <v>0</v>
      </c>
    </row>
    <row r="483" spans="1:75" ht="17.399999999999999" x14ac:dyDescent="0.25">
      <c r="A483" s="69">
        <f t="shared" si="148"/>
        <v>482</v>
      </c>
      <c r="B483" s="70" t="s">
        <v>1221</v>
      </c>
      <c r="C483" s="71" t="s">
        <v>243</v>
      </c>
      <c r="D483" s="71" t="s">
        <v>1176</v>
      </c>
      <c r="E483" s="71" t="s">
        <v>1160</v>
      </c>
      <c r="F483" s="71"/>
      <c r="G483" s="71" t="s">
        <v>273</v>
      </c>
      <c r="H483" s="71" t="s">
        <v>274</v>
      </c>
      <c r="I483" s="71" t="str">
        <f>VLOOKUP(H483,[1]Sheet1!$C:$C,1,0)</f>
        <v>SC2402SO-N-CJ-90NR-2402</v>
      </c>
      <c r="J483" s="71"/>
      <c r="K483" s="71"/>
      <c r="L483" s="71" t="s">
        <v>1222</v>
      </c>
      <c r="M483" s="72">
        <v>3500000</v>
      </c>
      <c r="N483" s="71" t="s">
        <v>361</v>
      </c>
      <c r="O483" s="73"/>
      <c r="P483" s="70" t="s">
        <v>295</v>
      </c>
      <c r="Q483" s="83"/>
      <c r="R483" s="100">
        <v>0.13</v>
      </c>
      <c r="S483" s="75">
        <f t="shared" si="161"/>
        <v>124800</v>
      </c>
      <c r="T483" s="92"/>
      <c r="U483" s="76">
        <f t="shared" si="154"/>
        <v>960000</v>
      </c>
      <c r="V483" s="72">
        <v>0</v>
      </c>
      <c r="W483" s="72">
        <v>240000</v>
      </c>
      <c r="X483" s="72">
        <v>480000</v>
      </c>
      <c r="Y483" s="72">
        <v>240000</v>
      </c>
      <c r="Z483" s="72">
        <v>240000</v>
      </c>
      <c r="AA483" s="72">
        <v>240000</v>
      </c>
      <c r="AB483" s="72">
        <v>480000</v>
      </c>
      <c r="AC483" s="72">
        <v>600000</v>
      </c>
      <c r="AD483" s="77">
        <v>480000</v>
      </c>
      <c r="AE483" s="75">
        <v>240000</v>
      </c>
      <c r="AF483" s="75">
        <v>240000</v>
      </c>
      <c r="AG483" s="75">
        <v>480000</v>
      </c>
      <c r="AH483" s="75">
        <v>480000</v>
      </c>
      <c r="AI483" s="75"/>
      <c r="AJ483" s="75">
        <v>480000</v>
      </c>
      <c r="AK483" s="21"/>
      <c r="AL483" s="21"/>
      <c r="AM483" s="21"/>
      <c r="AN483" s="21">
        <v>0</v>
      </c>
      <c r="AO483" s="21"/>
      <c r="AP483" s="21"/>
      <c r="AQ483" s="21">
        <v>0</v>
      </c>
      <c r="AR483" s="21"/>
      <c r="AS483" s="21"/>
      <c r="AT483" s="21"/>
      <c r="AU483" s="21"/>
      <c r="AV483" s="21"/>
      <c r="AW483" s="19" t="s">
        <v>1162</v>
      </c>
      <c r="AX483" s="19" t="s">
        <v>120</v>
      </c>
      <c r="AY483" s="19" t="s">
        <v>261</v>
      </c>
      <c r="AZ483" s="19" t="s">
        <v>167</v>
      </c>
      <c r="BA483" s="19" t="s">
        <v>168</v>
      </c>
      <c r="BB483" s="19" t="s">
        <v>1171</v>
      </c>
      <c r="BC483" s="19"/>
      <c r="BD483" s="19"/>
      <c r="BE483" s="19"/>
      <c r="BF483" s="19"/>
      <c r="BG483" s="24"/>
      <c r="BH483" s="19"/>
      <c r="BI483" s="19"/>
      <c r="BJ483" s="19"/>
      <c r="BK483" s="19"/>
      <c r="BL483" s="19"/>
      <c r="BM483" s="19"/>
      <c r="BN483" s="18"/>
      <c r="BO483" s="18"/>
      <c r="BP483" s="27">
        <f t="shared" si="162"/>
        <v>31200</v>
      </c>
      <c r="BQ483" s="27">
        <f t="shared" si="163"/>
        <v>31200</v>
      </c>
      <c r="BR483" s="27">
        <f t="shared" si="164"/>
        <v>62400</v>
      </c>
      <c r="BS483" s="27">
        <f t="shared" si="165"/>
        <v>78000</v>
      </c>
      <c r="BT483" s="28">
        <f t="shared" si="166"/>
        <v>62400</v>
      </c>
      <c r="BU483" s="28">
        <f t="shared" si="156"/>
        <v>31200</v>
      </c>
      <c r="BV483" s="28">
        <f t="shared" si="157"/>
        <v>31200</v>
      </c>
      <c r="BW483" s="28">
        <f t="shared" si="158"/>
        <v>62400</v>
      </c>
    </row>
    <row r="484" spans="1:75" ht="17.399999999999999" x14ac:dyDescent="0.25">
      <c r="A484" s="69">
        <f t="shared" si="148"/>
        <v>483</v>
      </c>
      <c r="B484" s="70" t="s">
        <v>1221</v>
      </c>
      <c r="C484" s="71" t="s">
        <v>243</v>
      </c>
      <c r="D484" s="71" t="s">
        <v>1176</v>
      </c>
      <c r="E484" s="71" t="s">
        <v>1160</v>
      </c>
      <c r="F484" s="71"/>
      <c r="G484" s="71" t="s">
        <v>277</v>
      </c>
      <c r="H484" s="71" t="s">
        <v>1223</v>
      </c>
      <c r="I484" s="71" t="str">
        <f>VLOOKUP(H484,[1]Sheet1!$C:$C,1,0)</f>
        <v>SC2402UA-GB-00AK-177</v>
      </c>
      <c r="J484" s="71"/>
      <c r="K484" s="71"/>
      <c r="L484" s="71" t="s">
        <v>1222</v>
      </c>
      <c r="M484" s="72">
        <v>3200000</v>
      </c>
      <c r="N484" s="71" t="s">
        <v>361</v>
      </c>
      <c r="O484" s="73"/>
      <c r="P484" s="70" t="s">
        <v>295</v>
      </c>
      <c r="Q484" s="83"/>
      <c r="R484" s="100">
        <v>0.13</v>
      </c>
      <c r="S484" s="75">
        <f t="shared" si="161"/>
        <v>130000</v>
      </c>
      <c r="T484" s="92"/>
      <c r="U484" s="76">
        <f t="shared" si="154"/>
        <v>1000000</v>
      </c>
      <c r="V484" s="72">
        <v>0</v>
      </c>
      <c r="W484" s="72">
        <v>0</v>
      </c>
      <c r="X484" s="72">
        <v>0</v>
      </c>
      <c r="Y484" s="72">
        <v>400000</v>
      </c>
      <c r="Z484" s="72">
        <v>0</v>
      </c>
      <c r="AA484" s="72">
        <v>400000</v>
      </c>
      <c r="AB484" s="72">
        <v>0</v>
      </c>
      <c r="AC484" s="72">
        <v>400000</v>
      </c>
      <c r="AD484" s="77">
        <v>0</v>
      </c>
      <c r="AE484" s="75">
        <v>600000</v>
      </c>
      <c r="AF484" s="75">
        <v>0</v>
      </c>
      <c r="AG484" s="75">
        <v>400000</v>
      </c>
      <c r="AH484" s="75">
        <v>400000</v>
      </c>
      <c r="AI484" s="75"/>
      <c r="AJ484" s="75">
        <v>400000</v>
      </c>
      <c r="AK484" s="11">
        <v>0</v>
      </c>
      <c r="AL484" s="11">
        <v>0</v>
      </c>
      <c r="AM484" s="11"/>
      <c r="AN484" s="11"/>
      <c r="AO484" s="11">
        <v>0</v>
      </c>
      <c r="AP484" s="11">
        <v>0</v>
      </c>
      <c r="AQ484" s="11">
        <v>0</v>
      </c>
      <c r="AR484" s="11"/>
      <c r="AS484" s="11"/>
      <c r="AT484" s="11"/>
      <c r="AU484" s="11"/>
      <c r="AV484" s="11"/>
      <c r="AW484" s="10" t="s">
        <v>1162</v>
      </c>
      <c r="AX484" s="10" t="s">
        <v>120</v>
      </c>
      <c r="AY484" s="19" t="s">
        <v>261</v>
      </c>
      <c r="AZ484" s="10" t="s">
        <v>167</v>
      </c>
      <c r="BA484" s="10" t="s">
        <v>168</v>
      </c>
      <c r="BB484" s="10" t="s">
        <v>1171</v>
      </c>
      <c r="BC484" s="10"/>
      <c r="BD484" s="10"/>
      <c r="BE484" s="10"/>
      <c r="BF484" s="10"/>
      <c r="BG484" s="13"/>
      <c r="BH484" s="10"/>
      <c r="BI484" s="10"/>
      <c r="BJ484" s="10"/>
      <c r="BK484" s="10"/>
      <c r="BL484" s="10"/>
      <c r="BM484" s="10"/>
      <c r="BN484" s="9"/>
      <c r="BO484" s="9"/>
      <c r="BP484" s="16">
        <f t="shared" si="162"/>
        <v>0</v>
      </c>
      <c r="BQ484" s="16">
        <f t="shared" si="163"/>
        <v>52000</v>
      </c>
      <c r="BR484" s="16">
        <f t="shared" si="164"/>
        <v>0</v>
      </c>
      <c r="BS484" s="16">
        <f t="shared" si="165"/>
        <v>52000</v>
      </c>
      <c r="BT484" s="17">
        <f t="shared" si="166"/>
        <v>0</v>
      </c>
      <c r="BU484" s="28">
        <f t="shared" si="156"/>
        <v>78000</v>
      </c>
      <c r="BV484" s="28">
        <f t="shared" si="157"/>
        <v>0</v>
      </c>
      <c r="BW484" s="28">
        <f t="shared" si="158"/>
        <v>52000</v>
      </c>
    </row>
    <row r="485" spans="1:75" ht="17.399999999999999" x14ac:dyDescent="0.25">
      <c r="A485" s="69">
        <f t="shared" si="148"/>
        <v>484</v>
      </c>
      <c r="B485" s="70" t="s">
        <v>1221</v>
      </c>
      <c r="C485" s="71" t="s">
        <v>243</v>
      </c>
      <c r="D485" s="71" t="s">
        <v>1176</v>
      </c>
      <c r="E485" s="71" t="s">
        <v>1160</v>
      </c>
      <c r="F485" s="71"/>
      <c r="G485" s="71" t="s">
        <v>1128</v>
      </c>
      <c r="H485" s="71" t="s">
        <v>308</v>
      </c>
      <c r="I485" s="71" t="str">
        <f>VLOOKUP(H485,[1]Sheet1!$C:$C,1,0)</f>
        <v>SC1138SO-N-Q-CC-00LR-1138</v>
      </c>
      <c r="J485" s="71"/>
      <c r="K485" s="71" t="s">
        <v>1055</v>
      </c>
      <c r="L485" s="71" t="s">
        <v>844</v>
      </c>
      <c r="M485" s="72">
        <v>150000</v>
      </c>
      <c r="N485" s="71" t="s">
        <v>361</v>
      </c>
      <c r="O485" s="73"/>
      <c r="P485" s="70" t="s">
        <v>295</v>
      </c>
      <c r="Q485" s="83"/>
      <c r="R485" s="100">
        <v>0.11</v>
      </c>
      <c r="S485" s="75">
        <f t="shared" si="161"/>
        <v>4290</v>
      </c>
      <c r="T485" s="92"/>
      <c r="U485" s="76">
        <f t="shared" si="154"/>
        <v>39000</v>
      </c>
      <c r="V485" s="72">
        <v>0</v>
      </c>
      <c r="W485" s="72">
        <v>0</v>
      </c>
      <c r="X485" s="72">
        <v>30000</v>
      </c>
      <c r="Y485" s="72">
        <v>30000</v>
      </c>
      <c r="Z485" s="72">
        <v>0</v>
      </c>
      <c r="AA485" s="72">
        <v>30000</v>
      </c>
      <c r="AB485" s="72">
        <v>0</v>
      </c>
      <c r="AC485" s="72">
        <v>12000</v>
      </c>
      <c r="AD485" s="77">
        <v>0</v>
      </c>
      <c r="AE485" s="75">
        <v>18000</v>
      </c>
      <c r="AF485" s="75">
        <v>0</v>
      </c>
      <c r="AG485" s="75">
        <v>21000</v>
      </c>
      <c r="AH485" s="75">
        <v>21000</v>
      </c>
      <c r="AI485" s="75"/>
      <c r="AJ485" s="75">
        <v>21000</v>
      </c>
      <c r="AK485" s="21">
        <v>0</v>
      </c>
      <c r="AL485" s="21">
        <v>0</v>
      </c>
      <c r="AM485" s="21">
        <v>0</v>
      </c>
      <c r="AN485" s="21">
        <v>0</v>
      </c>
      <c r="AO485" s="21">
        <v>0</v>
      </c>
      <c r="AP485" s="21">
        <v>0</v>
      </c>
      <c r="AQ485" s="21">
        <v>0</v>
      </c>
      <c r="AR485" s="21"/>
      <c r="AS485" s="21"/>
      <c r="AT485" s="21"/>
      <c r="AU485" s="21"/>
      <c r="AV485" s="21"/>
      <c r="AW485" s="19" t="s">
        <v>1162</v>
      </c>
      <c r="AX485" s="19" t="s">
        <v>120</v>
      </c>
      <c r="AY485" s="19" t="s">
        <v>261</v>
      </c>
      <c r="AZ485" s="19" t="s">
        <v>115</v>
      </c>
      <c r="BA485" s="19" t="s">
        <v>123</v>
      </c>
      <c r="BB485" s="19" t="s">
        <v>1163</v>
      </c>
      <c r="BC485" s="19"/>
      <c r="BD485" s="19"/>
      <c r="BE485" s="19"/>
      <c r="BF485" s="19"/>
      <c r="BG485" s="24"/>
      <c r="BH485" s="19"/>
      <c r="BI485" s="19"/>
      <c r="BJ485" s="19"/>
      <c r="BK485" s="19"/>
      <c r="BL485" s="19"/>
      <c r="BM485" s="19"/>
      <c r="BN485" s="18"/>
      <c r="BO485" s="18"/>
      <c r="BP485" s="27">
        <f t="shared" si="162"/>
        <v>0</v>
      </c>
      <c r="BQ485" s="27">
        <f t="shared" si="163"/>
        <v>3300</v>
      </c>
      <c r="BR485" s="27">
        <f t="shared" si="164"/>
        <v>0</v>
      </c>
      <c r="BS485" s="27">
        <f t="shared" si="165"/>
        <v>1320</v>
      </c>
      <c r="BT485" s="28">
        <f t="shared" si="166"/>
        <v>0</v>
      </c>
      <c r="BU485" s="28">
        <f t="shared" si="156"/>
        <v>1980</v>
      </c>
      <c r="BV485" s="28">
        <f t="shared" si="157"/>
        <v>0</v>
      </c>
      <c r="BW485" s="28">
        <f t="shared" si="158"/>
        <v>2310</v>
      </c>
    </row>
    <row r="486" spans="1:75" ht="17.399999999999999" x14ac:dyDescent="0.25">
      <c r="A486" s="69">
        <f t="shared" si="148"/>
        <v>485</v>
      </c>
      <c r="B486" s="70" t="s">
        <v>1224</v>
      </c>
      <c r="C486" s="71" t="s">
        <v>243</v>
      </c>
      <c r="D486" s="71" t="s">
        <v>1176</v>
      </c>
      <c r="E486" s="71" t="s">
        <v>1160</v>
      </c>
      <c r="F486" s="71"/>
      <c r="G486" s="71" t="s">
        <v>384</v>
      </c>
      <c r="H486" s="71" t="s">
        <v>1225</v>
      </c>
      <c r="I486" s="71" t="str">
        <f>VLOOKUP(H486,[1]Sheet1!$C:$C,1,0)</f>
        <v>SC9314UA-CF-0XAK-17CA</v>
      </c>
      <c r="J486" s="71"/>
      <c r="K486" s="71"/>
      <c r="L486" s="71" t="s">
        <v>381</v>
      </c>
      <c r="M486" s="72">
        <v>2000000</v>
      </c>
      <c r="N486" s="71" t="s">
        <v>361</v>
      </c>
      <c r="O486" s="73"/>
      <c r="P486" s="71" t="s">
        <v>295</v>
      </c>
      <c r="Q486" s="74"/>
      <c r="R486" s="100">
        <v>0.8</v>
      </c>
      <c r="S486" s="75">
        <f t="shared" si="161"/>
        <v>240000</v>
      </c>
      <c r="T486" s="92"/>
      <c r="U486" s="76">
        <f t="shared" si="154"/>
        <v>300000</v>
      </c>
      <c r="V486" s="72">
        <v>0</v>
      </c>
      <c r="W486" s="72">
        <v>0</v>
      </c>
      <c r="X486" s="72">
        <v>100000</v>
      </c>
      <c r="Y486" s="72">
        <v>200000</v>
      </c>
      <c r="Z486" s="72">
        <v>200000</v>
      </c>
      <c r="AA486" s="72">
        <v>200000</v>
      </c>
      <c r="AB486" s="72">
        <v>200000</v>
      </c>
      <c r="AC486" s="72">
        <v>100000</v>
      </c>
      <c r="AD486" s="77">
        <v>100000</v>
      </c>
      <c r="AE486" s="75">
        <v>100000</v>
      </c>
      <c r="AF486" s="75">
        <v>100000</v>
      </c>
      <c r="AG486" s="75">
        <v>100000</v>
      </c>
      <c r="AH486" s="75">
        <v>100000</v>
      </c>
      <c r="AI486" s="75"/>
      <c r="AJ486" s="75">
        <v>100000</v>
      </c>
      <c r="AK486" s="11">
        <v>0</v>
      </c>
      <c r="AL486" s="11">
        <v>0</v>
      </c>
      <c r="AM486" s="11">
        <v>0</v>
      </c>
      <c r="AN486" s="11"/>
      <c r="AO486" s="11"/>
      <c r="AP486" s="11">
        <v>0</v>
      </c>
      <c r="AQ486" s="11">
        <v>0</v>
      </c>
      <c r="AR486" s="11"/>
      <c r="AS486" s="11"/>
      <c r="AT486" s="11"/>
      <c r="AU486" s="11"/>
      <c r="AV486" s="11"/>
      <c r="AW486" s="10" t="s">
        <v>1162</v>
      </c>
      <c r="AX486" s="10" t="s">
        <v>120</v>
      </c>
      <c r="AY486" s="19" t="s">
        <v>386</v>
      </c>
      <c r="AZ486" s="9" t="s">
        <v>62</v>
      </c>
      <c r="BA486" s="10" t="s">
        <v>77</v>
      </c>
      <c r="BB486" s="10" t="s">
        <v>78</v>
      </c>
      <c r="BC486" s="10"/>
      <c r="BD486" s="10"/>
      <c r="BE486" s="10"/>
      <c r="BF486" s="10"/>
      <c r="BG486" s="13"/>
      <c r="BH486" s="10"/>
      <c r="BI486" s="14"/>
      <c r="BJ486" s="14"/>
      <c r="BK486" s="14"/>
      <c r="BL486" s="14"/>
      <c r="BM486" s="14"/>
      <c r="BN486" s="15"/>
      <c r="BO486" s="11"/>
      <c r="BP486" s="16">
        <f t="shared" si="162"/>
        <v>160000</v>
      </c>
      <c r="BQ486" s="16">
        <f t="shared" si="163"/>
        <v>160000</v>
      </c>
      <c r="BR486" s="16">
        <f t="shared" si="164"/>
        <v>160000</v>
      </c>
      <c r="BS486" s="16">
        <f t="shared" si="165"/>
        <v>80000</v>
      </c>
      <c r="BT486" s="17">
        <f t="shared" si="166"/>
        <v>80000</v>
      </c>
      <c r="BU486" s="28">
        <f t="shared" si="156"/>
        <v>80000</v>
      </c>
      <c r="BV486" s="28">
        <f t="shared" si="157"/>
        <v>80000</v>
      </c>
      <c r="BW486" s="28">
        <f t="shared" si="158"/>
        <v>80000</v>
      </c>
    </row>
    <row r="487" spans="1:75" ht="17.399999999999999" x14ac:dyDescent="0.25">
      <c r="A487" s="69">
        <f t="shared" si="148"/>
        <v>486</v>
      </c>
      <c r="B487" s="70" t="s">
        <v>1226</v>
      </c>
      <c r="C487" s="71" t="s">
        <v>290</v>
      </c>
      <c r="D487" s="71" t="s">
        <v>1210</v>
      </c>
      <c r="E487" s="71" t="s">
        <v>1160</v>
      </c>
      <c r="F487" s="71"/>
      <c r="G487" s="71" t="s">
        <v>525</v>
      </c>
      <c r="H487" s="71" t="s">
        <v>561</v>
      </c>
      <c r="I487" s="71" t="str">
        <f>VLOOKUP(H487,[1]Sheet1!$C:$C,1,0)</f>
        <v>SC2442SO-N-Q-CP-10CR-2442</v>
      </c>
      <c r="J487" s="71"/>
      <c r="K487" s="71"/>
      <c r="L487" s="71" t="s">
        <v>1227</v>
      </c>
      <c r="M487" s="72"/>
      <c r="N487" s="71" t="s">
        <v>361</v>
      </c>
      <c r="O487" s="73"/>
      <c r="P487" s="71" t="s">
        <v>295</v>
      </c>
      <c r="Q487" s="74"/>
      <c r="R487" s="100">
        <v>0.28999999999999998</v>
      </c>
      <c r="S487" s="75">
        <f t="shared" si="161"/>
        <v>841000</v>
      </c>
      <c r="T487" s="92"/>
      <c r="U487" s="76">
        <f t="shared" si="154"/>
        <v>2900000</v>
      </c>
      <c r="V487" s="72">
        <v>400000</v>
      </c>
      <c r="W487" s="72">
        <v>700000</v>
      </c>
      <c r="X487" s="72">
        <v>700000</v>
      </c>
      <c r="Y487" s="72">
        <v>700000</v>
      </c>
      <c r="Z487" s="72">
        <v>700000</v>
      </c>
      <c r="AA487" s="72">
        <v>2000000</v>
      </c>
      <c r="AB487" s="72">
        <v>2000000</v>
      </c>
      <c r="AC487" s="72">
        <v>600000</v>
      </c>
      <c r="AD487" s="77">
        <v>600000</v>
      </c>
      <c r="AE487" s="75">
        <v>700000</v>
      </c>
      <c r="AF487" s="75">
        <v>1000000</v>
      </c>
      <c r="AG487" s="75">
        <v>1200000</v>
      </c>
      <c r="AH487" s="75">
        <v>1200000</v>
      </c>
      <c r="AI487" s="75"/>
      <c r="AJ487" s="75">
        <v>1200000</v>
      </c>
      <c r="AK487" s="21"/>
      <c r="AL487" s="21"/>
      <c r="AM487" s="21"/>
      <c r="AN487" s="21"/>
      <c r="AO487" s="21"/>
      <c r="AP487" s="21"/>
      <c r="AQ487" s="21">
        <v>0</v>
      </c>
      <c r="AR487" s="21"/>
      <c r="AS487" s="21"/>
      <c r="AT487" s="21"/>
      <c r="AU487" s="21"/>
      <c r="AV487" s="21"/>
      <c r="AW487" s="19" t="s">
        <v>155</v>
      </c>
      <c r="AX487" s="19" t="s">
        <v>120</v>
      </c>
      <c r="AY487" s="19" t="s">
        <v>261</v>
      </c>
      <c r="AZ487" s="19" t="s">
        <v>167</v>
      </c>
      <c r="BA487" s="19" t="s">
        <v>346</v>
      </c>
      <c r="BB487" s="19" t="s">
        <v>347</v>
      </c>
      <c r="BC487" s="19" t="s">
        <v>324</v>
      </c>
      <c r="BD487" s="19"/>
      <c r="BE487" s="19"/>
      <c r="BF487" s="19"/>
      <c r="BG487" s="24"/>
      <c r="BH487" s="19"/>
      <c r="BI487" s="25"/>
      <c r="BJ487" s="25"/>
      <c r="BK487" s="25"/>
      <c r="BL487" s="25"/>
      <c r="BM487" s="25"/>
      <c r="BN487" s="26"/>
      <c r="BO487" s="21"/>
      <c r="BP487" s="27">
        <f t="shared" si="162"/>
        <v>203000</v>
      </c>
      <c r="BQ487" s="27">
        <f t="shared" si="163"/>
        <v>580000</v>
      </c>
      <c r="BR487" s="27">
        <f t="shared" si="164"/>
        <v>580000</v>
      </c>
      <c r="BS487" s="27">
        <f t="shared" si="165"/>
        <v>174000</v>
      </c>
      <c r="BT487" s="28">
        <f t="shared" si="166"/>
        <v>174000</v>
      </c>
      <c r="BU487" s="28">
        <f t="shared" si="156"/>
        <v>203000</v>
      </c>
      <c r="BV487" s="28">
        <f t="shared" si="157"/>
        <v>290000</v>
      </c>
      <c r="BW487" s="28">
        <f t="shared" si="158"/>
        <v>348000</v>
      </c>
    </row>
    <row r="488" spans="1:75" ht="17.399999999999999" x14ac:dyDescent="0.25">
      <c r="A488" s="69">
        <f t="shared" si="148"/>
        <v>487</v>
      </c>
      <c r="B488" s="71" t="s">
        <v>1228</v>
      </c>
      <c r="C488" s="71" t="s">
        <v>243</v>
      </c>
      <c r="D488" s="71" t="s">
        <v>1228</v>
      </c>
      <c r="E488" s="71" t="s">
        <v>1160</v>
      </c>
      <c r="F488" s="71"/>
      <c r="G488" s="71" t="s">
        <v>1229</v>
      </c>
      <c r="H488" s="71" t="s">
        <v>1229</v>
      </c>
      <c r="I488" s="71" t="str">
        <f>VLOOKUP(H488,[1]Sheet1!$C:$C,1,0)</f>
        <v>FD1014A</v>
      </c>
      <c r="J488" s="71"/>
      <c r="K488" s="71"/>
      <c r="L488" s="71" t="s">
        <v>800</v>
      </c>
      <c r="M488" s="72"/>
      <c r="N488" s="71" t="s">
        <v>361</v>
      </c>
      <c r="O488" s="73"/>
      <c r="P488" s="71"/>
      <c r="Q488" s="74"/>
      <c r="R488" s="100">
        <v>1000</v>
      </c>
      <c r="S488" s="75">
        <f t="shared" si="161"/>
        <v>216000</v>
      </c>
      <c r="T488" s="92"/>
      <c r="U488" s="76">
        <f t="shared" si="154"/>
        <v>216</v>
      </c>
      <c r="V488" s="72">
        <v>72</v>
      </c>
      <c r="W488" s="72">
        <v>48</v>
      </c>
      <c r="X488" s="72">
        <v>0</v>
      </c>
      <c r="Y488" s="72">
        <v>0</v>
      </c>
      <c r="Z488" s="72">
        <v>96</v>
      </c>
      <c r="AA488" s="72">
        <v>96</v>
      </c>
      <c r="AB488" s="72">
        <v>48</v>
      </c>
      <c r="AC488" s="72">
        <v>48</v>
      </c>
      <c r="AD488" s="77">
        <v>120</v>
      </c>
      <c r="AE488" s="75">
        <v>96</v>
      </c>
      <c r="AF488" s="75">
        <v>96</v>
      </c>
      <c r="AG488" s="75">
        <v>24</v>
      </c>
      <c r="AH488" s="75">
        <v>24</v>
      </c>
      <c r="AI488" s="75"/>
      <c r="AJ488" s="75">
        <v>24</v>
      </c>
      <c r="AK488" s="11"/>
      <c r="AL488" s="11"/>
      <c r="AM488" s="11">
        <v>0</v>
      </c>
      <c r="AN488" s="11">
        <v>0</v>
      </c>
      <c r="AO488" s="11"/>
      <c r="AP488" s="11">
        <v>0</v>
      </c>
      <c r="AQ488" s="11">
        <v>48</v>
      </c>
      <c r="AR488" s="11"/>
      <c r="AS488" s="11"/>
      <c r="AT488" s="11"/>
      <c r="AU488" s="11"/>
      <c r="AV488" s="11"/>
      <c r="AW488" s="10" t="s">
        <v>122</v>
      </c>
      <c r="AX488" s="10" t="s">
        <v>120</v>
      </c>
      <c r="AY488" s="19" t="s">
        <v>299</v>
      </c>
      <c r="AZ488" s="10" t="s">
        <v>1185</v>
      </c>
      <c r="BA488" s="10" t="s">
        <v>1186</v>
      </c>
      <c r="BB488" s="10" t="s">
        <v>324</v>
      </c>
      <c r="BC488" s="10" t="s">
        <v>324</v>
      </c>
      <c r="BD488" s="10"/>
      <c r="BE488" s="10"/>
      <c r="BF488" s="10"/>
      <c r="BG488" s="13"/>
      <c r="BH488" s="10"/>
      <c r="BI488" s="14"/>
      <c r="BJ488" s="14"/>
      <c r="BK488" s="14"/>
      <c r="BL488" s="14"/>
      <c r="BM488" s="14"/>
      <c r="BN488" s="15"/>
      <c r="BO488" s="11"/>
      <c r="BP488" s="16">
        <f t="shared" si="162"/>
        <v>96000</v>
      </c>
      <c r="BQ488" s="16">
        <f t="shared" si="163"/>
        <v>96000</v>
      </c>
      <c r="BR488" s="16">
        <f t="shared" si="164"/>
        <v>48000</v>
      </c>
      <c r="BS488" s="16">
        <f t="shared" si="165"/>
        <v>48000</v>
      </c>
      <c r="BT488" s="17">
        <f t="shared" si="166"/>
        <v>120000</v>
      </c>
      <c r="BU488" s="28">
        <f t="shared" si="156"/>
        <v>96000</v>
      </c>
      <c r="BV488" s="28">
        <f t="shared" si="157"/>
        <v>96000</v>
      </c>
      <c r="BW488" s="28">
        <f t="shared" si="158"/>
        <v>24000</v>
      </c>
    </row>
    <row r="489" spans="1:75" ht="17.399999999999999" x14ac:dyDescent="0.25">
      <c r="A489" s="69">
        <f t="shared" ref="A489:A552" si="167">ROW()-1</f>
        <v>488</v>
      </c>
      <c r="B489" s="73" t="s">
        <v>472</v>
      </c>
      <c r="C489" s="73" t="s">
        <v>106</v>
      </c>
      <c r="D489" s="73" t="s">
        <v>460</v>
      </c>
      <c r="E489" s="73" t="s">
        <v>461</v>
      </c>
      <c r="F489" s="73" t="s">
        <v>462</v>
      </c>
      <c r="G489" s="78" t="s">
        <v>484</v>
      </c>
      <c r="H489" s="71" t="s">
        <v>485</v>
      </c>
      <c r="I489" s="71" t="str">
        <f>VLOOKUP(H489,[1]Sheet1!$C:$C,1,0)</f>
        <v>SC9685TS-RP120-Q-DB-46AR-96852</v>
      </c>
      <c r="J489" s="78"/>
      <c r="K489" s="78"/>
      <c r="L489" s="72"/>
      <c r="M489" s="72"/>
      <c r="N489" s="78"/>
      <c r="O489" s="72"/>
      <c r="P489" s="72"/>
      <c r="Q489" s="72"/>
      <c r="R489" s="100">
        <v>3.98</v>
      </c>
      <c r="S489" s="75">
        <f t="shared" si="161"/>
        <v>0</v>
      </c>
      <c r="T489" s="76"/>
      <c r="U489" s="76">
        <f t="shared" si="154"/>
        <v>0</v>
      </c>
      <c r="V489" s="72"/>
      <c r="W489" s="72"/>
      <c r="X489" s="72"/>
      <c r="Y489" s="72"/>
      <c r="Z489" s="72"/>
      <c r="AA489" s="72"/>
      <c r="AB489" s="72"/>
      <c r="AC489" s="72"/>
      <c r="AD489" s="77"/>
      <c r="AE489" s="75"/>
      <c r="AF489" s="75"/>
      <c r="AG489" s="75"/>
      <c r="AH489" s="75">
        <v>0</v>
      </c>
      <c r="AI489" s="75"/>
      <c r="AJ489" s="75">
        <v>0</v>
      </c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19" t="s">
        <v>85</v>
      </c>
      <c r="AY489" s="19" t="s">
        <v>386</v>
      </c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7"/>
      <c r="BQ489" s="27">
        <f t="shared" ref="BQ489:BQ499" si="168">$R489*AA489</f>
        <v>0</v>
      </c>
      <c r="BR489" s="27">
        <f t="shared" ref="BR489:BR499" si="169">$R489*AB489</f>
        <v>0</v>
      </c>
      <c r="BS489" s="27">
        <f t="shared" ref="BS489:BS499" si="170">$R489*AC489</f>
        <v>0</v>
      </c>
      <c r="BT489" s="28">
        <f t="shared" ref="BT489:BT499" si="171">$R489*AD489</f>
        <v>0</v>
      </c>
      <c r="BU489" s="28">
        <f t="shared" si="156"/>
        <v>0</v>
      </c>
      <c r="BV489" s="28">
        <f t="shared" si="157"/>
        <v>0</v>
      </c>
      <c r="BW489" s="28">
        <f t="shared" si="158"/>
        <v>0</v>
      </c>
    </row>
    <row r="490" spans="1:75" ht="17.399999999999999" x14ac:dyDescent="0.25">
      <c r="A490" s="69">
        <f t="shared" si="167"/>
        <v>489</v>
      </c>
      <c r="B490" s="70" t="s">
        <v>1233</v>
      </c>
      <c r="C490" s="71" t="s">
        <v>243</v>
      </c>
      <c r="D490" s="71" t="s">
        <v>1176</v>
      </c>
      <c r="E490" s="71" t="s">
        <v>1160</v>
      </c>
      <c r="F490" s="71"/>
      <c r="G490" s="71" t="s">
        <v>514</v>
      </c>
      <c r="H490" s="71" t="s">
        <v>285</v>
      </c>
      <c r="I490" s="71" t="str">
        <f>VLOOKUP(H490,[1]Sheet1!$C:$C,1,0)</f>
        <v>SC2448SO-Q-DB-60CR-2448</v>
      </c>
      <c r="J490" s="71"/>
      <c r="K490" s="71"/>
      <c r="L490" s="71" t="s">
        <v>1234</v>
      </c>
      <c r="M490" s="72">
        <v>2000000</v>
      </c>
      <c r="N490" s="71" t="s">
        <v>367</v>
      </c>
      <c r="O490" s="73"/>
      <c r="P490" s="71"/>
      <c r="Q490" s="74"/>
      <c r="R490" s="100">
        <v>0.38</v>
      </c>
      <c r="S490" s="75">
        <f t="shared" si="161"/>
        <v>273600</v>
      </c>
      <c r="T490" s="92"/>
      <c r="U490" s="76">
        <f t="shared" si="154"/>
        <v>720000</v>
      </c>
      <c r="V490" s="72">
        <v>200000</v>
      </c>
      <c r="W490" s="72">
        <v>120000</v>
      </c>
      <c r="X490" s="72">
        <v>240000</v>
      </c>
      <c r="Y490" s="72">
        <v>120000</v>
      </c>
      <c r="Z490" s="72">
        <v>120000</v>
      </c>
      <c r="AA490" s="72">
        <v>120000</v>
      </c>
      <c r="AB490" s="72">
        <v>120000</v>
      </c>
      <c r="AC490" s="72">
        <v>120000</v>
      </c>
      <c r="AD490" s="77">
        <v>180000</v>
      </c>
      <c r="AE490" s="75">
        <v>240000</v>
      </c>
      <c r="AF490" s="75">
        <v>240000</v>
      </c>
      <c r="AG490" s="75">
        <v>240000</v>
      </c>
      <c r="AH490" s="75">
        <v>240000</v>
      </c>
      <c r="AI490" s="75"/>
      <c r="AJ490" s="75">
        <v>240000</v>
      </c>
      <c r="AK490" s="11">
        <v>0</v>
      </c>
      <c r="AL490" s="11">
        <v>0</v>
      </c>
      <c r="AM490" s="11">
        <v>0</v>
      </c>
      <c r="AN490" s="11">
        <v>0</v>
      </c>
      <c r="AO490" s="11">
        <v>0</v>
      </c>
      <c r="AP490" s="11">
        <v>0</v>
      </c>
      <c r="AQ490" s="11">
        <v>0</v>
      </c>
      <c r="AR490" s="11"/>
      <c r="AS490" s="11"/>
      <c r="AT490" s="11"/>
      <c r="AU490" s="11"/>
      <c r="AV490" s="11"/>
      <c r="AW490" s="10" t="s">
        <v>1162</v>
      </c>
      <c r="AX490" s="10" t="s">
        <v>120</v>
      </c>
      <c r="AY490" s="19" t="s">
        <v>261</v>
      </c>
      <c r="AZ490" s="9" t="s">
        <v>62</v>
      </c>
      <c r="BA490" s="10" t="s">
        <v>96</v>
      </c>
      <c r="BB490" s="10" t="s">
        <v>141</v>
      </c>
      <c r="BC490" s="10" t="s">
        <v>140</v>
      </c>
      <c r="BD490" s="10"/>
      <c r="BE490" s="10"/>
      <c r="BF490" s="10"/>
      <c r="BG490" s="13"/>
      <c r="BH490" s="10"/>
      <c r="BI490" s="14"/>
      <c r="BJ490" s="14"/>
      <c r="BK490" s="14"/>
      <c r="BL490" s="14"/>
      <c r="BM490" s="14"/>
      <c r="BN490" s="15"/>
      <c r="BO490" s="11"/>
      <c r="BP490" s="16">
        <f t="shared" ref="BP490:BP499" si="172">$R490*Z490</f>
        <v>45600</v>
      </c>
      <c r="BQ490" s="16">
        <f t="shared" si="168"/>
        <v>45600</v>
      </c>
      <c r="BR490" s="16">
        <f t="shared" si="169"/>
        <v>45600</v>
      </c>
      <c r="BS490" s="16">
        <f t="shared" si="170"/>
        <v>45600</v>
      </c>
      <c r="BT490" s="17">
        <f t="shared" si="171"/>
        <v>68400</v>
      </c>
      <c r="BU490" s="28">
        <f t="shared" si="156"/>
        <v>91200</v>
      </c>
      <c r="BV490" s="28">
        <f t="shared" si="157"/>
        <v>91200</v>
      </c>
      <c r="BW490" s="28">
        <f t="shared" si="158"/>
        <v>91200</v>
      </c>
    </row>
    <row r="491" spans="1:75" ht="17.399999999999999" x14ac:dyDescent="0.25">
      <c r="A491" s="69">
        <f t="shared" si="167"/>
        <v>490</v>
      </c>
      <c r="B491" s="70" t="s">
        <v>1235</v>
      </c>
      <c r="C491" s="71" t="s">
        <v>243</v>
      </c>
      <c r="D491" s="71" t="s">
        <v>1176</v>
      </c>
      <c r="E491" s="71" t="s">
        <v>1160</v>
      </c>
      <c r="F491" s="71"/>
      <c r="G491" s="71" t="s">
        <v>1236</v>
      </c>
      <c r="H491" s="71" t="s">
        <v>1237</v>
      </c>
      <c r="I491" s="71" t="str">
        <f>VLOOKUP(H491,[1]Sheet1!$C:$C,1,0)</f>
        <v>SC9632VB-CE-00CK-9632</v>
      </c>
      <c r="J491" s="71"/>
      <c r="K491" s="71"/>
      <c r="L491" s="71"/>
      <c r="M491" s="72"/>
      <c r="N491" s="71" t="s">
        <v>361</v>
      </c>
      <c r="O491" s="73"/>
      <c r="P491" s="71"/>
      <c r="Q491" s="74"/>
      <c r="R491" s="100">
        <v>5.3</v>
      </c>
      <c r="S491" s="75">
        <f t="shared" si="161"/>
        <v>159000</v>
      </c>
      <c r="T491" s="92"/>
      <c r="U491" s="76">
        <f t="shared" si="154"/>
        <v>30000</v>
      </c>
      <c r="V491" s="72">
        <v>10000</v>
      </c>
      <c r="W491" s="72">
        <v>5000</v>
      </c>
      <c r="X491" s="72">
        <v>10000</v>
      </c>
      <c r="Y491" s="72">
        <v>10000</v>
      </c>
      <c r="Z491" s="72">
        <v>10000</v>
      </c>
      <c r="AA491" s="72">
        <v>10000</v>
      </c>
      <c r="AB491" s="72">
        <v>20000</v>
      </c>
      <c r="AC491" s="72">
        <v>10000</v>
      </c>
      <c r="AD491" s="77">
        <v>10000</v>
      </c>
      <c r="AE491" s="75">
        <v>10000</v>
      </c>
      <c r="AF491" s="75">
        <v>10000</v>
      </c>
      <c r="AG491" s="75">
        <v>10000</v>
      </c>
      <c r="AH491" s="75">
        <v>10000</v>
      </c>
      <c r="AI491" s="75"/>
      <c r="AJ491" s="75">
        <v>10000</v>
      </c>
      <c r="AK491" s="21"/>
      <c r="AL491" s="21">
        <v>0</v>
      </c>
      <c r="AM491" s="21"/>
      <c r="AN491" s="21">
        <v>0</v>
      </c>
      <c r="AO491" s="21"/>
      <c r="AP491" s="21"/>
      <c r="AQ491" s="21">
        <v>0</v>
      </c>
      <c r="AR491" s="21"/>
      <c r="AS491" s="21"/>
      <c r="AT491" s="21"/>
      <c r="AU491" s="21"/>
      <c r="AV491" s="21"/>
      <c r="AW491" s="19" t="s">
        <v>1162</v>
      </c>
      <c r="AX491" s="19" t="s">
        <v>120</v>
      </c>
      <c r="AY491" s="19" t="s">
        <v>386</v>
      </c>
      <c r="AZ491" s="19" t="s">
        <v>167</v>
      </c>
      <c r="BA491" s="19" t="s">
        <v>346</v>
      </c>
      <c r="BB491" s="19" t="s">
        <v>1238</v>
      </c>
      <c r="BC491" s="19" t="s">
        <v>1239</v>
      </c>
      <c r="BD491" s="19"/>
      <c r="BE491" s="19"/>
      <c r="BF491" s="19"/>
      <c r="BG491" s="24"/>
      <c r="BH491" s="19"/>
      <c r="BI491" s="25"/>
      <c r="BJ491" s="25"/>
      <c r="BK491" s="25"/>
      <c r="BL491" s="25"/>
      <c r="BM491" s="25"/>
      <c r="BN491" s="26"/>
      <c r="BO491" s="21"/>
      <c r="BP491" s="27">
        <f t="shared" si="172"/>
        <v>53000</v>
      </c>
      <c r="BQ491" s="27">
        <f t="shared" si="168"/>
        <v>53000</v>
      </c>
      <c r="BR491" s="27">
        <f t="shared" si="169"/>
        <v>106000</v>
      </c>
      <c r="BS491" s="27">
        <f t="shared" si="170"/>
        <v>53000</v>
      </c>
      <c r="BT491" s="28">
        <f t="shared" si="171"/>
        <v>53000</v>
      </c>
      <c r="BU491" s="28">
        <f t="shared" si="156"/>
        <v>53000</v>
      </c>
      <c r="BV491" s="28">
        <f t="shared" si="157"/>
        <v>53000</v>
      </c>
      <c r="BW491" s="28">
        <f t="shared" si="158"/>
        <v>53000</v>
      </c>
    </row>
    <row r="492" spans="1:75" ht="17.399999999999999" x14ac:dyDescent="0.25">
      <c r="A492" s="69">
        <f t="shared" si="167"/>
        <v>491</v>
      </c>
      <c r="B492" s="70" t="s">
        <v>1235</v>
      </c>
      <c r="C492" s="71" t="s">
        <v>243</v>
      </c>
      <c r="D492" s="71" t="s">
        <v>1176</v>
      </c>
      <c r="E492" s="71" t="s">
        <v>1160</v>
      </c>
      <c r="F492" s="71"/>
      <c r="G492" s="71" t="s">
        <v>1236</v>
      </c>
      <c r="H492" s="71" t="s">
        <v>1237</v>
      </c>
      <c r="I492" s="71" t="str">
        <f>VLOOKUP(H492,[1]Sheet1!$C:$C,1,0)</f>
        <v>SC9632VB-CE-00CK-9632</v>
      </c>
      <c r="J492" s="71"/>
      <c r="K492" s="71"/>
      <c r="L492" s="71"/>
      <c r="M492" s="72"/>
      <c r="N492" s="71" t="s">
        <v>361</v>
      </c>
      <c r="O492" s="73"/>
      <c r="P492" s="71"/>
      <c r="Q492" s="74"/>
      <c r="R492" s="100">
        <v>5.3</v>
      </c>
      <c r="S492" s="75">
        <f t="shared" si="161"/>
        <v>159000</v>
      </c>
      <c r="T492" s="92"/>
      <c r="U492" s="76">
        <f t="shared" si="154"/>
        <v>30000</v>
      </c>
      <c r="V492" s="72">
        <v>10000</v>
      </c>
      <c r="W492" s="72">
        <v>5000</v>
      </c>
      <c r="X492" s="72">
        <v>10000</v>
      </c>
      <c r="Y492" s="72">
        <v>10000</v>
      </c>
      <c r="Z492" s="72">
        <v>10000</v>
      </c>
      <c r="AA492" s="72">
        <v>10000</v>
      </c>
      <c r="AB492" s="72">
        <v>20000</v>
      </c>
      <c r="AC492" s="72">
        <v>10000</v>
      </c>
      <c r="AD492" s="77">
        <v>10000</v>
      </c>
      <c r="AE492" s="75">
        <v>10000</v>
      </c>
      <c r="AF492" s="75">
        <v>10000</v>
      </c>
      <c r="AG492" s="75">
        <v>10000</v>
      </c>
      <c r="AH492" s="75">
        <v>10000</v>
      </c>
      <c r="AI492" s="75"/>
      <c r="AJ492" s="75">
        <v>10000</v>
      </c>
      <c r="AK492" s="11"/>
      <c r="AL492" s="11">
        <v>0</v>
      </c>
      <c r="AM492" s="11"/>
      <c r="AN492" s="11">
        <v>0</v>
      </c>
      <c r="AO492" s="11"/>
      <c r="AP492" s="11"/>
      <c r="AQ492" s="11">
        <v>0</v>
      </c>
      <c r="AR492" s="11"/>
      <c r="AS492" s="11"/>
      <c r="AT492" s="11"/>
      <c r="AU492" s="11"/>
      <c r="AV492" s="11"/>
      <c r="AW492" s="10" t="s">
        <v>1162</v>
      </c>
      <c r="AX492" s="10" t="s">
        <v>120</v>
      </c>
      <c r="AY492" s="19" t="s">
        <v>386</v>
      </c>
      <c r="AZ492" s="10" t="s">
        <v>167</v>
      </c>
      <c r="BA492" s="10" t="s">
        <v>346</v>
      </c>
      <c r="BB492" s="10" t="s">
        <v>1238</v>
      </c>
      <c r="BC492" s="10" t="s">
        <v>1239</v>
      </c>
      <c r="BD492" s="10"/>
      <c r="BE492" s="10"/>
      <c r="BF492" s="10"/>
      <c r="BG492" s="13"/>
      <c r="BH492" s="10"/>
      <c r="BI492" s="14"/>
      <c r="BJ492" s="14"/>
      <c r="BK492" s="14"/>
      <c r="BL492" s="14"/>
      <c r="BM492" s="14"/>
      <c r="BN492" s="15"/>
      <c r="BO492" s="11"/>
      <c r="BP492" s="16">
        <f t="shared" si="172"/>
        <v>53000</v>
      </c>
      <c r="BQ492" s="16">
        <f t="shared" si="168"/>
        <v>53000</v>
      </c>
      <c r="BR492" s="16">
        <f t="shared" si="169"/>
        <v>106000</v>
      </c>
      <c r="BS492" s="16">
        <f t="shared" si="170"/>
        <v>53000</v>
      </c>
      <c r="BT492" s="17">
        <f t="shared" si="171"/>
        <v>53000</v>
      </c>
      <c r="BU492" s="28">
        <f t="shared" si="156"/>
        <v>53000</v>
      </c>
      <c r="BV492" s="28">
        <f t="shared" si="157"/>
        <v>53000</v>
      </c>
      <c r="BW492" s="28">
        <f t="shared" si="158"/>
        <v>53000</v>
      </c>
    </row>
    <row r="493" spans="1:75" ht="17.399999999999999" x14ac:dyDescent="0.25">
      <c r="A493" s="69">
        <f t="shared" si="167"/>
        <v>492</v>
      </c>
      <c r="B493" s="70" t="s">
        <v>1240</v>
      </c>
      <c r="C493" s="71" t="s">
        <v>243</v>
      </c>
      <c r="D493" s="71" t="s">
        <v>1176</v>
      </c>
      <c r="E493" s="71" t="s">
        <v>1160</v>
      </c>
      <c r="F493" s="71"/>
      <c r="G493" s="71" t="s">
        <v>633</v>
      </c>
      <c r="H493" s="71" t="s">
        <v>378</v>
      </c>
      <c r="I493" s="71" t="str">
        <f>VLOOKUP(H493,[1]Sheet1!$C:$C,1,0)</f>
        <v>SC9621VB-CF-00CK-9621</v>
      </c>
      <c r="J493" s="71"/>
      <c r="K493" s="71"/>
      <c r="L493" s="71"/>
      <c r="M493" s="72"/>
      <c r="N493" s="71" t="s">
        <v>367</v>
      </c>
      <c r="O493" s="73"/>
      <c r="P493" s="71"/>
      <c r="Q493" s="74"/>
      <c r="R493" s="100">
        <v>2</v>
      </c>
      <c r="S493" s="75">
        <f t="shared" si="161"/>
        <v>60000</v>
      </c>
      <c r="T493" s="92"/>
      <c r="U493" s="76">
        <f t="shared" si="154"/>
        <v>30000</v>
      </c>
      <c r="V493" s="72">
        <v>10000</v>
      </c>
      <c r="W493" s="72">
        <v>5000</v>
      </c>
      <c r="X493" s="72">
        <v>10000</v>
      </c>
      <c r="Y493" s="72">
        <v>10000</v>
      </c>
      <c r="Z493" s="72">
        <v>10000</v>
      </c>
      <c r="AA493" s="72">
        <v>10000</v>
      </c>
      <c r="AB493" s="72">
        <v>10000</v>
      </c>
      <c r="AC493" s="72">
        <v>10000</v>
      </c>
      <c r="AD493" s="77">
        <v>10000</v>
      </c>
      <c r="AE493" s="75">
        <v>10000</v>
      </c>
      <c r="AF493" s="75">
        <v>10000</v>
      </c>
      <c r="AG493" s="75">
        <v>10000</v>
      </c>
      <c r="AH493" s="75">
        <v>10000</v>
      </c>
      <c r="AI493" s="75"/>
      <c r="AJ493" s="75">
        <v>10000</v>
      </c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19"/>
      <c r="AX493" s="19" t="s">
        <v>689</v>
      </c>
      <c r="AY493" s="19" t="s">
        <v>386</v>
      </c>
      <c r="AZ493" s="18"/>
      <c r="BA493" s="19"/>
      <c r="BB493" s="19"/>
      <c r="BC493" s="19"/>
      <c r="BD493" s="19"/>
      <c r="BE493" s="19"/>
      <c r="BF493" s="19"/>
      <c r="BG493" s="24"/>
      <c r="BH493" s="19"/>
      <c r="BI493" s="25"/>
      <c r="BJ493" s="25"/>
      <c r="BK493" s="25"/>
      <c r="BL493" s="25"/>
      <c r="BM493" s="25"/>
      <c r="BN493" s="26"/>
      <c r="BO493" s="21"/>
      <c r="BP493" s="27">
        <f t="shared" si="172"/>
        <v>20000</v>
      </c>
      <c r="BQ493" s="27">
        <f t="shared" si="168"/>
        <v>20000</v>
      </c>
      <c r="BR493" s="27">
        <f t="shared" si="169"/>
        <v>20000</v>
      </c>
      <c r="BS493" s="27">
        <f t="shared" si="170"/>
        <v>20000</v>
      </c>
      <c r="BT493" s="28">
        <f t="shared" si="171"/>
        <v>20000</v>
      </c>
      <c r="BU493" s="28">
        <f t="shared" si="156"/>
        <v>20000</v>
      </c>
      <c r="BV493" s="28">
        <f t="shared" si="157"/>
        <v>20000</v>
      </c>
      <c r="BW493" s="28">
        <f t="shared" si="158"/>
        <v>20000</v>
      </c>
    </row>
    <row r="494" spans="1:75" ht="17.399999999999999" x14ac:dyDescent="0.25">
      <c r="A494" s="69">
        <f t="shared" si="167"/>
        <v>493</v>
      </c>
      <c r="B494" s="70" t="s">
        <v>71</v>
      </c>
      <c r="C494" s="71" t="s">
        <v>243</v>
      </c>
      <c r="D494" s="71" t="s">
        <v>72</v>
      </c>
      <c r="E494" s="71" t="s">
        <v>69</v>
      </c>
      <c r="F494" s="71"/>
      <c r="G494" s="71" t="s">
        <v>73</v>
      </c>
      <c r="H494" s="71" t="s">
        <v>254</v>
      </c>
      <c r="I494" s="71" t="str">
        <f>VLOOKUP(H494,[1]Sheet1!$C:$C,1,0)</f>
        <v>SPD3242(STC35301)</v>
      </c>
      <c r="J494" s="71"/>
      <c r="K494" s="71"/>
      <c r="L494" s="71"/>
      <c r="M494" s="72"/>
      <c r="N494" s="71" t="s">
        <v>60</v>
      </c>
      <c r="O494" s="73"/>
      <c r="P494" s="71"/>
      <c r="Q494" s="74"/>
      <c r="R494" s="100">
        <v>4</v>
      </c>
      <c r="S494" s="75">
        <f t="shared" si="161"/>
        <v>0</v>
      </c>
      <c r="T494" s="76">
        <v>0</v>
      </c>
      <c r="U494" s="76">
        <f t="shared" si="154"/>
        <v>0</v>
      </c>
      <c r="V494" s="72"/>
      <c r="W494" s="72"/>
      <c r="X494" s="72"/>
      <c r="Y494" s="72"/>
      <c r="Z494" s="72"/>
      <c r="AA494" s="72"/>
      <c r="AB494" s="72"/>
      <c r="AC494" s="72"/>
      <c r="AD494" s="77"/>
      <c r="AE494" s="75"/>
      <c r="AF494" s="75"/>
      <c r="AG494" s="75"/>
      <c r="AH494" s="75">
        <v>0</v>
      </c>
      <c r="AI494" s="75"/>
      <c r="AJ494" s="75">
        <v>0</v>
      </c>
      <c r="AK494" s="21">
        <v>0</v>
      </c>
      <c r="AL494" s="21">
        <v>0</v>
      </c>
      <c r="AM494" s="21">
        <v>0</v>
      </c>
      <c r="AN494" s="21">
        <v>0</v>
      </c>
      <c r="AO494" s="21">
        <v>0</v>
      </c>
      <c r="AP494" s="21">
        <v>0</v>
      </c>
      <c r="AQ494" s="21">
        <v>0</v>
      </c>
      <c r="AR494" s="21"/>
      <c r="AS494" s="21"/>
      <c r="AT494" s="21"/>
      <c r="AU494" s="21"/>
      <c r="AV494" s="21"/>
      <c r="AW494" s="19"/>
      <c r="AX494" s="19" t="s">
        <v>61</v>
      </c>
      <c r="AY494" s="19"/>
      <c r="AZ494" s="18" t="s">
        <v>248</v>
      </c>
      <c r="BA494" s="19"/>
      <c r="BB494" s="19"/>
      <c r="BC494" s="19"/>
      <c r="BD494" s="19"/>
      <c r="BE494" s="19"/>
      <c r="BF494" s="19"/>
      <c r="BG494" s="24"/>
      <c r="BH494" s="25"/>
      <c r="BI494" s="25"/>
      <c r="BJ494" s="25"/>
      <c r="BK494" s="25"/>
      <c r="BL494" s="25"/>
      <c r="BM494" s="25"/>
      <c r="BN494" s="26"/>
      <c r="BO494" s="21"/>
      <c r="BP494" s="27">
        <f t="shared" si="172"/>
        <v>0</v>
      </c>
      <c r="BQ494" s="27">
        <f t="shared" si="168"/>
        <v>0</v>
      </c>
      <c r="BR494" s="27">
        <f t="shared" si="169"/>
        <v>0</v>
      </c>
      <c r="BS494" s="27">
        <f t="shared" si="170"/>
        <v>0</v>
      </c>
      <c r="BT494" s="28">
        <f t="shared" si="171"/>
        <v>0</v>
      </c>
      <c r="BU494" s="28">
        <f t="shared" si="156"/>
        <v>0</v>
      </c>
      <c r="BV494" s="28">
        <f t="shared" si="157"/>
        <v>0</v>
      </c>
      <c r="BW494" s="28">
        <f t="shared" si="158"/>
        <v>0</v>
      </c>
    </row>
    <row r="495" spans="1:75" ht="17.399999999999999" x14ac:dyDescent="0.25">
      <c r="A495" s="69">
        <f t="shared" si="167"/>
        <v>494</v>
      </c>
      <c r="B495" s="70" t="s">
        <v>1247</v>
      </c>
      <c r="C495" s="71" t="s">
        <v>290</v>
      </c>
      <c r="D495" s="71" t="s">
        <v>1176</v>
      </c>
      <c r="E495" s="71" t="s">
        <v>1160</v>
      </c>
      <c r="F495" s="71"/>
      <c r="G495" s="71" t="s">
        <v>514</v>
      </c>
      <c r="H495" s="71" t="s">
        <v>285</v>
      </c>
      <c r="I495" s="71" t="str">
        <f>VLOOKUP(H495,[1]Sheet1!$C:$C,1,0)</f>
        <v>SC2448SO-Q-DB-60CR-2448</v>
      </c>
      <c r="J495" s="71"/>
      <c r="K495" s="71"/>
      <c r="L495" s="71" t="s">
        <v>1234</v>
      </c>
      <c r="M495" s="72"/>
      <c r="N495" s="71" t="s">
        <v>361</v>
      </c>
      <c r="O495" s="73" t="s">
        <v>1248</v>
      </c>
      <c r="P495" s="71" t="s">
        <v>295</v>
      </c>
      <c r="Q495" s="74"/>
      <c r="R495" s="100">
        <v>0.38</v>
      </c>
      <c r="S495" s="75">
        <f t="shared" si="161"/>
        <v>1026000</v>
      </c>
      <c r="T495" s="92"/>
      <c r="U495" s="76">
        <f t="shared" si="154"/>
        <v>2700000</v>
      </c>
      <c r="V495" s="72">
        <v>459000</v>
      </c>
      <c r="W495" s="72">
        <v>300000</v>
      </c>
      <c r="X495" s="72">
        <v>600000</v>
      </c>
      <c r="Y495" s="72">
        <v>600000</v>
      </c>
      <c r="Z495" s="72">
        <v>600000</v>
      </c>
      <c r="AA495" s="72">
        <v>600000</v>
      </c>
      <c r="AB495" s="72">
        <v>600000</v>
      </c>
      <c r="AC495" s="72">
        <v>600000</v>
      </c>
      <c r="AD495" s="77">
        <v>600000</v>
      </c>
      <c r="AE495" s="75">
        <v>700000</v>
      </c>
      <c r="AF495" s="75">
        <v>1000000</v>
      </c>
      <c r="AG495" s="75">
        <v>1000000</v>
      </c>
      <c r="AH495" s="75">
        <v>1000000</v>
      </c>
      <c r="AI495" s="75"/>
      <c r="AJ495" s="75">
        <v>1000000</v>
      </c>
      <c r="AK495" s="21"/>
      <c r="AL495" s="21"/>
      <c r="AM495" s="21"/>
      <c r="AN495" s="21">
        <v>0</v>
      </c>
      <c r="AO495" s="21"/>
      <c r="AP495" s="21"/>
      <c r="AQ495" s="21">
        <v>0</v>
      </c>
      <c r="AR495" s="21"/>
      <c r="AS495" s="21"/>
      <c r="AT495" s="21"/>
      <c r="AU495" s="21"/>
      <c r="AV495" s="21"/>
      <c r="AW495" s="19" t="s">
        <v>1162</v>
      </c>
      <c r="AX495" s="19" t="s">
        <v>120</v>
      </c>
      <c r="AY495" s="19" t="s">
        <v>261</v>
      </c>
      <c r="AZ495" s="18" t="s">
        <v>62</v>
      </c>
      <c r="BA495" s="19" t="s">
        <v>96</v>
      </c>
      <c r="BB495" s="19" t="s">
        <v>141</v>
      </c>
      <c r="BC495" s="19" t="s">
        <v>140</v>
      </c>
      <c r="BD495" s="19"/>
      <c r="BE495" s="19"/>
      <c r="BF495" s="19"/>
      <c r="BG495" s="24"/>
      <c r="BH495" s="19"/>
      <c r="BI495" s="25"/>
      <c r="BJ495" s="25"/>
      <c r="BK495" s="25"/>
      <c r="BL495" s="25"/>
      <c r="BM495" s="25"/>
      <c r="BN495" s="26"/>
      <c r="BO495" s="21"/>
      <c r="BP495" s="27">
        <f t="shared" si="172"/>
        <v>228000</v>
      </c>
      <c r="BQ495" s="27">
        <f t="shared" si="168"/>
        <v>228000</v>
      </c>
      <c r="BR495" s="27">
        <f t="shared" si="169"/>
        <v>228000</v>
      </c>
      <c r="BS495" s="27">
        <f t="shared" si="170"/>
        <v>228000</v>
      </c>
      <c r="BT495" s="28">
        <f t="shared" si="171"/>
        <v>228000</v>
      </c>
      <c r="BU495" s="28">
        <f t="shared" si="156"/>
        <v>266000</v>
      </c>
      <c r="BV495" s="28">
        <f t="shared" si="157"/>
        <v>380000</v>
      </c>
      <c r="BW495" s="28">
        <f t="shared" si="158"/>
        <v>380000</v>
      </c>
    </row>
    <row r="496" spans="1:75" ht="17.399999999999999" x14ac:dyDescent="0.25">
      <c r="A496" s="69">
        <f t="shared" si="167"/>
        <v>495</v>
      </c>
      <c r="B496" s="70" t="s">
        <v>1247</v>
      </c>
      <c r="C496" s="71" t="s">
        <v>290</v>
      </c>
      <c r="D496" s="71" t="s">
        <v>1176</v>
      </c>
      <c r="E496" s="71" t="s">
        <v>1160</v>
      </c>
      <c r="F496" s="71"/>
      <c r="G496" s="71" t="s">
        <v>525</v>
      </c>
      <c r="H496" s="71" t="s">
        <v>526</v>
      </c>
      <c r="I496" s="71" t="str">
        <f>VLOOKUP(H496,[1]Sheet1!$C:$C,1,0)</f>
        <v>SC2442SO-N-Q-DB-60CR-2442</v>
      </c>
      <c r="J496" s="71"/>
      <c r="K496" s="71"/>
      <c r="L496" s="71" t="s">
        <v>1243</v>
      </c>
      <c r="M496" s="72"/>
      <c r="N496" s="71" t="s">
        <v>361</v>
      </c>
      <c r="O496" s="73" t="s">
        <v>1248</v>
      </c>
      <c r="P496" s="71" t="s">
        <v>295</v>
      </c>
      <c r="Q496" s="74"/>
      <c r="R496" s="100">
        <v>0.25</v>
      </c>
      <c r="S496" s="75">
        <f t="shared" si="161"/>
        <v>180000</v>
      </c>
      <c r="T496" s="92"/>
      <c r="U496" s="76">
        <f t="shared" si="154"/>
        <v>720000</v>
      </c>
      <c r="V496" s="72">
        <v>0</v>
      </c>
      <c r="W496" s="72">
        <v>200000</v>
      </c>
      <c r="X496" s="72">
        <v>200000</v>
      </c>
      <c r="Y496" s="72">
        <v>200000</v>
      </c>
      <c r="Z496" s="72">
        <v>240000</v>
      </c>
      <c r="AA496" s="72">
        <v>240000</v>
      </c>
      <c r="AB496" s="72">
        <v>120000</v>
      </c>
      <c r="AC496" s="72">
        <v>240000</v>
      </c>
      <c r="AD496" s="77">
        <v>240000</v>
      </c>
      <c r="AE496" s="75">
        <v>240000</v>
      </c>
      <c r="AF496" s="75">
        <v>240000</v>
      </c>
      <c r="AG496" s="75">
        <v>240000</v>
      </c>
      <c r="AH496" s="75">
        <v>240000</v>
      </c>
      <c r="AI496" s="75"/>
      <c r="AJ496" s="75">
        <v>240000</v>
      </c>
      <c r="AK496" s="11">
        <v>0</v>
      </c>
      <c r="AL496" s="11">
        <v>0</v>
      </c>
      <c r="AM496" s="11"/>
      <c r="AN496" s="11"/>
      <c r="AO496" s="11"/>
      <c r="AP496" s="11">
        <v>0</v>
      </c>
      <c r="AQ496" s="11">
        <v>0</v>
      </c>
      <c r="AR496" s="11"/>
      <c r="AS496" s="11"/>
      <c r="AT496" s="11"/>
      <c r="AU496" s="11"/>
      <c r="AV496" s="11"/>
      <c r="AW496" s="10" t="s">
        <v>1162</v>
      </c>
      <c r="AX496" s="10" t="s">
        <v>120</v>
      </c>
      <c r="AY496" s="19" t="s">
        <v>261</v>
      </c>
      <c r="AZ496" s="9" t="s">
        <v>62</v>
      </c>
      <c r="BA496" s="10" t="s">
        <v>96</v>
      </c>
      <c r="BB496" s="10" t="s">
        <v>1245</v>
      </c>
      <c r="BC496" s="10" t="s">
        <v>1246</v>
      </c>
      <c r="BD496" s="10"/>
      <c r="BE496" s="10"/>
      <c r="BF496" s="10"/>
      <c r="BG496" s="13"/>
      <c r="BH496" s="10"/>
      <c r="BI496" s="14"/>
      <c r="BJ496" s="14"/>
      <c r="BK496" s="14"/>
      <c r="BL496" s="14"/>
      <c r="BM496" s="14"/>
      <c r="BN496" s="15"/>
      <c r="BO496" s="11"/>
      <c r="BP496" s="16">
        <f t="shared" si="172"/>
        <v>60000</v>
      </c>
      <c r="BQ496" s="16">
        <f t="shared" si="168"/>
        <v>60000</v>
      </c>
      <c r="BR496" s="16">
        <f t="shared" si="169"/>
        <v>30000</v>
      </c>
      <c r="BS496" s="16">
        <f t="shared" si="170"/>
        <v>60000</v>
      </c>
      <c r="BT496" s="17">
        <f t="shared" si="171"/>
        <v>60000</v>
      </c>
      <c r="BU496" s="28">
        <f t="shared" si="156"/>
        <v>60000</v>
      </c>
      <c r="BV496" s="28">
        <f t="shared" si="157"/>
        <v>60000</v>
      </c>
      <c r="BW496" s="28">
        <f t="shared" si="158"/>
        <v>60000</v>
      </c>
    </row>
    <row r="497" spans="1:75" ht="17.399999999999999" x14ac:dyDescent="0.25">
      <c r="A497" s="69">
        <f t="shared" si="167"/>
        <v>496</v>
      </c>
      <c r="B497" s="70" t="s">
        <v>1247</v>
      </c>
      <c r="C497" s="71" t="s">
        <v>290</v>
      </c>
      <c r="D497" s="71" t="s">
        <v>1176</v>
      </c>
      <c r="E497" s="71" t="s">
        <v>1160</v>
      </c>
      <c r="F497" s="71"/>
      <c r="G497" s="71" t="s">
        <v>803</v>
      </c>
      <c r="H497" s="71" t="s">
        <v>804</v>
      </c>
      <c r="I497" s="71" t="str">
        <f>VLOOKUP(H497,[1]Sheet1!$C:$C,1,0)</f>
        <v>SC2442UA-Q-DB-60AK-2442</v>
      </c>
      <c r="J497" s="71"/>
      <c r="K497" s="71"/>
      <c r="L497" s="71" t="s">
        <v>1243</v>
      </c>
      <c r="M497" s="72"/>
      <c r="N497" s="71" t="s">
        <v>361</v>
      </c>
      <c r="O497" s="73" t="s">
        <v>1248</v>
      </c>
      <c r="P497" s="71" t="s">
        <v>295</v>
      </c>
      <c r="Q497" s="74"/>
      <c r="R497" s="100">
        <v>0.25</v>
      </c>
      <c r="S497" s="75">
        <f t="shared" si="161"/>
        <v>180000</v>
      </c>
      <c r="T497" s="92"/>
      <c r="U497" s="76">
        <f t="shared" si="154"/>
        <v>720000</v>
      </c>
      <c r="V497" s="72">
        <v>6000</v>
      </c>
      <c r="W497" s="72">
        <v>0</v>
      </c>
      <c r="X497" s="72">
        <v>10000</v>
      </c>
      <c r="Y497" s="72">
        <v>0</v>
      </c>
      <c r="Z497" s="72">
        <v>240000</v>
      </c>
      <c r="AA497" s="72">
        <v>120000</v>
      </c>
      <c r="AB497" s="72">
        <v>120000</v>
      </c>
      <c r="AC497" s="72">
        <v>120000</v>
      </c>
      <c r="AD497" s="77">
        <v>240000</v>
      </c>
      <c r="AE497" s="75">
        <v>240000</v>
      </c>
      <c r="AF497" s="75">
        <v>240000</v>
      </c>
      <c r="AG497" s="75">
        <v>240000</v>
      </c>
      <c r="AH497" s="75">
        <v>240000</v>
      </c>
      <c r="AI497" s="75"/>
      <c r="AJ497" s="75">
        <v>240000</v>
      </c>
      <c r="AK497" s="21"/>
      <c r="AL497" s="21">
        <v>0</v>
      </c>
      <c r="AM497" s="21">
        <v>0</v>
      </c>
      <c r="AN497" s="21"/>
      <c r="AO497" s="21">
        <v>0</v>
      </c>
      <c r="AP497" s="21">
        <v>0</v>
      </c>
      <c r="AQ497" s="21">
        <v>0</v>
      </c>
      <c r="AR497" s="21"/>
      <c r="AS497" s="21"/>
      <c r="AT497" s="21"/>
      <c r="AU497" s="21"/>
      <c r="AV497" s="21"/>
      <c r="AW497" s="19" t="s">
        <v>1162</v>
      </c>
      <c r="AX497" s="19" t="s">
        <v>120</v>
      </c>
      <c r="AY497" s="19" t="s">
        <v>261</v>
      </c>
      <c r="AZ497" s="18" t="s">
        <v>62</v>
      </c>
      <c r="BA497" s="19" t="s">
        <v>96</v>
      </c>
      <c r="BB497" s="19" t="s">
        <v>1245</v>
      </c>
      <c r="BC497" s="19" t="s">
        <v>1246</v>
      </c>
      <c r="BD497" s="19"/>
      <c r="BE497" s="19"/>
      <c r="BF497" s="19"/>
      <c r="BG497" s="24"/>
      <c r="BH497" s="19"/>
      <c r="BI497" s="25"/>
      <c r="BJ497" s="25"/>
      <c r="BK497" s="25"/>
      <c r="BL497" s="25"/>
      <c r="BM497" s="25"/>
      <c r="BN497" s="26"/>
      <c r="BO497" s="21"/>
      <c r="BP497" s="27">
        <f t="shared" si="172"/>
        <v>60000</v>
      </c>
      <c r="BQ497" s="27">
        <f t="shared" si="168"/>
        <v>30000</v>
      </c>
      <c r="BR497" s="27">
        <f t="shared" si="169"/>
        <v>30000</v>
      </c>
      <c r="BS497" s="27">
        <f t="shared" si="170"/>
        <v>30000</v>
      </c>
      <c r="BT497" s="28">
        <f t="shared" si="171"/>
        <v>60000</v>
      </c>
      <c r="BU497" s="28">
        <f t="shared" si="156"/>
        <v>60000</v>
      </c>
      <c r="BV497" s="28">
        <f t="shared" si="157"/>
        <v>60000</v>
      </c>
      <c r="BW497" s="28">
        <f t="shared" si="158"/>
        <v>60000</v>
      </c>
    </row>
    <row r="498" spans="1:75" ht="17.399999999999999" x14ac:dyDescent="0.25">
      <c r="A498" s="69">
        <f t="shared" si="167"/>
        <v>497</v>
      </c>
      <c r="B498" s="70" t="s">
        <v>1249</v>
      </c>
      <c r="C498" s="71" t="s">
        <v>290</v>
      </c>
      <c r="D498" s="71" t="s">
        <v>1176</v>
      </c>
      <c r="E498" s="71" t="s">
        <v>1160</v>
      </c>
      <c r="F498" s="71"/>
      <c r="G498" s="71" t="s">
        <v>259</v>
      </c>
      <c r="H498" s="71" t="s">
        <v>260</v>
      </c>
      <c r="I498" s="71" t="str">
        <f>VLOOKUP(H498,[1]Sheet1!$C:$C,1,0)</f>
        <v>SC2498SO-Q-DB-60CR-2498</v>
      </c>
      <c r="J498" s="71"/>
      <c r="K498" s="71"/>
      <c r="L498" s="71" t="s">
        <v>604</v>
      </c>
      <c r="M498" s="72"/>
      <c r="N498" s="71" t="s">
        <v>251</v>
      </c>
      <c r="O498" s="73" t="s">
        <v>1250</v>
      </c>
      <c r="P498" s="71" t="s">
        <v>1251</v>
      </c>
      <c r="Q498" s="74"/>
      <c r="R498" s="100">
        <v>0.42</v>
      </c>
      <c r="S498" s="75">
        <f t="shared" si="161"/>
        <v>50400</v>
      </c>
      <c r="T498" s="92"/>
      <c r="U498" s="76">
        <f t="shared" si="154"/>
        <v>120000</v>
      </c>
      <c r="V498" s="72">
        <v>21000</v>
      </c>
      <c r="W498" s="72">
        <v>0</v>
      </c>
      <c r="X498" s="72">
        <v>21000</v>
      </c>
      <c r="Y498" s="72">
        <v>0</v>
      </c>
      <c r="Z498" s="72">
        <v>0</v>
      </c>
      <c r="AA498" s="72">
        <v>0</v>
      </c>
      <c r="AB498" s="72">
        <v>60000</v>
      </c>
      <c r="AC498" s="72">
        <v>0</v>
      </c>
      <c r="AD498" s="77">
        <v>60000</v>
      </c>
      <c r="AE498" s="75">
        <v>0</v>
      </c>
      <c r="AF498" s="75">
        <v>0</v>
      </c>
      <c r="AG498" s="75">
        <v>120000</v>
      </c>
      <c r="AH498" s="75">
        <v>120000</v>
      </c>
      <c r="AI498" s="75"/>
      <c r="AJ498" s="75">
        <v>120000</v>
      </c>
      <c r="AK498" s="11">
        <v>0</v>
      </c>
      <c r="AL498" s="11">
        <v>0</v>
      </c>
      <c r="AM498" s="11">
        <v>0</v>
      </c>
      <c r="AN498" s="11">
        <v>0</v>
      </c>
      <c r="AO498" s="11">
        <v>0</v>
      </c>
      <c r="AP498" s="11">
        <v>0</v>
      </c>
      <c r="AQ498" s="11">
        <v>0</v>
      </c>
      <c r="AR498" s="11"/>
      <c r="AS498" s="11"/>
      <c r="AT498" s="11"/>
      <c r="AU498" s="11"/>
      <c r="AV498" s="11"/>
      <c r="AW498" s="10" t="s">
        <v>1162</v>
      </c>
      <c r="AX498" s="10" t="s">
        <v>120</v>
      </c>
      <c r="AY498" s="19" t="s">
        <v>261</v>
      </c>
      <c r="AZ498" s="9" t="s">
        <v>62</v>
      </c>
      <c r="BA498" s="10" t="s">
        <v>96</v>
      </c>
      <c r="BB498" s="10" t="s">
        <v>1252</v>
      </c>
      <c r="BC498" s="10" t="s">
        <v>1253</v>
      </c>
      <c r="BD498" s="10"/>
      <c r="BE498" s="10"/>
      <c r="BF498" s="10"/>
      <c r="BG498" s="13"/>
      <c r="BH498" s="10"/>
      <c r="BI498" s="14"/>
      <c r="BJ498" s="14"/>
      <c r="BK498" s="14"/>
      <c r="BL498" s="14"/>
      <c r="BM498" s="14"/>
      <c r="BN498" s="15"/>
      <c r="BO498" s="11"/>
      <c r="BP498" s="16">
        <f t="shared" si="172"/>
        <v>0</v>
      </c>
      <c r="BQ498" s="16">
        <f t="shared" si="168"/>
        <v>0</v>
      </c>
      <c r="BR498" s="16">
        <f t="shared" si="169"/>
        <v>25200</v>
      </c>
      <c r="BS498" s="16">
        <f t="shared" si="170"/>
        <v>0</v>
      </c>
      <c r="BT498" s="17">
        <f t="shared" si="171"/>
        <v>25200</v>
      </c>
      <c r="BU498" s="28">
        <f t="shared" si="156"/>
        <v>0</v>
      </c>
      <c r="BV498" s="28">
        <f t="shared" si="157"/>
        <v>0</v>
      </c>
      <c r="BW498" s="28">
        <f t="shared" si="158"/>
        <v>50400</v>
      </c>
    </row>
    <row r="499" spans="1:75" ht="17.399999999999999" x14ac:dyDescent="0.25">
      <c r="A499" s="69">
        <f t="shared" si="167"/>
        <v>498</v>
      </c>
      <c r="B499" s="70" t="s">
        <v>1254</v>
      </c>
      <c r="C499" s="71" t="s">
        <v>243</v>
      </c>
      <c r="D499" s="71" t="s">
        <v>1210</v>
      </c>
      <c r="E499" s="71" t="s">
        <v>1160</v>
      </c>
      <c r="F499" s="71"/>
      <c r="G499" s="71" t="s">
        <v>1192</v>
      </c>
      <c r="H499" s="71" t="s">
        <v>1213</v>
      </c>
      <c r="I499" s="71" t="str">
        <f>VLOOKUP(H499,[1]Sheet1!$C:$C,1,0)</f>
        <v>SD211VB-CA-90AK-KH211</v>
      </c>
      <c r="J499" s="71"/>
      <c r="K499" s="71"/>
      <c r="L499" s="71" t="s">
        <v>800</v>
      </c>
      <c r="M499" s="72"/>
      <c r="N499" s="71" t="s">
        <v>361</v>
      </c>
      <c r="O499" s="73"/>
      <c r="P499" s="71" t="s">
        <v>1194</v>
      </c>
      <c r="Q499" s="74"/>
      <c r="R499" s="100">
        <v>0.13700000000000001</v>
      </c>
      <c r="S499" s="75">
        <f t="shared" si="161"/>
        <v>0</v>
      </c>
      <c r="T499" s="92"/>
      <c r="U499" s="76">
        <f t="shared" si="154"/>
        <v>0</v>
      </c>
      <c r="V499" s="72">
        <v>0</v>
      </c>
      <c r="W499" s="72">
        <v>0</v>
      </c>
      <c r="X499" s="72">
        <v>0</v>
      </c>
      <c r="Y499" s="72">
        <v>0</v>
      </c>
      <c r="Z499" s="72">
        <v>300000</v>
      </c>
      <c r="AA499" s="72">
        <v>400000</v>
      </c>
      <c r="AB499" s="72">
        <v>200000</v>
      </c>
      <c r="AC499" s="72">
        <v>200000</v>
      </c>
      <c r="AD499" s="77"/>
      <c r="AE499" s="75"/>
      <c r="AF499" s="75"/>
      <c r="AG499" s="75"/>
      <c r="AH499" s="75"/>
      <c r="AI499" s="75"/>
      <c r="AJ499" s="75">
        <v>0</v>
      </c>
      <c r="AK499" s="21"/>
      <c r="AL499" s="21">
        <v>0</v>
      </c>
      <c r="AM499" s="21"/>
      <c r="AN499" s="21">
        <v>0</v>
      </c>
      <c r="AO499" s="21">
        <v>0</v>
      </c>
      <c r="AP499" s="21"/>
      <c r="AQ499" s="21">
        <v>0</v>
      </c>
      <c r="AR499" s="21"/>
      <c r="AS499" s="21"/>
      <c r="AT499" s="21"/>
      <c r="AU499" s="21"/>
      <c r="AV499" s="21"/>
      <c r="AW499" s="19" t="s">
        <v>122</v>
      </c>
      <c r="AX499" s="19" t="s">
        <v>120</v>
      </c>
      <c r="AY499" s="19" t="s">
        <v>299</v>
      </c>
      <c r="AZ499" s="19" t="s">
        <v>1185</v>
      </c>
      <c r="BA499" s="19" t="s">
        <v>1186</v>
      </c>
      <c r="BB499" s="19" t="s">
        <v>324</v>
      </c>
      <c r="BC499" s="19" t="s">
        <v>324</v>
      </c>
      <c r="BD499" s="19"/>
      <c r="BE499" s="19"/>
      <c r="BF499" s="19"/>
      <c r="BG499" s="24"/>
      <c r="BH499" s="19"/>
      <c r="BI499" s="25"/>
      <c r="BJ499" s="25"/>
      <c r="BK499" s="25"/>
      <c r="BL499" s="25"/>
      <c r="BM499" s="25"/>
      <c r="BN499" s="26"/>
      <c r="BO499" s="21"/>
      <c r="BP499" s="27">
        <f t="shared" si="172"/>
        <v>41100</v>
      </c>
      <c r="BQ499" s="27">
        <f t="shared" si="168"/>
        <v>54800.000000000007</v>
      </c>
      <c r="BR499" s="27">
        <f t="shared" si="169"/>
        <v>27400.000000000004</v>
      </c>
      <c r="BS499" s="27">
        <f t="shared" si="170"/>
        <v>27400.000000000004</v>
      </c>
      <c r="BT499" s="28">
        <f t="shared" si="171"/>
        <v>0</v>
      </c>
      <c r="BU499" s="28">
        <f t="shared" si="156"/>
        <v>0</v>
      </c>
      <c r="BV499" s="28">
        <f t="shared" si="157"/>
        <v>0</v>
      </c>
      <c r="BW499" s="28">
        <f t="shared" si="158"/>
        <v>0</v>
      </c>
    </row>
    <row r="500" spans="1:75" ht="17.399999999999999" x14ac:dyDescent="0.25">
      <c r="A500" s="69">
        <f t="shared" si="167"/>
        <v>499</v>
      </c>
      <c r="B500" s="73" t="s">
        <v>1824</v>
      </c>
      <c r="C500" s="71" t="s">
        <v>243</v>
      </c>
      <c r="D500" s="122" t="s">
        <v>1824</v>
      </c>
      <c r="E500" s="71" t="s">
        <v>1166</v>
      </c>
      <c r="F500" s="71"/>
      <c r="G500" s="71" t="s">
        <v>1825</v>
      </c>
      <c r="H500" s="71" t="s">
        <v>1826</v>
      </c>
      <c r="I500" s="71" t="str">
        <f>VLOOKUP(H500,[1]Sheet1!$C:$C,1,0)</f>
        <v>SYLM358DC-GC-90AR-LM358</v>
      </c>
      <c r="J500" s="71"/>
      <c r="K500" s="71"/>
      <c r="L500" s="73"/>
      <c r="M500" s="80"/>
      <c r="N500" s="72"/>
      <c r="O500" s="73"/>
      <c r="P500" s="71"/>
      <c r="Q500" s="71"/>
      <c r="R500" s="100">
        <v>0.1</v>
      </c>
      <c r="S500" s="75"/>
      <c r="T500" s="91"/>
      <c r="U500" s="76">
        <f t="shared" si="154"/>
        <v>0</v>
      </c>
      <c r="V500" s="80"/>
      <c r="W500" s="80"/>
      <c r="X500" s="80"/>
      <c r="Y500" s="72"/>
      <c r="Z500" s="72"/>
      <c r="AA500" s="72"/>
      <c r="AB500" s="72"/>
      <c r="AC500" s="72"/>
      <c r="AD500" s="77"/>
      <c r="AE500" s="75"/>
      <c r="AF500" s="75"/>
      <c r="AG500" s="75"/>
      <c r="AH500" s="75"/>
      <c r="AI500" s="75"/>
      <c r="AJ500" s="75">
        <f>AH500</f>
        <v>0</v>
      </c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19"/>
      <c r="AX500" s="19" t="s">
        <v>1170</v>
      </c>
      <c r="AY500" s="19" t="s">
        <v>1827</v>
      </c>
      <c r="AZ500" s="19"/>
      <c r="BA500" s="19"/>
      <c r="BB500" s="19"/>
      <c r="BC500" s="19"/>
      <c r="BD500" s="19"/>
      <c r="BE500" s="19"/>
      <c r="BF500" s="19"/>
      <c r="BG500" s="24"/>
      <c r="BH500" s="19"/>
      <c r="BI500" s="25"/>
      <c r="BJ500" s="25"/>
      <c r="BK500" s="25"/>
      <c r="BL500" s="25"/>
      <c r="BM500" s="25"/>
      <c r="BN500" s="37"/>
      <c r="BO500" s="21"/>
      <c r="BP500" s="27"/>
      <c r="BQ500" s="27"/>
      <c r="BR500" s="27"/>
      <c r="BS500" s="27">
        <f t="shared" ref="BS500:BS529" si="173">$R500*AC500</f>
        <v>0</v>
      </c>
      <c r="BT500" s="28">
        <f t="shared" ref="BT500:BT529" si="174">$R500*AD500</f>
        <v>0</v>
      </c>
      <c r="BU500" s="28">
        <f t="shared" si="156"/>
        <v>0</v>
      </c>
      <c r="BV500" s="28">
        <f t="shared" si="157"/>
        <v>0</v>
      </c>
      <c r="BW500" s="28">
        <f t="shared" si="158"/>
        <v>0</v>
      </c>
    </row>
    <row r="501" spans="1:75" ht="17.399999999999999" x14ac:dyDescent="0.25">
      <c r="A501" s="69">
        <f t="shared" si="167"/>
        <v>500</v>
      </c>
      <c r="B501" s="70" t="s">
        <v>1257</v>
      </c>
      <c r="C501" s="71" t="s">
        <v>243</v>
      </c>
      <c r="D501" s="71" t="s">
        <v>1176</v>
      </c>
      <c r="E501" s="71" t="s">
        <v>1160</v>
      </c>
      <c r="F501" s="71"/>
      <c r="G501" s="71" t="s">
        <v>929</v>
      </c>
      <c r="H501" s="71" t="s">
        <v>1258</v>
      </c>
      <c r="I501" s="71" t="str">
        <f>VLOOKUP(H501,[1]Sheet1!$C:$C,1,0)</f>
        <v>SC4011SO-N-CB-90NR-49E</v>
      </c>
      <c r="J501" s="71"/>
      <c r="K501" s="71"/>
      <c r="L501" s="71" t="s">
        <v>959</v>
      </c>
      <c r="M501" s="72"/>
      <c r="N501" s="71" t="s">
        <v>251</v>
      </c>
      <c r="O501" s="73"/>
      <c r="P501" s="71"/>
      <c r="Q501" s="74"/>
      <c r="R501" s="100">
        <v>0.16</v>
      </c>
      <c r="S501" s="75">
        <f>R501*U501</f>
        <v>115200</v>
      </c>
      <c r="T501" s="92"/>
      <c r="U501" s="76">
        <f t="shared" si="154"/>
        <v>720000</v>
      </c>
      <c r="V501" s="72">
        <v>0</v>
      </c>
      <c r="W501" s="72">
        <v>0</v>
      </c>
      <c r="X501" s="72">
        <v>0</v>
      </c>
      <c r="Y501" s="72">
        <v>0</v>
      </c>
      <c r="Z501" s="72">
        <v>240000</v>
      </c>
      <c r="AA501" s="72">
        <v>240000</v>
      </c>
      <c r="AB501" s="72">
        <v>240000</v>
      </c>
      <c r="AC501" s="72">
        <v>240000</v>
      </c>
      <c r="AD501" s="77"/>
      <c r="AE501" s="75">
        <v>240000</v>
      </c>
      <c r="AF501" s="75">
        <v>240000</v>
      </c>
      <c r="AG501" s="75">
        <v>240000</v>
      </c>
      <c r="AH501" s="75">
        <v>240000</v>
      </c>
      <c r="AI501" s="75"/>
      <c r="AJ501" s="75">
        <v>240000</v>
      </c>
      <c r="AK501" s="21">
        <v>0</v>
      </c>
      <c r="AL501" s="21">
        <v>0</v>
      </c>
      <c r="AM501" s="21">
        <v>0</v>
      </c>
      <c r="AN501" s="21">
        <v>0</v>
      </c>
      <c r="AO501" s="21">
        <v>0</v>
      </c>
      <c r="AP501" s="21">
        <v>0</v>
      </c>
      <c r="AQ501" s="21">
        <v>0</v>
      </c>
      <c r="AR501" s="21"/>
      <c r="AS501" s="21"/>
      <c r="AT501" s="21"/>
      <c r="AU501" s="21"/>
      <c r="AV501" s="21"/>
      <c r="AW501" s="19" t="s">
        <v>155</v>
      </c>
      <c r="AX501" s="19" t="s">
        <v>120</v>
      </c>
      <c r="AY501" s="19" t="s">
        <v>261</v>
      </c>
      <c r="AZ501" s="19" t="s">
        <v>167</v>
      </c>
      <c r="BA501" s="19" t="s">
        <v>317</v>
      </c>
      <c r="BB501" s="19" t="s">
        <v>530</v>
      </c>
      <c r="BC501" s="19" t="s">
        <v>530</v>
      </c>
      <c r="BD501" s="19"/>
      <c r="BE501" s="19"/>
      <c r="BF501" s="19"/>
      <c r="BG501" s="24"/>
      <c r="BH501" s="19"/>
      <c r="BI501" s="25"/>
      <c r="BJ501" s="25"/>
      <c r="BK501" s="25"/>
      <c r="BL501" s="25"/>
      <c r="BM501" s="25"/>
      <c r="BN501" s="26"/>
      <c r="BO501" s="21"/>
      <c r="BP501" s="27">
        <f t="shared" ref="BP501:BR503" si="175">$R501*Z501</f>
        <v>38400</v>
      </c>
      <c r="BQ501" s="27">
        <f t="shared" si="175"/>
        <v>38400</v>
      </c>
      <c r="BR501" s="27">
        <f t="shared" si="175"/>
        <v>38400</v>
      </c>
      <c r="BS501" s="27">
        <f t="shared" si="173"/>
        <v>38400</v>
      </c>
      <c r="BT501" s="28">
        <f t="shared" si="174"/>
        <v>0</v>
      </c>
      <c r="BU501" s="28">
        <f t="shared" si="156"/>
        <v>38400</v>
      </c>
      <c r="BV501" s="28">
        <f t="shared" si="157"/>
        <v>38400</v>
      </c>
      <c r="BW501" s="28">
        <f t="shared" si="158"/>
        <v>38400</v>
      </c>
    </row>
    <row r="502" spans="1:75" ht="17.399999999999999" x14ac:dyDescent="0.25">
      <c r="A502" s="69">
        <f t="shared" si="167"/>
        <v>501</v>
      </c>
      <c r="B502" s="70" t="s">
        <v>1259</v>
      </c>
      <c r="C502" s="71" t="s">
        <v>243</v>
      </c>
      <c r="D502" s="71" t="s">
        <v>1176</v>
      </c>
      <c r="E502" s="71" t="s">
        <v>1160</v>
      </c>
      <c r="F502" s="71"/>
      <c r="G502" s="71" t="s">
        <v>277</v>
      </c>
      <c r="H502" s="71" t="s">
        <v>1260</v>
      </c>
      <c r="I502" s="71" t="str">
        <f>VLOOKUP(H502,[1]Sheet1!$C:$C,1,0)</f>
        <v>SC2402UA-CJ-90AK-2402</v>
      </c>
      <c r="J502" s="71"/>
      <c r="K502" s="71"/>
      <c r="L502" s="71" t="s">
        <v>1222</v>
      </c>
      <c r="M502" s="72">
        <v>3200000</v>
      </c>
      <c r="N502" s="71" t="s">
        <v>361</v>
      </c>
      <c r="O502" s="73"/>
      <c r="P502" s="70" t="s">
        <v>295</v>
      </c>
      <c r="Q502" s="83"/>
      <c r="R502" s="100">
        <v>0.13</v>
      </c>
      <c r="S502" s="75">
        <f>R502*U502</f>
        <v>65000</v>
      </c>
      <c r="T502" s="92"/>
      <c r="U502" s="76">
        <f t="shared" si="154"/>
        <v>500000</v>
      </c>
      <c r="V502" s="72">
        <v>0</v>
      </c>
      <c r="W502" s="72">
        <v>0</v>
      </c>
      <c r="X502" s="72">
        <v>0</v>
      </c>
      <c r="Y502" s="72"/>
      <c r="Z502" s="72">
        <v>500000</v>
      </c>
      <c r="AA502" s="72"/>
      <c r="AB502" s="72">
        <v>500000</v>
      </c>
      <c r="AC502" s="72"/>
      <c r="AD502" s="77">
        <v>500000</v>
      </c>
      <c r="AE502" s="75"/>
      <c r="AF502" s="75">
        <v>500000</v>
      </c>
      <c r="AG502" s="75"/>
      <c r="AH502" s="75">
        <v>0</v>
      </c>
      <c r="AI502" s="75"/>
      <c r="AJ502" s="75">
        <v>0</v>
      </c>
      <c r="AK502" s="11">
        <v>0</v>
      </c>
      <c r="AL502" s="11">
        <v>0</v>
      </c>
      <c r="AM502" s="11"/>
      <c r="AN502" s="11"/>
      <c r="AO502" s="11">
        <v>0</v>
      </c>
      <c r="AP502" s="11">
        <v>0</v>
      </c>
      <c r="AQ502" s="11">
        <v>0</v>
      </c>
      <c r="AR502" s="11"/>
      <c r="AS502" s="11"/>
      <c r="AT502" s="11"/>
      <c r="AU502" s="11"/>
      <c r="AV502" s="11"/>
      <c r="AW502" s="10" t="s">
        <v>1162</v>
      </c>
      <c r="AX502" s="10" t="s">
        <v>120</v>
      </c>
      <c r="AY502" s="19" t="s">
        <v>261</v>
      </c>
      <c r="AZ502" s="10" t="s">
        <v>167</v>
      </c>
      <c r="BA502" s="10" t="s">
        <v>168</v>
      </c>
      <c r="BB502" s="10" t="s">
        <v>1171</v>
      </c>
      <c r="BC502" s="10"/>
      <c r="BD502" s="10"/>
      <c r="BE502" s="10"/>
      <c r="BF502" s="10"/>
      <c r="BG502" s="13"/>
      <c r="BH502" s="10"/>
      <c r="BI502" s="10"/>
      <c r="BJ502" s="10"/>
      <c r="BK502" s="10"/>
      <c r="BL502" s="10"/>
      <c r="BM502" s="10"/>
      <c r="BN502" s="9"/>
      <c r="BO502" s="9"/>
      <c r="BP502" s="16">
        <f t="shared" si="175"/>
        <v>65000</v>
      </c>
      <c r="BQ502" s="16">
        <f t="shared" si="175"/>
        <v>0</v>
      </c>
      <c r="BR502" s="16">
        <f t="shared" si="175"/>
        <v>65000</v>
      </c>
      <c r="BS502" s="16">
        <f t="shared" si="173"/>
        <v>0</v>
      </c>
      <c r="BT502" s="17">
        <f t="shared" si="174"/>
        <v>65000</v>
      </c>
      <c r="BU502" s="28">
        <f t="shared" si="156"/>
        <v>0</v>
      </c>
      <c r="BV502" s="28">
        <f t="shared" si="157"/>
        <v>65000</v>
      </c>
      <c r="BW502" s="28">
        <f t="shared" si="158"/>
        <v>0</v>
      </c>
    </row>
    <row r="503" spans="1:75" ht="17.399999999999999" x14ac:dyDescent="0.25">
      <c r="A503" s="69">
        <f t="shared" si="167"/>
        <v>502</v>
      </c>
      <c r="B503" s="70" t="s">
        <v>1261</v>
      </c>
      <c r="C503" s="71" t="s">
        <v>243</v>
      </c>
      <c r="D503" s="71" t="s">
        <v>1210</v>
      </c>
      <c r="E503" s="71" t="s">
        <v>1160</v>
      </c>
      <c r="F503" s="71"/>
      <c r="G503" s="71" t="s">
        <v>277</v>
      </c>
      <c r="H503" s="71" t="s">
        <v>278</v>
      </c>
      <c r="I503" s="71" t="str">
        <f>VLOOKUP(H503,[1]Sheet1!$C:$C,1,0)</f>
        <v>SC2402UA-CJ-90AK-2402</v>
      </c>
      <c r="J503" s="71"/>
      <c r="K503" s="71"/>
      <c r="L503" s="71" t="s">
        <v>800</v>
      </c>
      <c r="M503" s="72"/>
      <c r="N503" s="71" t="s">
        <v>361</v>
      </c>
      <c r="O503" s="73"/>
      <c r="P503" s="71" t="s">
        <v>295</v>
      </c>
      <c r="Q503" s="74"/>
      <c r="R503" s="100">
        <v>0.15</v>
      </c>
      <c r="S503" s="75">
        <f>R503*U503</f>
        <v>180000</v>
      </c>
      <c r="T503" s="92"/>
      <c r="U503" s="76">
        <f t="shared" si="154"/>
        <v>1200000</v>
      </c>
      <c r="V503" s="72">
        <v>300000</v>
      </c>
      <c r="W503" s="72">
        <v>400000</v>
      </c>
      <c r="X503" s="72">
        <v>400000</v>
      </c>
      <c r="Y503" s="72">
        <v>400000</v>
      </c>
      <c r="Z503" s="72">
        <v>400000</v>
      </c>
      <c r="AA503" s="72">
        <v>400000</v>
      </c>
      <c r="AB503" s="72">
        <v>400000</v>
      </c>
      <c r="AC503" s="72">
        <v>400000</v>
      </c>
      <c r="AD503" s="77">
        <v>400000</v>
      </c>
      <c r="AE503" s="75">
        <v>400000</v>
      </c>
      <c r="AF503" s="75">
        <v>400000</v>
      </c>
      <c r="AG503" s="75">
        <v>400000</v>
      </c>
      <c r="AH503" s="75">
        <v>400000</v>
      </c>
      <c r="AI503" s="75"/>
      <c r="AJ503" s="75">
        <v>400000</v>
      </c>
      <c r="AK503" s="21"/>
      <c r="AL503" s="21">
        <v>0</v>
      </c>
      <c r="AM503" s="21">
        <v>0</v>
      </c>
      <c r="AN503" s="21">
        <v>0</v>
      </c>
      <c r="AO503" s="21">
        <v>0</v>
      </c>
      <c r="AP503" s="21">
        <v>0</v>
      </c>
      <c r="AQ503" s="21">
        <v>0</v>
      </c>
      <c r="AR503" s="21"/>
      <c r="AS503" s="21"/>
      <c r="AT503" s="21"/>
      <c r="AU503" s="21"/>
      <c r="AV503" s="21"/>
      <c r="AW503" s="19" t="s">
        <v>1162</v>
      </c>
      <c r="AX503" s="19" t="s">
        <v>120</v>
      </c>
      <c r="AY503" s="19" t="s">
        <v>261</v>
      </c>
      <c r="AZ503" s="19" t="s">
        <v>167</v>
      </c>
      <c r="BA503" s="19" t="s">
        <v>168</v>
      </c>
      <c r="BB503" s="19" t="s">
        <v>326</v>
      </c>
      <c r="BC503" s="19" t="s">
        <v>1262</v>
      </c>
      <c r="BD503" s="19"/>
      <c r="BE503" s="19"/>
      <c r="BF503" s="19"/>
      <c r="BG503" s="24"/>
      <c r="BH503" s="19"/>
      <c r="BI503" s="25"/>
      <c r="BJ503" s="25"/>
      <c r="BK503" s="25"/>
      <c r="BL503" s="25"/>
      <c r="BM503" s="25"/>
      <c r="BN503" s="26"/>
      <c r="BO503" s="21"/>
      <c r="BP503" s="27">
        <f t="shared" si="175"/>
        <v>60000</v>
      </c>
      <c r="BQ503" s="27">
        <f t="shared" si="175"/>
        <v>60000</v>
      </c>
      <c r="BR503" s="27">
        <f t="shared" si="175"/>
        <v>60000</v>
      </c>
      <c r="BS503" s="27">
        <f t="shared" si="173"/>
        <v>60000</v>
      </c>
      <c r="BT503" s="28">
        <f t="shared" si="174"/>
        <v>60000</v>
      </c>
      <c r="BU503" s="28">
        <f t="shared" si="156"/>
        <v>60000</v>
      </c>
      <c r="BV503" s="28">
        <f t="shared" si="157"/>
        <v>60000</v>
      </c>
      <c r="BW503" s="28">
        <f t="shared" si="158"/>
        <v>60000</v>
      </c>
    </row>
    <row r="504" spans="1:75" ht="17.399999999999999" x14ac:dyDescent="0.25">
      <c r="A504" s="69">
        <f t="shared" si="167"/>
        <v>503</v>
      </c>
      <c r="B504" s="73" t="s">
        <v>1824</v>
      </c>
      <c r="C504" s="71" t="s">
        <v>243</v>
      </c>
      <c r="D504" s="122" t="s">
        <v>1824</v>
      </c>
      <c r="E504" s="71" t="s">
        <v>1166</v>
      </c>
      <c r="F504" s="71"/>
      <c r="G504" s="71" t="s">
        <v>1825</v>
      </c>
      <c r="H504" s="71" t="s">
        <v>1828</v>
      </c>
      <c r="I504" s="71" t="str">
        <f>VLOOKUP(H504,[1]Sheet1!$C:$C,1,0)</f>
        <v>SYLM358DC-GC-90AR-NM</v>
      </c>
      <c r="J504" s="71"/>
      <c r="K504" s="71"/>
      <c r="L504" s="73"/>
      <c r="M504" s="80"/>
      <c r="N504" s="72"/>
      <c r="O504" s="73"/>
      <c r="P504" s="71"/>
      <c r="Q504" s="71"/>
      <c r="R504" s="100">
        <v>0.1</v>
      </c>
      <c r="S504" s="75"/>
      <c r="T504" s="91"/>
      <c r="U504" s="76">
        <f t="shared" si="154"/>
        <v>0</v>
      </c>
      <c r="V504" s="80"/>
      <c r="W504" s="80"/>
      <c r="X504" s="80"/>
      <c r="Y504" s="72"/>
      <c r="Z504" s="72"/>
      <c r="AA504" s="72"/>
      <c r="AB504" s="72"/>
      <c r="AC504" s="72"/>
      <c r="AD504" s="77"/>
      <c r="AE504" s="75"/>
      <c r="AF504" s="75"/>
      <c r="AG504" s="75"/>
      <c r="AH504" s="75"/>
      <c r="AI504" s="75"/>
      <c r="AJ504" s="75">
        <f>AH504</f>
        <v>0</v>
      </c>
      <c r="AK504" s="31"/>
      <c r="AL504" s="31"/>
      <c r="AM504" s="31"/>
      <c r="AN504" s="31"/>
      <c r="AO504" s="31"/>
      <c r="AP504" s="31"/>
      <c r="AQ504" s="31"/>
      <c r="AR504" s="31"/>
      <c r="AS504" s="31"/>
      <c r="AT504" s="31"/>
      <c r="AU504" s="31"/>
      <c r="AV504" s="31"/>
      <c r="AW504" s="10"/>
      <c r="AX504" s="10" t="s">
        <v>1170</v>
      </c>
      <c r="AY504" s="19" t="s">
        <v>1827</v>
      </c>
      <c r="AZ504" s="10"/>
      <c r="BA504" s="10"/>
      <c r="BB504" s="10"/>
      <c r="BC504" s="10"/>
      <c r="BD504" s="10"/>
      <c r="BE504" s="10"/>
      <c r="BF504" s="10"/>
      <c r="BG504" s="13"/>
      <c r="BH504" s="10"/>
      <c r="BI504" s="14"/>
      <c r="BJ504" s="14"/>
      <c r="BK504" s="14"/>
      <c r="BL504" s="14"/>
      <c r="BM504" s="14"/>
      <c r="BN504" s="35"/>
      <c r="BO504" s="11"/>
      <c r="BP504" s="16"/>
      <c r="BQ504" s="16"/>
      <c r="BR504" s="16"/>
      <c r="BS504" s="16">
        <f t="shared" si="173"/>
        <v>0</v>
      </c>
      <c r="BT504" s="17">
        <f t="shared" si="174"/>
        <v>0</v>
      </c>
      <c r="BU504" s="28">
        <f t="shared" si="156"/>
        <v>0</v>
      </c>
      <c r="BV504" s="28">
        <f t="shared" si="157"/>
        <v>0</v>
      </c>
      <c r="BW504" s="28">
        <f t="shared" si="158"/>
        <v>0</v>
      </c>
    </row>
    <row r="505" spans="1:75" ht="17.399999999999999" x14ac:dyDescent="0.25">
      <c r="A505" s="69">
        <f t="shared" si="167"/>
        <v>504</v>
      </c>
      <c r="B505" s="73" t="s">
        <v>1623</v>
      </c>
      <c r="C505" s="71" t="s">
        <v>290</v>
      </c>
      <c r="D505" s="71" t="s">
        <v>1624</v>
      </c>
      <c r="E505" s="71" t="s">
        <v>1532</v>
      </c>
      <c r="F505" s="71" t="s">
        <v>1625</v>
      </c>
      <c r="G505" s="71" t="s">
        <v>1628</v>
      </c>
      <c r="H505" s="71" t="s">
        <v>1629</v>
      </c>
      <c r="I505" s="71" t="str">
        <f>VLOOKUP(H505,[1]Sheet1!$C:$C,1,0)</f>
        <v>TRVE1430Q1BA3R5(VA2201D)-1430Q</v>
      </c>
      <c r="J505" s="71"/>
      <c r="K505" s="71"/>
      <c r="L505" s="73" t="s">
        <v>1630</v>
      </c>
      <c r="M505" s="80">
        <v>200000</v>
      </c>
      <c r="N505" s="72" t="s">
        <v>251</v>
      </c>
      <c r="O505" s="73"/>
      <c r="P505" s="71" t="s">
        <v>504</v>
      </c>
      <c r="Q505" s="71"/>
      <c r="R505" s="100">
        <v>0.85</v>
      </c>
      <c r="S505" s="75">
        <f t="shared" ref="S505:S524" si="176">R505*U505</f>
        <v>12750</v>
      </c>
      <c r="T505" s="91">
        <v>0</v>
      </c>
      <c r="U505" s="76">
        <f t="shared" si="154"/>
        <v>15000</v>
      </c>
      <c r="V505" s="80"/>
      <c r="W505" s="80"/>
      <c r="X505" s="80"/>
      <c r="Y505" s="72"/>
      <c r="Z505" s="72"/>
      <c r="AA505" s="72"/>
      <c r="AB505" s="72"/>
      <c r="AC505" s="72"/>
      <c r="AD505" s="77"/>
      <c r="AE505" s="75">
        <v>5000</v>
      </c>
      <c r="AF505" s="75">
        <v>5000</v>
      </c>
      <c r="AG505" s="75">
        <v>5000</v>
      </c>
      <c r="AH505" s="75">
        <v>5000</v>
      </c>
      <c r="AI505" s="75">
        <v>5000</v>
      </c>
      <c r="AJ505" s="75">
        <v>5000</v>
      </c>
      <c r="AK505" s="33"/>
      <c r="AL505" s="33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19" t="s">
        <v>1416</v>
      </c>
      <c r="AX505" s="19" t="s">
        <v>85</v>
      </c>
      <c r="AY505" s="19" t="s">
        <v>690</v>
      </c>
      <c r="AZ505" s="19" t="s">
        <v>62</v>
      </c>
      <c r="BA505" s="19" t="s">
        <v>96</v>
      </c>
      <c r="BB505" s="19" t="s">
        <v>1252</v>
      </c>
      <c r="BC505" s="19" t="s">
        <v>1553</v>
      </c>
      <c r="BD505" s="19" t="s">
        <v>1627</v>
      </c>
      <c r="BE505" s="19"/>
      <c r="BF505" s="19"/>
      <c r="BG505" s="24">
        <v>1</v>
      </c>
      <c r="BH505" s="19">
        <v>45950</v>
      </c>
      <c r="BI505" s="25">
        <v>45524</v>
      </c>
      <c r="BJ505" s="25">
        <v>45598</v>
      </c>
      <c r="BK505" s="25">
        <v>45646</v>
      </c>
      <c r="BL505" s="25">
        <v>45797</v>
      </c>
      <c r="BM505" s="25">
        <v>45555</v>
      </c>
      <c r="BN505" s="37">
        <v>1</v>
      </c>
      <c r="BO505" s="21">
        <v>5</v>
      </c>
      <c r="BP505" s="27">
        <f t="shared" ref="BP505:BP524" si="177">$R505*Z505</f>
        <v>0</v>
      </c>
      <c r="BQ505" s="27">
        <f t="shared" ref="BQ505:BQ524" si="178">$R505*AA505</f>
        <v>0</v>
      </c>
      <c r="BR505" s="27">
        <f t="shared" ref="BR505:BR524" si="179">$R505*AB505</f>
        <v>0</v>
      </c>
      <c r="BS505" s="27">
        <f t="shared" si="173"/>
        <v>0</v>
      </c>
      <c r="BT505" s="28">
        <f t="shared" si="174"/>
        <v>0</v>
      </c>
      <c r="BU505" s="28">
        <f t="shared" si="156"/>
        <v>4250</v>
      </c>
      <c r="BV505" s="28">
        <f t="shared" si="157"/>
        <v>4250</v>
      </c>
      <c r="BW505" s="28">
        <f t="shared" si="158"/>
        <v>4250</v>
      </c>
    </row>
    <row r="506" spans="1:75" ht="17.399999999999999" x14ac:dyDescent="0.25">
      <c r="A506" s="69">
        <f t="shared" si="167"/>
        <v>505</v>
      </c>
      <c r="B506" s="70" t="s">
        <v>1269</v>
      </c>
      <c r="C506" s="71" t="s">
        <v>243</v>
      </c>
      <c r="D506" s="71" t="s">
        <v>1176</v>
      </c>
      <c r="E506" s="71" t="s">
        <v>1160</v>
      </c>
      <c r="F506" s="71"/>
      <c r="G506" s="71" t="s">
        <v>242</v>
      </c>
      <c r="H506" s="71" t="s">
        <v>1172</v>
      </c>
      <c r="I506" s="71" t="str">
        <f>VLOOKUP(H506,[1]Sheet1!$C:$C,1,0)</f>
        <v>SC4688DC-Q-DC-40CR-4688</v>
      </c>
      <c r="J506" s="71"/>
      <c r="K506" s="71"/>
      <c r="L506" s="71" t="s">
        <v>1222</v>
      </c>
      <c r="M506" s="72">
        <v>150000</v>
      </c>
      <c r="N506" s="71" t="s">
        <v>361</v>
      </c>
      <c r="O506" s="73"/>
      <c r="P506" s="71"/>
      <c r="Q506" s="74"/>
      <c r="R506" s="100">
        <v>1.9</v>
      </c>
      <c r="S506" s="75">
        <f t="shared" si="176"/>
        <v>76000</v>
      </c>
      <c r="T506" s="92"/>
      <c r="U506" s="76">
        <f t="shared" si="154"/>
        <v>40000</v>
      </c>
      <c r="V506" s="72">
        <v>5000</v>
      </c>
      <c r="W506" s="72">
        <v>5000</v>
      </c>
      <c r="X506" s="72">
        <v>10000</v>
      </c>
      <c r="Y506" s="72">
        <v>10000</v>
      </c>
      <c r="Z506" s="72">
        <v>10000</v>
      </c>
      <c r="AA506" s="72">
        <v>10000</v>
      </c>
      <c r="AB506" s="72">
        <v>10000</v>
      </c>
      <c r="AC506" s="72">
        <v>10000</v>
      </c>
      <c r="AD506" s="77">
        <v>10000</v>
      </c>
      <c r="AE506" s="75">
        <v>10000</v>
      </c>
      <c r="AF506" s="75">
        <v>10000</v>
      </c>
      <c r="AG506" s="75">
        <v>20000</v>
      </c>
      <c r="AH506" s="75">
        <v>20000</v>
      </c>
      <c r="AI506" s="75"/>
      <c r="AJ506" s="75">
        <v>20000</v>
      </c>
      <c r="AK506" s="11">
        <v>0</v>
      </c>
      <c r="AL506" s="11">
        <v>0</v>
      </c>
      <c r="AM506" s="11">
        <v>0</v>
      </c>
      <c r="AN506" s="11">
        <v>0</v>
      </c>
      <c r="AO506" s="11">
        <v>0</v>
      </c>
      <c r="AP506" s="11">
        <v>0</v>
      </c>
      <c r="AQ506" s="11">
        <v>0</v>
      </c>
      <c r="AR506" s="11"/>
      <c r="AS506" s="11"/>
      <c r="AT506" s="11"/>
      <c r="AU506" s="11"/>
      <c r="AV506" s="11"/>
      <c r="AW506" s="10" t="s">
        <v>1162</v>
      </c>
      <c r="AX506" s="10" t="s">
        <v>120</v>
      </c>
      <c r="AY506" s="19" t="s">
        <v>371</v>
      </c>
      <c r="AZ506" s="10" t="s">
        <v>1185</v>
      </c>
      <c r="BA506" s="10" t="s">
        <v>1270</v>
      </c>
      <c r="BB506" s="10" t="s">
        <v>1271</v>
      </c>
      <c r="BC506" s="10" t="s">
        <v>1272</v>
      </c>
      <c r="BD506" s="10"/>
      <c r="BE506" s="10"/>
      <c r="BF506" s="10"/>
      <c r="BG506" s="13"/>
      <c r="BH506" s="10"/>
      <c r="BI506" s="14"/>
      <c r="BJ506" s="14"/>
      <c r="BK506" s="14"/>
      <c r="BL506" s="14"/>
      <c r="BM506" s="14"/>
      <c r="BN506" s="15"/>
      <c r="BO506" s="11"/>
      <c r="BP506" s="16">
        <f t="shared" si="177"/>
        <v>19000</v>
      </c>
      <c r="BQ506" s="16">
        <f t="shared" si="178"/>
        <v>19000</v>
      </c>
      <c r="BR506" s="16">
        <f t="shared" si="179"/>
        <v>19000</v>
      </c>
      <c r="BS506" s="16">
        <f t="shared" si="173"/>
        <v>19000</v>
      </c>
      <c r="BT506" s="17">
        <f t="shared" si="174"/>
        <v>19000</v>
      </c>
      <c r="BU506" s="28">
        <f t="shared" si="156"/>
        <v>19000</v>
      </c>
      <c r="BV506" s="28">
        <f t="shared" si="157"/>
        <v>19000</v>
      </c>
      <c r="BW506" s="28">
        <f t="shared" si="158"/>
        <v>38000</v>
      </c>
    </row>
    <row r="507" spans="1:75" ht="17.399999999999999" x14ac:dyDescent="0.25">
      <c r="A507" s="69">
        <f t="shared" si="167"/>
        <v>506</v>
      </c>
      <c r="B507" s="70" t="s">
        <v>1273</v>
      </c>
      <c r="C507" s="71" t="s">
        <v>243</v>
      </c>
      <c r="D507" s="71" t="s">
        <v>1176</v>
      </c>
      <c r="E507" s="71" t="s">
        <v>1160</v>
      </c>
      <c r="F507" s="71"/>
      <c r="G507" s="71" t="s">
        <v>286</v>
      </c>
      <c r="H507" s="86" t="s">
        <v>287</v>
      </c>
      <c r="I507" s="71" t="str">
        <f>VLOOKUP(H507,[1]Sheet1!$C:$C,1,0)</f>
        <v>SC2063SO-GC-00NR-2063</v>
      </c>
      <c r="J507" s="71"/>
      <c r="K507" s="71"/>
      <c r="L507" s="71" t="s">
        <v>1274</v>
      </c>
      <c r="M507" s="72"/>
      <c r="N507" s="71" t="s">
        <v>251</v>
      </c>
      <c r="O507" s="73"/>
      <c r="P507" s="71"/>
      <c r="Q507" s="74"/>
      <c r="R507" s="100">
        <v>9.5000000000000001E-2</v>
      </c>
      <c r="S507" s="75">
        <f t="shared" si="176"/>
        <v>0</v>
      </c>
      <c r="T507" s="92"/>
      <c r="U507" s="76">
        <f t="shared" si="154"/>
        <v>0</v>
      </c>
      <c r="V507" s="72"/>
      <c r="W507" s="72"/>
      <c r="X507" s="72"/>
      <c r="Y507" s="72"/>
      <c r="Z507" s="72"/>
      <c r="AA507" s="72"/>
      <c r="AB507" s="72"/>
      <c r="AC507" s="72"/>
      <c r="AD507" s="77"/>
      <c r="AE507" s="75"/>
      <c r="AF507" s="75"/>
      <c r="AG507" s="75"/>
      <c r="AH507" s="75">
        <v>0</v>
      </c>
      <c r="AI507" s="75"/>
      <c r="AJ507" s="75">
        <v>0</v>
      </c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19" t="s">
        <v>1162</v>
      </c>
      <c r="AX507" s="19" t="s">
        <v>120</v>
      </c>
      <c r="AY507" s="19" t="s">
        <v>261</v>
      </c>
      <c r="AZ507" s="19" t="s">
        <v>167</v>
      </c>
      <c r="BA507" s="19" t="s">
        <v>179</v>
      </c>
      <c r="BB507" s="19" t="s">
        <v>1275</v>
      </c>
      <c r="BC507" s="19" t="s">
        <v>1276</v>
      </c>
      <c r="BD507" s="19"/>
      <c r="BE507" s="19"/>
      <c r="BF507" s="19"/>
      <c r="BG507" s="24"/>
      <c r="BH507" s="19"/>
      <c r="BI507" s="25"/>
      <c r="BJ507" s="25"/>
      <c r="BK507" s="25"/>
      <c r="BL507" s="25"/>
      <c r="BM507" s="25"/>
      <c r="BN507" s="26"/>
      <c r="BO507" s="21"/>
      <c r="BP507" s="27">
        <f t="shared" si="177"/>
        <v>0</v>
      </c>
      <c r="BQ507" s="27">
        <f t="shared" si="178"/>
        <v>0</v>
      </c>
      <c r="BR507" s="27">
        <f t="shared" si="179"/>
        <v>0</v>
      </c>
      <c r="BS507" s="27">
        <f t="shared" si="173"/>
        <v>0</v>
      </c>
      <c r="BT507" s="28">
        <f t="shared" si="174"/>
        <v>0</v>
      </c>
      <c r="BU507" s="28">
        <f t="shared" si="156"/>
        <v>0</v>
      </c>
      <c r="BV507" s="28">
        <f t="shared" si="157"/>
        <v>0</v>
      </c>
      <c r="BW507" s="28">
        <f t="shared" si="158"/>
        <v>0</v>
      </c>
    </row>
    <row r="508" spans="1:75" ht="17.399999999999999" x14ac:dyDescent="0.25">
      <c r="A508" s="69">
        <f t="shared" si="167"/>
        <v>507</v>
      </c>
      <c r="B508" s="70" t="s">
        <v>1277</v>
      </c>
      <c r="C508" s="71" t="s">
        <v>243</v>
      </c>
      <c r="D508" s="71" t="s">
        <v>1210</v>
      </c>
      <c r="E508" s="71" t="s">
        <v>1160</v>
      </c>
      <c r="F508" s="71"/>
      <c r="G508" s="71" t="s">
        <v>273</v>
      </c>
      <c r="H508" s="71" t="s">
        <v>1278</v>
      </c>
      <c r="I508" s="71" t="str">
        <f>VLOOKUP(H508,[1]Sheet1!$C:$C,1,0)</f>
        <v>SC2402SO-N-GA-00NR-2402</v>
      </c>
      <c r="J508" s="71"/>
      <c r="K508" s="71"/>
      <c r="L508" s="71" t="s">
        <v>1279</v>
      </c>
      <c r="M508" s="72">
        <v>1200000</v>
      </c>
      <c r="N508" s="71" t="s">
        <v>361</v>
      </c>
      <c r="O508" s="73"/>
      <c r="P508" s="71" t="s">
        <v>835</v>
      </c>
      <c r="Q508" s="74"/>
      <c r="R508" s="100">
        <v>0.15</v>
      </c>
      <c r="S508" s="75">
        <f t="shared" si="176"/>
        <v>0</v>
      </c>
      <c r="T508" s="92"/>
      <c r="U508" s="76">
        <f t="shared" si="154"/>
        <v>0</v>
      </c>
      <c r="V508" s="72">
        <v>120000</v>
      </c>
      <c r="W508" s="72">
        <v>120000</v>
      </c>
      <c r="X508" s="72">
        <v>0</v>
      </c>
      <c r="Y508" s="72">
        <v>120000</v>
      </c>
      <c r="Z508" s="72">
        <v>120000</v>
      </c>
      <c r="AA508" s="72">
        <v>120000</v>
      </c>
      <c r="AB508" s="72">
        <v>120000</v>
      </c>
      <c r="AC508" s="72">
        <v>120000</v>
      </c>
      <c r="AD508" s="77"/>
      <c r="AE508" s="75"/>
      <c r="AF508" s="75"/>
      <c r="AG508" s="75"/>
      <c r="AH508" s="75"/>
      <c r="AI508" s="75"/>
      <c r="AJ508" s="75">
        <v>0</v>
      </c>
      <c r="AK508" s="11">
        <v>0</v>
      </c>
      <c r="AL508" s="11">
        <v>0</v>
      </c>
      <c r="AM508" s="11">
        <v>0</v>
      </c>
      <c r="AN508" s="11">
        <v>0</v>
      </c>
      <c r="AO508" s="11">
        <v>0</v>
      </c>
      <c r="AP508" s="11">
        <v>0</v>
      </c>
      <c r="AQ508" s="11">
        <v>0</v>
      </c>
      <c r="AR508" s="11"/>
      <c r="AS508" s="11"/>
      <c r="AT508" s="11"/>
      <c r="AU508" s="11"/>
      <c r="AV508" s="11"/>
      <c r="AW508" s="10" t="s">
        <v>155</v>
      </c>
      <c r="AX508" s="10" t="s">
        <v>120</v>
      </c>
      <c r="AY508" s="19" t="s">
        <v>261</v>
      </c>
      <c r="AZ508" s="10" t="s">
        <v>1185</v>
      </c>
      <c r="BA508" s="10" t="s">
        <v>1270</v>
      </c>
      <c r="BB508" s="10" t="s">
        <v>1271</v>
      </c>
      <c r="BC508" s="10" t="s">
        <v>1272</v>
      </c>
      <c r="BD508" s="10"/>
      <c r="BE508" s="10"/>
      <c r="BF508" s="10"/>
      <c r="BG508" s="13"/>
      <c r="BH508" s="10"/>
      <c r="BI508" s="14"/>
      <c r="BJ508" s="14"/>
      <c r="BK508" s="14"/>
      <c r="BL508" s="14"/>
      <c r="BM508" s="14"/>
      <c r="BN508" s="15"/>
      <c r="BO508" s="11"/>
      <c r="BP508" s="16">
        <f t="shared" si="177"/>
        <v>18000</v>
      </c>
      <c r="BQ508" s="16">
        <f t="shared" si="178"/>
        <v>18000</v>
      </c>
      <c r="BR508" s="16">
        <f t="shared" si="179"/>
        <v>18000</v>
      </c>
      <c r="BS508" s="16">
        <f t="shared" si="173"/>
        <v>18000</v>
      </c>
      <c r="BT508" s="17">
        <f t="shared" si="174"/>
        <v>0</v>
      </c>
      <c r="BU508" s="28">
        <f t="shared" si="156"/>
        <v>0</v>
      </c>
      <c r="BV508" s="28">
        <f t="shared" si="157"/>
        <v>0</v>
      </c>
      <c r="BW508" s="28">
        <f t="shared" si="158"/>
        <v>0</v>
      </c>
    </row>
    <row r="509" spans="1:75" ht="17.399999999999999" x14ac:dyDescent="0.25">
      <c r="A509" s="69">
        <f t="shared" si="167"/>
        <v>508</v>
      </c>
      <c r="B509" s="70" t="s">
        <v>1247</v>
      </c>
      <c r="C509" s="71" t="s">
        <v>290</v>
      </c>
      <c r="D509" s="71" t="s">
        <v>1176</v>
      </c>
      <c r="E509" s="71" t="s">
        <v>1160</v>
      </c>
      <c r="F509" s="71"/>
      <c r="G509" s="71" t="s">
        <v>259</v>
      </c>
      <c r="H509" s="71" t="s">
        <v>1280</v>
      </c>
      <c r="I509" s="71" t="str">
        <f>VLOOKUP(H509,[1]Sheet1!$C:$C,1,0)</f>
        <v>SC2498SO-Q-DB-60CR-2498</v>
      </c>
      <c r="J509" s="71"/>
      <c r="K509" s="71"/>
      <c r="L509" s="71" t="s">
        <v>1234</v>
      </c>
      <c r="M509" s="72">
        <v>50000</v>
      </c>
      <c r="N509" s="71" t="s">
        <v>367</v>
      </c>
      <c r="O509" s="73"/>
      <c r="P509" s="71"/>
      <c r="Q509" s="74"/>
      <c r="R509" s="100">
        <v>0.42</v>
      </c>
      <c r="S509" s="75">
        <f t="shared" si="176"/>
        <v>138600</v>
      </c>
      <c r="T509" s="92"/>
      <c r="U509" s="76">
        <f t="shared" si="154"/>
        <v>330000</v>
      </c>
      <c r="V509" s="72"/>
      <c r="W509" s="72">
        <v>9000</v>
      </c>
      <c r="X509" s="72">
        <v>12000</v>
      </c>
      <c r="Y509" s="72"/>
      <c r="Z509" s="72">
        <v>9000</v>
      </c>
      <c r="AA509" s="72"/>
      <c r="AB509" s="72">
        <v>30000</v>
      </c>
      <c r="AC509" s="72">
        <v>0</v>
      </c>
      <c r="AD509" s="77">
        <v>90000</v>
      </c>
      <c r="AE509" s="75">
        <v>90000</v>
      </c>
      <c r="AF509" s="75">
        <v>120000</v>
      </c>
      <c r="AG509" s="75">
        <v>120000</v>
      </c>
      <c r="AH509" s="75">
        <v>120000</v>
      </c>
      <c r="AI509" s="75"/>
      <c r="AJ509" s="75">
        <v>120000</v>
      </c>
      <c r="AK509" s="21">
        <v>0</v>
      </c>
      <c r="AL509" s="21">
        <v>0</v>
      </c>
      <c r="AM509" s="21">
        <v>0</v>
      </c>
      <c r="AN509" s="21">
        <v>0</v>
      </c>
      <c r="AO509" s="21">
        <v>9000</v>
      </c>
      <c r="AP509" s="21">
        <v>0</v>
      </c>
      <c r="AQ509" s="21">
        <v>0</v>
      </c>
      <c r="AR509" s="21"/>
      <c r="AS509" s="21"/>
      <c r="AT509" s="21"/>
      <c r="AU509" s="21"/>
      <c r="AV509" s="21"/>
      <c r="AW509" s="19" t="s">
        <v>1162</v>
      </c>
      <c r="AX509" s="19" t="s">
        <v>120</v>
      </c>
      <c r="AY509" s="19" t="s">
        <v>261</v>
      </c>
      <c r="AZ509" s="19" t="s">
        <v>62</v>
      </c>
      <c r="BA509" s="19" t="s">
        <v>96</v>
      </c>
      <c r="BB509" s="19" t="s">
        <v>141</v>
      </c>
      <c r="BC509" s="19" t="s">
        <v>140</v>
      </c>
      <c r="BD509" s="19" t="s">
        <v>1281</v>
      </c>
      <c r="BE509" s="19"/>
      <c r="BF509" s="19"/>
      <c r="BG509" s="24"/>
      <c r="BH509" s="19"/>
      <c r="BI509" s="25"/>
      <c r="BJ509" s="25"/>
      <c r="BK509" s="25"/>
      <c r="BL509" s="25"/>
      <c r="BM509" s="25"/>
      <c r="BN509" s="26"/>
      <c r="BO509" s="21"/>
      <c r="BP509" s="27">
        <f t="shared" si="177"/>
        <v>3780</v>
      </c>
      <c r="BQ509" s="27">
        <f t="shared" si="178"/>
        <v>0</v>
      </c>
      <c r="BR509" s="27">
        <f t="shared" si="179"/>
        <v>12600</v>
      </c>
      <c r="BS509" s="27">
        <f t="shared" si="173"/>
        <v>0</v>
      </c>
      <c r="BT509" s="28">
        <f t="shared" si="174"/>
        <v>37800</v>
      </c>
      <c r="BU509" s="28">
        <f t="shared" si="156"/>
        <v>37800</v>
      </c>
      <c r="BV509" s="28">
        <f t="shared" si="157"/>
        <v>50400</v>
      </c>
      <c r="BW509" s="28">
        <f t="shared" si="158"/>
        <v>50400</v>
      </c>
    </row>
    <row r="510" spans="1:75" ht="17.399999999999999" x14ac:dyDescent="0.25">
      <c r="A510" s="69">
        <f t="shared" si="167"/>
        <v>509</v>
      </c>
      <c r="B510" s="70" t="s">
        <v>1282</v>
      </c>
      <c r="C510" s="71" t="s">
        <v>243</v>
      </c>
      <c r="D510" s="71" t="s">
        <v>1176</v>
      </c>
      <c r="E510" s="71" t="s">
        <v>1160</v>
      </c>
      <c r="F510" s="71"/>
      <c r="G510" s="71" t="s">
        <v>288</v>
      </c>
      <c r="H510" s="71" t="s">
        <v>289</v>
      </c>
      <c r="I510" s="71" t="str">
        <f>VLOOKUP(H510,[1]Sheet1!$C:$C,1,0)</f>
        <v>SC2462SO-CJ-10CR-2462</v>
      </c>
      <c r="J510" s="71"/>
      <c r="K510" s="71"/>
      <c r="L510" s="71" t="s">
        <v>1169</v>
      </c>
      <c r="M510" s="72">
        <v>2000000</v>
      </c>
      <c r="N510" s="71" t="s">
        <v>361</v>
      </c>
      <c r="O510" s="73"/>
      <c r="P510" s="71"/>
      <c r="Q510" s="74"/>
      <c r="R510" s="100">
        <v>0.28000000000000003</v>
      </c>
      <c r="S510" s="75">
        <f t="shared" si="176"/>
        <v>100800.00000000001</v>
      </c>
      <c r="T510" s="92"/>
      <c r="U510" s="76">
        <f t="shared" si="154"/>
        <v>360000</v>
      </c>
      <c r="V510" s="72">
        <v>120000</v>
      </c>
      <c r="W510" s="72">
        <v>120000</v>
      </c>
      <c r="X510" s="72">
        <v>120000</v>
      </c>
      <c r="Y510" s="72">
        <v>120000</v>
      </c>
      <c r="Z510" s="72">
        <v>120000</v>
      </c>
      <c r="AA510" s="72">
        <v>120000</v>
      </c>
      <c r="AB510" s="72">
        <v>120000</v>
      </c>
      <c r="AC510" s="72">
        <v>120000</v>
      </c>
      <c r="AD510" s="77"/>
      <c r="AE510" s="75">
        <v>120000</v>
      </c>
      <c r="AF510" s="75">
        <v>120000</v>
      </c>
      <c r="AG510" s="75">
        <v>120000</v>
      </c>
      <c r="AH510" s="75">
        <v>120000</v>
      </c>
      <c r="AI510" s="75"/>
      <c r="AJ510" s="75">
        <v>120000</v>
      </c>
      <c r="AK510" s="11">
        <v>0</v>
      </c>
      <c r="AL510" s="11">
        <v>0</v>
      </c>
      <c r="AM510" s="11">
        <v>0</v>
      </c>
      <c r="AN510" s="11">
        <v>0</v>
      </c>
      <c r="AO510" s="11">
        <v>0</v>
      </c>
      <c r="AP510" s="11">
        <v>0</v>
      </c>
      <c r="AQ510" s="11">
        <v>0</v>
      </c>
      <c r="AR510" s="11"/>
      <c r="AS510" s="11"/>
      <c r="AT510" s="11"/>
      <c r="AU510" s="11"/>
      <c r="AV510" s="11"/>
      <c r="AW510" s="10" t="s">
        <v>1162</v>
      </c>
      <c r="AX510" s="10" t="s">
        <v>120</v>
      </c>
      <c r="AY510" s="19" t="s">
        <v>261</v>
      </c>
      <c r="AZ510" s="10" t="s">
        <v>167</v>
      </c>
      <c r="BA510" s="10" t="s">
        <v>317</v>
      </c>
      <c r="BB510" s="10" t="s">
        <v>530</v>
      </c>
      <c r="BC510" s="10" t="s">
        <v>530</v>
      </c>
      <c r="BD510" s="10"/>
      <c r="BE510" s="10"/>
      <c r="BF510" s="10"/>
      <c r="BG510" s="13"/>
      <c r="BH510" s="10"/>
      <c r="BI510" s="14"/>
      <c r="BJ510" s="14"/>
      <c r="BK510" s="14"/>
      <c r="BL510" s="14"/>
      <c r="BM510" s="14"/>
      <c r="BN510" s="15"/>
      <c r="BO510" s="11"/>
      <c r="BP510" s="16">
        <f t="shared" si="177"/>
        <v>33600</v>
      </c>
      <c r="BQ510" s="16">
        <f t="shared" si="178"/>
        <v>33600</v>
      </c>
      <c r="BR510" s="16">
        <f t="shared" si="179"/>
        <v>33600</v>
      </c>
      <c r="BS510" s="16">
        <f t="shared" si="173"/>
        <v>33600</v>
      </c>
      <c r="BT510" s="17">
        <f t="shared" si="174"/>
        <v>0</v>
      </c>
      <c r="BU510" s="28">
        <f t="shared" si="156"/>
        <v>33600</v>
      </c>
      <c r="BV510" s="28">
        <f t="shared" si="157"/>
        <v>33600</v>
      </c>
      <c r="BW510" s="28">
        <f t="shared" si="158"/>
        <v>33600</v>
      </c>
    </row>
    <row r="511" spans="1:75" ht="17.399999999999999" x14ac:dyDescent="0.25">
      <c r="A511" s="69">
        <f t="shared" si="167"/>
        <v>510</v>
      </c>
      <c r="B511" s="70" t="s">
        <v>1283</v>
      </c>
      <c r="C511" s="71" t="s">
        <v>243</v>
      </c>
      <c r="D511" s="71" t="s">
        <v>1176</v>
      </c>
      <c r="E511" s="71" t="s">
        <v>1160</v>
      </c>
      <c r="F511" s="71"/>
      <c r="G511" s="71" t="s">
        <v>288</v>
      </c>
      <c r="H511" s="71" t="s">
        <v>1284</v>
      </c>
      <c r="I511" s="71" t="str">
        <f>VLOOKUP(H511,[1]Sheet1!$C:$C,1,0)</f>
        <v>SC2462SO-CJ-10CR-2462</v>
      </c>
      <c r="J511" s="71"/>
      <c r="K511" s="71"/>
      <c r="L511" s="71" t="s">
        <v>1169</v>
      </c>
      <c r="M511" s="72">
        <v>900000</v>
      </c>
      <c r="N511" s="71" t="s">
        <v>367</v>
      </c>
      <c r="O511" s="73"/>
      <c r="P511" s="71"/>
      <c r="Q511" s="74"/>
      <c r="R511" s="100">
        <v>0.28000000000000003</v>
      </c>
      <c r="S511" s="75">
        <f t="shared" si="176"/>
        <v>25200.000000000004</v>
      </c>
      <c r="T511" s="92"/>
      <c r="U511" s="76">
        <f t="shared" si="154"/>
        <v>90000</v>
      </c>
      <c r="V511" s="72">
        <v>12000</v>
      </c>
      <c r="W511" s="72"/>
      <c r="X511" s="72">
        <v>30000</v>
      </c>
      <c r="Y511" s="72">
        <v>30000</v>
      </c>
      <c r="Z511" s="72">
        <v>30000</v>
      </c>
      <c r="AA511" s="72">
        <v>30000</v>
      </c>
      <c r="AB511" s="72">
        <v>30000</v>
      </c>
      <c r="AC511" s="72">
        <v>30000</v>
      </c>
      <c r="AD511" s="77"/>
      <c r="AE511" s="75">
        <v>30000</v>
      </c>
      <c r="AF511" s="75">
        <v>30000</v>
      </c>
      <c r="AG511" s="75">
        <v>30000</v>
      </c>
      <c r="AH511" s="75">
        <v>30000</v>
      </c>
      <c r="AI511" s="75"/>
      <c r="AJ511" s="75">
        <v>30000</v>
      </c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19" t="s">
        <v>1162</v>
      </c>
      <c r="AX511" s="19" t="s">
        <v>120</v>
      </c>
      <c r="AY511" s="19" t="s">
        <v>261</v>
      </c>
      <c r="AZ511" s="19" t="s">
        <v>167</v>
      </c>
      <c r="BA511" s="19" t="s">
        <v>317</v>
      </c>
      <c r="BB511" s="19" t="s">
        <v>330</v>
      </c>
      <c r="BC511" s="19" t="s">
        <v>336</v>
      </c>
      <c r="BD511" s="19"/>
      <c r="BE511" s="19"/>
      <c r="BF511" s="19"/>
      <c r="BG511" s="24"/>
      <c r="BH511" s="19"/>
      <c r="BI511" s="25"/>
      <c r="BJ511" s="25"/>
      <c r="BK511" s="25"/>
      <c r="BL511" s="25"/>
      <c r="BM511" s="25"/>
      <c r="BN511" s="26"/>
      <c r="BO511" s="21"/>
      <c r="BP511" s="27">
        <f t="shared" si="177"/>
        <v>8400</v>
      </c>
      <c r="BQ511" s="27">
        <f t="shared" si="178"/>
        <v>8400</v>
      </c>
      <c r="BR511" s="27">
        <f t="shared" si="179"/>
        <v>8400</v>
      </c>
      <c r="BS511" s="27">
        <f t="shared" si="173"/>
        <v>8400</v>
      </c>
      <c r="BT511" s="28">
        <f t="shared" si="174"/>
        <v>0</v>
      </c>
      <c r="BU511" s="28">
        <f t="shared" si="156"/>
        <v>8400</v>
      </c>
      <c r="BV511" s="28">
        <f t="shared" si="157"/>
        <v>8400</v>
      </c>
      <c r="BW511" s="28">
        <f t="shared" si="158"/>
        <v>8400</v>
      </c>
    </row>
    <row r="512" spans="1:75" ht="17.399999999999999" x14ac:dyDescent="0.25">
      <c r="A512" s="69">
        <f t="shared" si="167"/>
        <v>511</v>
      </c>
      <c r="B512" s="70" t="s">
        <v>1221</v>
      </c>
      <c r="C512" s="71" t="s">
        <v>243</v>
      </c>
      <c r="D512" s="71" t="s">
        <v>1176</v>
      </c>
      <c r="E512" s="71" t="s">
        <v>1160</v>
      </c>
      <c r="F512" s="71"/>
      <c r="G512" s="71" t="s">
        <v>277</v>
      </c>
      <c r="H512" s="71" t="s">
        <v>1285</v>
      </c>
      <c r="I512" s="71" t="str">
        <f>VLOOKUP(H512,[1]Sheet1!$C:$C,1,0)</f>
        <v>SC2402UA-GB-0XAK-U18</v>
      </c>
      <c r="J512" s="71"/>
      <c r="K512" s="71"/>
      <c r="L512" s="71" t="s">
        <v>1286</v>
      </c>
      <c r="M512" s="72"/>
      <c r="N512" s="71" t="s">
        <v>382</v>
      </c>
      <c r="O512" s="73"/>
      <c r="P512" s="71"/>
      <c r="Q512" s="74"/>
      <c r="R512" s="100">
        <v>0.13</v>
      </c>
      <c r="S512" s="75">
        <f t="shared" si="176"/>
        <v>130000</v>
      </c>
      <c r="T512" s="92"/>
      <c r="U512" s="76">
        <f t="shared" si="154"/>
        <v>1000000</v>
      </c>
      <c r="V512" s="72">
        <v>1000000</v>
      </c>
      <c r="W512" s="72"/>
      <c r="X512" s="72">
        <v>1000000</v>
      </c>
      <c r="Y512" s="72"/>
      <c r="Z512" s="72">
        <v>1000000</v>
      </c>
      <c r="AA512" s="72"/>
      <c r="AB512" s="72"/>
      <c r="AC512" s="72">
        <v>1000000</v>
      </c>
      <c r="AD512" s="77"/>
      <c r="AE512" s="75"/>
      <c r="AF512" s="75">
        <v>1000000</v>
      </c>
      <c r="AG512" s="75"/>
      <c r="AH512" s="75">
        <v>0</v>
      </c>
      <c r="AI512" s="75"/>
      <c r="AJ512" s="75">
        <v>0</v>
      </c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0" t="s">
        <v>1162</v>
      </c>
      <c r="AX512" s="10" t="s">
        <v>120</v>
      </c>
      <c r="AY512" s="19" t="s">
        <v>261</v>
      </c>
      <c r="AZ512" s="10" t="s">
        <v>167</v>
      </c>
      <c r="BA512" s="10" t="s">
        <v>168</v>
      </c>
      <c r="BB512" s="10" t="s">
        <v>1171</v>
      </c>
      <c r="BC512" s="10" t="s">
        <v>327</v>
      </c>
      <c r="BD512" s="10"/>
      <c r="BE512" s="10"/>
      <c r="BF512" s="10"/>
      <c r="BG512" s="13"/>
      <c r="BH512" s="10"/>
      <c r="BI512" s="14"/>
      <c r="BJ512" s="14"/>
      <c r="BK512" s="14"/>
      <c r="BL512" s="14"/>
      <c r="BM512" s="14"/>
      <c r="BN512" s="15"/>
      <c r="BO512" s="11"/>
      <c r="BP512" s="16">
        <f t="shared" si="177"/>
        <v>130000</v>
      </c>
      <c r="BQ512" s="16">
        <f t="shared" si="178"/>
        <v>0</v>
      </c>
      <c r="BR512" s="16">
        <f t="shared" si="179"/>
        <v>0</v>
      </c>
      <c r="BS512" s="16">
        <f t="shared" si="173"/>
        <v>130000</v>
      </c>
      <c r="BT512" s="17">
        <f t="shared" si="174"/>
        <v>0</v>
      </c>
      <c r="BU512" s="28">
        <f t="shared" si="156"/>
        <v>0</v>
      </c>
      <c r="BV512" s="28">
        <f t="shared" si="157"/>
        <v>130000</v>
      </c>
      <c r="BW512" s="28">
        <f t="shared" si="158"/>
        <v>0</v>
      </c>
    </row>
    <row r="513" spans="1:75" ht="17.399999999999999" x14ac:dyDescent="0.25">
      <c r="A513" s="69">
        <f t="shared" si="167"/>
        <v>512</v>
      </c>
      <c r="B513" s="70" t="s">
        <v>1287</v>
      </c>
      <c r="C513" s="71" t="s">
        <v>243</v>
      </c>
      <c r="D513" s="71" t="s">
        <v>1176</v>
      </c>
      <c r="E513" s="71" t="s">
        <v>1160</v>
      </c>
      <c r="F513" s="71"/>
      <c r="G513" s="71" t="s">
        <v>525</v>
      </c>
      <c r="H513" s="71" t="s">
        <v>1288</v>
      </c>
      <c r="I513" s="71" t="str">
        <f>VLOOKUP(H513,[1]Sheet1!$C:$C,1,0)</f>
        <v>SC2442SO-N-Q-DB-60CR-2442</v>
      </c>
      <c r="J513" s="71"/>
      <c r="K513" s="71"/>
      <c r="L513" s="71" t="s">
        <v>604</v>
      </c>
      <c r="M513" s="72"/>
      <c r="N513" s="71" t="s">
        <v>367</v>
      </c>
      <c r="O513" s="73" t="s">
        <v>1289</v>
      </c>
      <c r="P513" s="71"/>
      <c r="Q513" s="74"/>
      <c r="R513" s="100">
        <v>0.25</v>
      </c>
      <c r="S513" s="75">
        <f t="shared" si="176"/>
        <v>45000</v>
      </c>
      <c r="T513" s="92"/>
      <c r="U513" s="76">
        <f t="shared" ref="U513:U576" si="180">SUM(AE513:AG513)</f>
        <v>180000</v>
      </c>
      <c r="V513" s="72"/>
      <c r="W513" s="72"/>
      <c r="X513" s="72">
        <v>51000</v>
      </c>
      <c r="Y513" s="72"/>
      <c r="Z513" s="72">
        <v>51000</v>
      </c>
      <c r="AA513" s="72"/>
      <c r="AB513" s="72">
        <v>51000</v>
      </c>
      <c r="AC513" s="72"/>
      <c r="AD513" s="77"/>
      <c r="AE513" s="75">
        <v>60000</v>
      </c>
      <c r="AF513" s="75">
        <v>60000</v>
      </c>
      <c r="AG513" s="75">
        <v>60000</v>
      </c>
      <c r="AH513" s="75">
        <v>60000</v>
      </c>
      <c r="AI513" s="75"/>
      <c r="AJ513" s="75">
        <v>60000</v>
      </c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19" t="s">
        <v>1162</v>
      </c>
      <c r="AX513" s="19" t="s">
        <v>120</v>
      </c>
      <c r="AY513" s="19" t="s">
        <v>261</v>
      </c>
      <c r="AZ513" s="19" t="s">
        <v>62</v>
      </c>
      <c r="BA513" s="19" t="s">
        <v>96</v>
      </c>
      <c r="BB513" s="19" t="s">
        <v>1252</v>
      </c>
      <c r="BC513" s="19" t="s">
        <v>1253</v>
      </c>
      <c r="BD513" s="19"/>
      <c r="BE513" s="19"/>
      <c r="BF513" s="19"/>
      <c r="BG513" s="24"/>
      <c r="BH513" s="19"/>
      <c r="BI513" s="25"/>
      <c r="BJ513" s="25"/>
      <c r="BK513" s="25"/>
      <c r="BL513" s="25"/>
      <c r="BM513" s="25"/>
      <c r="BN513" s="26"/>
      <c r="BO513" s="21"/>
      <c r="BP513" s="27">
        <f t="shared" si="177"/>
        <v>12750</v>
      </c>
      <c r="BQ513" s="27">
        <f t="shared" si="178"/>
        <v>0</v>
      </c>
      <c r="BR513" s="27">
        <f t="shared" si="179"/>
        <v>12750</v>
      </c>
      <c r="BS513" s="27">
        <f t="shared" si="173"/>
        <v>0</v>
      </c>
      <c r="BT513" s="28">
        <f t="shared" si="174"/>
        <v>0</v>
      </c>
      <c r="BU513" s="28">
        <f t="shared" si="156"/>
        <v>15000</v>
      </c>
      <c r="BV513" s="28">
        <f t="shared" si="157"/>
        <v>15000</v>
      </c>
      <c r="BW513" s="28">
        <f t="shared" si="158"/>
        <v>15000</v>
      </c>
    </row>
    <row r="514" spans="1:75" ht="17.399999999999999" x14ac:dyDescent="0.25">
      <c r="A514" s="69">
        <f t="shared" si="167"/>
        <v>513</v>
      </c>
      <c r="B514" s="70" t="s">
        <v>1290</v>
      </c>
      <c r="C514" s="71" t="s">
        <v>243</v>
      </c>
      <c r="D514" s="71" t="s">
        <v>1176</v>
      </c>
      <c r="E514" s="71" t="s">
        <v>1160</v>
      </c>
      <c r="F514" s="71"/>
      <c r="G514" s="71" t="s">
        <v>259</v>
      </c>
      <c r="H514" s="71" t="s">
        <v>1280</v>
      </c>
      <c r="I514" s="71" t="str">
        <f>VLOOKUP(H514,[1]Sheet1!$C:$C,1,0)</f>
        <v>SC2498SO-Q-DB-60CR-2498</v>
      </c>
      <c r="J514" s="71"/>
      <c r="K514" s="71"/>
      <c r="L514" s="71" t="s">
        <v>604</v>
      </c>
      <c r="M514" s="72">
        <v>300000</v>
      </c>
      <c r="N514" s="71" t="s">
        <v>367</v>
      </c>
      <c r="O514" s="73"/>
      <c r="P514" s="71"/>
      <c r="Q514" s="74"/>
      <c r="R514" s="100">
        <v>0.42</v>
      </c>
      <c r="S514" s="75">
        <f t="shared" si="176"/>
        <v>113400</v>
      </c>
      <c r="T514" s="92"/>
      <c r="U514" s="76">
        <f t="shared" si="180"/>
        <v>270000</v>
      </c>
      <c r="V514" s="72">
        <v>9000</v>
      </c>
      <c r="W514" s="72"/>
      <c r="X514" s="72">
        <v>12000</v>
      </c>
      <c r="Y514" s="72">
        <v>60000</v>
      </c>
      <c r="Z514" s="72">
        <v>60000</v>
      </c>
      <c r="AA514" s="72">
        <v>60000</v>
      </c>
      <c r="AB514" s="72">
        <v>60000</v>
      </c>
      <c r="AC514" s="72">
        <v>90000</v>
      </c>
      <c r="AD514" s="77">
        <v>90000</v>
      </c>
      <c r="AE514" s="75">
        <v>60000</v>
      </c>
      <c r="AF514" s="75">
        <v>90000</v>
      </c>
      <c r="AG514" s="75">
        <v>120000</v>
      </c>
      <c r="AH514" s="75">
        <v>120000</v>
      </c>
      <c r="AI514" s="75"/>
      <c r="AJ514" s="75">
        <v>120000</v>
      </c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0" t="s">
        <v>1291</v>
      </c>
      <c r="AX514" s="10" t="s">
        <v>120</v>
      </c>
      <c r="AY514" s="19" t="s">
        <v>261</v>
      </c>
      <c r="AZ514" s="10" t="s">
        <v>167</v>
      </c>
      <c r="BA514" s="10" t="s">
        <v>346</v>
      </c>
      <c r="BB514" s="10" t="s">
        <v>347</v>
      </c>
      <c r="BC514" s="10" t="s">
        <v>1292</v>
      </c>
      <c r="BD514" s="10"/>
      <c r="BE514" s="10"/>
      <c r="BF514" s="10"/>
      <c r="BG514" s="13"/>
      <c r="BH514" s="10"/>
      <c r="BI514" s="14"/>
      <c r="BJ514" s="14"/>
      <c r="BK514" s="14"/>
      <c r="BL514" s="14"/>
      <c r="BM514" s="14"/>
      <c r="BN514" s="15"/>
      <c r="BO514" s="11"/>
      <c r="BP514" s="16">
        <f t="shared" si="177"/>
        <v>25200</v>
      </c>
      <c r="BQ514" s="16">
        <f t="shared" si="178"/>
        <v>25200</v>
      </c>
      <c r="BR514" s="16">
        <f t="shared" si="179"/>
        <v>25200</v>
      </c>
      <c r="BS514" s="16">
        <f t="shared" si="173"/>
        <v>37800</v>
      </c>
      <c r="BT514" s="17">
        <f t="shared" si="174"/>
        <v>37800</v>
      </c>
      <c r="BU514" s="28">
        <f t="shared" si="156"/>
        <v>25200</v>
      </c>
      <c r="BV514" s="28">
        <f t="shared" si="157"/>
        <v>37800</v>
      </c>
      <c r="BW514" s="28">
        <f t="shared" si="158"/>
        <v>50400</v>
      </c>
    </row>
    <row r="515" spans="1:75" ht="17.399999999999999" x14ac:dyDescent="0.25">
      <c r="A515" s="69">
        <f t="shared" si="167"/>
        <v>514</v>
      </c>
      <c r="B515" s="70" t="s">
        <v>1293</v>
      </c>
      <c r="C515" s="71" t="s">
        <v>243</v>
      </c>
      <c r="D515" s="71" t="s">
        <v>1176</v>
      </c>
      <c r="E515" s="71" t="s">
        <v>1160</v>
      </c>
      <c r="F515" s="71"/>
      <c r="G515" s="71" t="s">
        <v>848</v>
      </c>
      <c r="H515" s="71" t="s">
        <v>1294</v>
      </c>
      <c r="I515" s="71" t="str">
        <f>VLOOKUP(H515,[1]Sheet1!$C:$C,1,0)</f>
        <v>SC4001SE-CB-90CR-4001</v>
      </c>
      <c r="J515" s="71"/>
      <c r="K515" s="71"/>
      <c r="L515" s="71"/>
      <c r="M515" s="72"/>
      <c r="N515" s="71"/>
      <c r="O515" s="73"/>
      <c r="P515" s="71"/>
      <c r="Q515" s="74"/>
      <c r="R515" s="100">
        <v>0.14000000000000001</v>
      </c>
      <c r="S515" s="75">
        <f t="shared" si="176"/>
        <v>193200.00000000003</v>
      </c>
      <c r="T515" s="92"/>
      <c r="U515" s="76">
        <f t="shared" si="180"/>
        <v>1380000</v>
      </c>
      <c r="V515" s="72"/>
      <c r="W515" s="72"/>
      <c r="X515" s="72"/>
      <c r="Y515" s="72"/>
      <c r="Z515" s="72"/>
      <c r="AA515" s="72"/>
      <c r="AB515" s="72">
        <v>690000</v>
      </c>
      <c r="AC515" s="72"/>
      <c r="AD515" s="77"/>
      <c r="AE515" s="75">
        <v>690000</v>
      </c>
      <c r="AF515" s="75"/>
      <c r="AG515" s="75">
        <v>690000</v>
      </c>
      <c r="AH515" s="75"/>
      <c r="AI515" s="75"/>
      <c r="AJ515" s="75">
        <v>0</v>
      </c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19"/>
      <c r="AX515" s="19" t="s">
        <v>689</v>
      </c>
      <c r="AY515" s="19" t="s">
        <v>261</v>
      </c>
      <c r="AZ515" s="19"/>
      <c r="BA515" s="19"/>
      <c r="BB515" s="19"/>
      <c r="BC515" s="19"/>
      <c r="BD515" s="19"/>
      <c r="BE515" s="19"/>
      <c r="BF515" s="19"/>
      <c r="BG515" s="24"/>
      <c r="BH515" s="19"/>
      <c r="BI515" s="25"/>
      <c r="BJ515" s="25"/>
      <c r="BK515" s="25"/>
      <c r="BL515" s="25"/>
      <c r="BM515" s="25"/>
      <c r="BN515" s="26"/>
      <c r="BO515" s="21"/>
      <c r="BP515" s="27">
        <f t="shared" si="177"/>
        <v>0</v>
      </c>
      <c r="BQ515" s="27">
        <f t="shared" si="178"/>
        <v>0</v>
      </c>
      <c r="BR515" s="27">
        <f t="shared" si="179"/>
        <v>96600.000000000015</v>
      </c>
      <c r="BS515" s="27">
        <f t="shared" si="173"/>
        <v>0</v>
      </c>
      <c r="BT515" s="28">
        <f t="shared" si="174"/>
        <v>0</v>
      </c>
      <c r="BU515" s="28">
        <f t="shared" ref="BU515:BU578" si="181">$R515*AE515</f>
        <v>96600.000000000015</v>
      </c>
      <c r="BV515" s="28">
        <f t="shared" ref="BV515:BV578" si="182">$R515*AF515</f>
        <v>0</v>
      </c>
      <c r="BW515" s="28">
        <f t="shared" ref="BW515:BW578" si="183">$R515*AG515</f>
        <v>96600.000000000015</v>
      </c>
    </row>
    <row r="516" spans="1:75" ht="17.399999999999999" x14ac:dyDescent="0.25">
      <c r="A516" s="69">
        <f t="shared" si="167"/>
        <v>515</v>
      </c>
      <c r="B516" s="73" t="s">
        <v>1623</v>
      </c>
      <c r="C516" s="71" t="s">
        <v>290</v>
      </c>
      <c r="D516" s="71" t="s">
        <v>1624</v>
      </c>
      <c r="E516" s="71" t="s">
        <v>1532</v>
      </c>
      <c r="F516" s="71" t="s">
        <v>1625</v>
      </c>
      <c r="G516" s="71" t="s">
        <v>1628</v>
      </c>
      <c r="H516" s="71" t="s">
        <v>1629</v>
      </c>
      <c r="I516" s="71" t="str">
        <f>VLOOKUP(H516,[1]Sheet1!$C:$C,1,0)</f>
        <v>TRVE1430Q1BA3R5(VA2201D)-1430Q</v>
      </c>
      <c r="J516" s="71"/>
      <c r="K516" s="71"/>
      <c r="L516" s="73" t="s">
        <v>1632</v>
      </c>
      <c r="M516" s="80">
        <v>200000</v>
      </c>
      <c r="N516" s="72" t="s">
        <v>382</v>
      </c>
      <c r="O516" s="73"/>
      <c r="P516" s="71" t="s">
        <v>504</v>
      </c>
      <c r="Q516" s="71"/>
      <c r="R516" s="100">
        <v>0.85</v>
      </c>
      <c r="S516" s="75">
        <f t="shared" si="176"/>
        <v>12750</v>
      </c>
      <c r="T516" s="91">
        <v>0</v>
      </c>
      <c r="U516" s="76">
        <f t="shared" si="180"/>
        <v>15000</v>
      </c>
      <c r="V516" s="80"/>
      <c r="W516" s="80"/>
      <c r="X516" s="80"/>
      <c r="Y516" s="72"/>
      <c r="Z516" s="72"/>
      <c r="AA516" s="72"/>
      <c r="AB516" s="72"/>
      <c r="AC516" s="72"/>
      <c r="AD516" s="77"/>
      <c r="AE516" s="75">
        <v>5000</v>
      </c>
      <c r="AF516" s="75">
        <v>5000</v>
      </c>
      <c r="AG516" s="75">
        <v>5000</v>
      </c>
      <c r="AH516" s="75">
        <v>5000</v>
      </c>
      <c r="AI516" s="75">
        <v>5000</v>
      </c>
      <c r="AJ516" s="75">
        <v>5000</v>
      </c>
      <c r="AK516" s="33"/>
      <c r="AL516" s="33"/>
      <c r="AM516" s="33"/>
      <c r="AN516" s="33"/>
      <c r="AO516" s="33"/>
      <c r="AP516" s="33"/>
      <c r="AQ516" s="33"/>
      <c r="AR516" s="33"/>
      <c r="AS516" s="33"/>
      <c r="AT516" s="33"/>
      <c r="AU516" s="33"/>
      <c r="AV516" s="33"/>
      <c r="AW516" s="19" t="s">
        <v>1416</v>
      </c>
      <c r="AX516" s="19" t="s">
        <v>85</v>
      </c>
      <c r="AY516" s="19" t="s">
        <v>690</v>
      </c>
      <c r="AZ516" s="19" t="s">
        <v>62</v>
      </c>
      <c r="BA516" s="19" t="s">
        <v>96</v>
      </c>
      <c r="BB516" s="19" t="s">
        <v>1252</v>
      </c>
      <c r="BC516" s="19" t="s">
        <v>1553</v>
      </c>
      <c r="BD516" s="19" t="s">
        <v>1627</v>
      </c>
      <c r="BE516" s="19"/>
      <c r="BF516" s="19"/>
      <c r="BG516" s="24">
        <v>1</v>
      </c>
      <c r="BH516" s="19">
        <v>45950</v>
      </c>
      <c r="BI516" s="25">
        <v>45524</v>
      </c>
      <c r="BJ516" s="25">
        <v>45598</v>
      </c>
      <c r="BK516" s="25">
        <v>45646</v>
      </c>
      <c r="BL516" s="25">
        <v>45797</v>
      </c>
      <c r="BM516" s="25">
        <v>45555</v>
      </c>
      <c r="BN516" s="37">
        <v>1</v>
      </c>
      <c r="BO516" s="21">
        <v>5</v>
      </c>
      <c r="BP516" s="27">
        <f t="shared" si="177"/>
        <v>0</v>
      </c>
      <c r="BQ516" s="27">
        <f t="shared" si="178"/>
        <v>0</v>
      </c>
      <c r="BR516" s="27">
        <f t="shared" si="179"/>
        <v>0</v>
      </c>
      <c r="BS516" s="27">
        <f t="shared" si="173"/>
        <v>0</v>
      </c>
      <c r="BT516" s="28">
        <f t="shared" si="174"/>
        <v>0</v>
      </c>
      <c r="BU516" s="28">
        <f t="shared" si="181"/>
        <v>4250</v>
      </c>
      <c r="BV516" s="28">
        <f t="shared" si="182"/>
        <v>4250</v>
      </c>
      <c r="BW516" s="28">
        <f t="shared" si="183"/>
        <v>4250</v>
      </c>
    </row>
    <row r="517" spans="1:75" ht="17.399999999999999" x14ac:dyDescent="0.25">
      <c r="A517" s="69">
        <f t="shared" si="167"/>
        <v>516</v>
      </c>
      <c r="B517" s="73" t="s">
        <v>1563</v>
      </c>
      <c r="C517" s="71" t="s">
        <v>235</v>
      </c>
      <c r="D517" s="71" t="s">
        <v>1531</v>
      </c>
      <c r="E517" s="71" t="s">
        <v>1532</v>
      </c>
      <c r="F517" s="71" t="s">
        <v>1551</v>
      </c>
      <c r="G517" s="71" t="s">
        <v>1582</v>
      </c>
      <c r="H517" s="71" t="s">
        <v>1583</v>
      </c>
      <c r="I517" s="71" t="str">
        <f>VLOOKUP(H517,[1]Sheet1!$C:$C,1,0)</f>
        <v>TRVE1430Q1CA3R33(VA2201D)-1430Q</v>
      </c>
      <c r="J517" s="71"/>
      <c r="K517" s="71"/>
      <c r="L517" s="73" t="s">
        <v>1584</v>
      </c>
      <c r="M517" s="80">
        <v>500000</v>
      </c>
      <c r="N517" s="72" t="s">
        <v>251</v>
      </c>
      <c r="O517" s="73"/>
      <c r="P517" s="71" t="s">
        <v>504</v>
      </c>
      <c r="Q517" s="71"/>
      <c r="R517" s="100">
        <v>0.57999999999999996</v>
      </c>
      <c r="S517" s="75">
        <f t="shared" si="176"/>
        <v>14499.999999999998</v>
      </c>
      <c r="T517" s="91">
        <v>0</v>
      </c>
      <c r="U517" s="76">
        <f t="shared" si="180"/>
        <v>25000</v>
      </c>
      <c r="V517" s="80"/>
      <c r="W517" s="80"/>
      <c r="X517" s="80"/>
      <c r="Y517" s="72"/>
      <c r="Z517" s="72"/>
      <c r="AA517" s="72"/>
      <c r="AB517" s="72"/>
      <c r="AC517" s="72"/>
      <c r="AD517" s="77"/>
      <c r="AE517" s="75">
        <v>5000</v>
      </c>
      <c r="AF517" s="75">
        <v>10000</v>
      </c>
      <c r="AG517" s="75">
        <v>10000</v>
      </c>
      <c r="AH517" s="75">
        <v>10000</v>
      </c>
      <c r="AI517" s="75">
        <v>10000</v>
      </c>
      <c r="AJ517" s="75">
        <v>10000</v>
      </c>
      <c r="AK517" s="33"/>
      <c r="AL517" s="33"/>
      <c r="AM517" s="33"/>
      <c r="AN517" s="33"/>
      <c r="AO517" s="33"/>
      <c r="AP517" s="33"/>
      <c r="AQ517" s="33"/>
      <c r="AR517" s="33"/>
      <c r="AS517" s="33"/>
      <c r="AT517" s="33"/>
      <c r="AU517" s="33"/>
      <c r="AV517" s="33"/>
      <c r="AW517" s="19" t="s">
        <v>978</v>
      </c>
      <c r="AX517" s="19" t="s">
        <v>85</v>
      </c>
      <c r="AY517" s="19" t="s">
        <v>690</v>
      </c>
      <c r="AZ517" s="19" t="s">
        <v>62</v>
      </c>
      <c r="BA517" s="19" t="s">
        <v>86</v>
      </c>
      <c r="BB517" s="19" t="s">
        <v>1547</v>
      </c>
      <c r="BC517" s="19" t="s">
        <v>1585</v>
      </c>
      <c r="BD517" s="19"/>
      <c r="BE517" s="19"/>
      <c r="BF517" s="19"/>
      <c r="BG517" s="24"/>
      <c r="BH517" s="19"/>
      <c r="BI517" s="25"/>
      <c r="BJ517" s="25"/>
      <c r="BK517" s="25"/>
      <c r="BL517" s="25"/>
      <c r="BM517" s="25"/>
      <c r="BN517" s="37"/>
      <c r="BO517" s="21"/>
      <c r="BP517" s="27">
        <f t="shared" si="177"/>
        <v>0</v>
      </c>
      <c r="BQ517" s="27">
        <f t="shared" si="178"/>
        <v>0</v>
      </c>
      <c r="BR517" s="27">
        <f t="shared" si="179"/>
        <v>0</v>
      </c>
      <c r="BS517" s="27">
        <f t="shared" si="173"/>
        <v>0</v>
      </c>
      <c r="BT517" s="28">
        <f t="shared" si="174"/>
        <v>0</v>
      </c>
      <c r="BU517" s="28">
        <f t="shared" si="181"/>
        <v>2900</v>
      </c>
      <c r="BV517" s="28">
        <f t="shared" si="182"/>
        <v>5800</v>
      </c>
      <c r="BW517" s="28">
        <f t="shared" si="183"/>
        <v>5800</v>
      </c>
    </row>
    <row r="518" spans="1:75" ht="17.399999999999999" x14ac:dyDescent="0.25">
      <c r="A518" s="69">
        <f t="shared" si="167"/>
        <v>517</v>
      </c>
      <c r="B518" s="70" t="s">
        <v>1259</v>
      </c>
      <c r="C518" s="71" t="s">
        <v>235</v>
      </c>
      <c r="D518" s="71" t="s">
        <v>1176</v>
      </c>
      <c r="E518" s="71" t="s">
        <v>1160</v>
      </c>
      <c r="F518" s="71"/>
      <c r="G518" s="71" t="s">
        <v>273</v>
      </c>
      <c r="H518" s="71" t="s">
        <v>274</v>
      </c>
      <c r="I518" s="71" t="str">
        <f>VLOOKUP(H518,[1]Sheet1!$C:$C,1,0)</f>
        <v>SC2402SO-N-CJ-90NR-2402</v>
      </c>
      <c r="J518" s="71"/>
      <c r="K518" s="71"/>
      <c r="L518" s="71"/>
      <c r="M518" s="72"/>
      <c r="N518" s="71"/>
      <c r="O518" s="73"/>
      <c r="P518" s="71"/>
      <c r="Q518" s="74"/>
      <c r="R518" s="100">
        <v>0.13</v>
      </c>
      <c r="S518" s="75">
        <f t="shared" si="176"/>
        <v>1170000</v>
      </c>
      <c r="T518" s="92"/>
      <c r="U518" s="76">
        <f t="shared" si="180"/>
        <v>9000000</v>
      </c>
      <c r="V518" s="72"/>
      <c r="W518" s="72"/>
      <c r="X518" s="72"/>
      <c r="Y518" s="72"/>
      <c r="Z518" s="72">
        <v>3000000</v>
      </c>
      <c r="AA518" s="72">
        <v>3000000</v>
      </c>
      <c r="AB518" s="72">
        <v>3000000</v>
      </c>
      <c r="AC518" s="72">
        <v>3000000</v>
      </c>
      <c r="AD518" s="77">
        <v>3000000</v>
      </c>
      <c r="AE518" s="75">
        <v>3000000</v>
      </c>
      <c r="AF518" s="75">
        <v>3000000</v>
      </c>
      <c r="AG518" s="75">
        <v>3000000</v>
      </c>
      <c r="AH518" s="75">
        <v>3000000</v>
      </c>
      <c r="AI518" s="75"/>
      <c r="AJ518" s="75">
        <v>3000000</v>
      </c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0"/>
      <c r="AX518" s="10" t="s">
        <v>689</v>
      </c>
      <c r="AY518" s="19" t="s">
        <v>261</v>
      </c>
      <c r="AZ518" s="10"/>
      <c r="BA518" s="10"/>
      <c r="BB518" s="10"/>
      <c r="BC518" s="10"/>
      <c r="BD518" s="10"/>
      <c r="BE518" s="10"/>
      <c r="BF518" s="10"/>
      <c r="BG518" s="13"/>
      <c r="BH518" s="10"/>
      <c r="BI518" s="14"/>
      <c r="BJ518" s="14"/>
      <c r="BK518" s="14"/>
      <c r="BL518" s="14"/>
      <c r="BM518" s="14"/>
      <c r="BN518" s="15"/>
      <c r="BO518" s="11"/>
      <c r="BP518" s="16">
        <f t="shared" si="177"/>
        <v>390000</v>
      </c>
      <c r="BQ518" s="16">
        <f t="shared" si="178"/>
        <v>390000</v>
      </c>
      <c r="BR518" s="16">
        <f t="shared" si="179"/>
        <v>390000</v>
      </c>
      <c r="BS518" s="16">
        <f t="shared" si="173"/>
        <v>390000</v>
      </c>
      <c r="BT518" s="17">
        <f t="shared" si="174"/>
        <v>390000</v>
      </c>
      <c r="BU518" s="28">
        <f t="shared" si="181"/>
        <v>390000</v>
      </c>
      <c r="BV518" s="28">
        <f t="shared" si="182"/>
        <v>390000</v>
      </c>
      <c r="BW518" s="28">
        <f t="shared" si="183"/>
        <v>390000</v>
      </c>
    </row>
    <row r="519" spans="1:75" ht="17.399999999999999" x14ac:dyDescent="0.25">
      <c r="A519" s="69">
        <f t="shared" si="167"/>
        <v>518</v>
      </c>
      <c r="B519" s="70" t="s">
        <v>1283</v>
      </c>
      <c r="C519" s="71" t="s">
        <v>243</v>
      </c>
      <c r="D519" s="71" t="s">
        <v>1176</v>
      </c>
      <c r="E519" s="71" t="s">
        <v>1160</v>
      </c>
      <c r="F519" s="71"/>
      <c r="G519" s="71" t="s">
        <v>1003</v>
      </c>
      <c r="H519" s="71" t="s">
        <v>1297</v>
      </c>
      <c r="I519" s="71" t="str">
        <f>VLOOKUP(H519,[1]Sheet1!$C:$C,1,0)</f>
        <v>SC2242UA-CE-00AK-2242</v>
      </c>
      <c r="J519" s="71"/>
      <c r="K519" s="71"/>
      <c r="L519" s="71" t="s">
        <v>579</v>
      </c>
      <c r="M519" s="72"/>
      <c r="N519" s="71" t="s">
        <v>251</v>
      </c>
      <c r="O519" s="73"/>
      <c r="P519" s="71"/>
      <c r="Q519" s="74"/>
      <c r="R519" s="100">
        <v>0.38</v>
      </c>
      <c r="S519" s="75">
        <f t="shared" si="176"/>
        <v>45600</v>
      </c>
      <c r="T519" s="92"/>
      <c r="U519" s="76">
        <f t="shared" si="180"/>
        <v>120000</v>
      </c>
      <c r="V519" s="72"/>
      <c r="W519" s="72"/>
      <c r="X519" s="72">
        <v>10000</v>
      </c>
      <c r="Y519" s="72"/>
      <c r="Z519" s="72">
        <v>10000</v>
      </c>
      <c r="AA519" s="72"/>
      <c r="AB519" s="72"/>
      <c r="AC519" s="72">
        <v>30000</v>
      </c>
      <c r="AD519" s="77"/>
      <c r="AE519" s="75"/>
      <c r="AF519" s="75">
        <v>60000</v>
      </c>
      <c r="AG519" s="75">
        <v>60000</v>
      </c>
      <c r="AH519" s="75">
        <v>60000</v>
      </c>
      <c r="AI519" s="75"/>
      <c r="AJ519" s="75">
        <v>60000</v>
      </c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19" t="s">
        <v>1162</v>
      </c>
      <c r="AX519" s="19" t="s">
        <v>120</v>
      </c>
      <c r="AY519" s="19" t="s">
        <v>261</v>
      </c>
      <c r="AZ519" s="19" t="s">
        <v>115</v>
      </c>
      <c r="BA519" s="19" t="s">
        <v>116</v>
      </c>
      <c r="BB519" s="19" t="s">
        <v>1298</v>
      </c>
      <c r="BC519" s="19" t="s">
        <v>1299</v>
      </c>
      <c r="BD519" s="19"/>
      <c r="BE519" s="19"/>
      <c r="BF519" s="19"/>
      <c r="BG519" s="24"/>
      <c r="BH519" s="19"/>
      <c r="BI519" s="25"/>
      <c r="BJ519" s="25"/>
      <c r="BK519" s="25"/>
      <c r="BL519" s="25"/>
      <c r="BM519" s="25"/>
      <c r="BN519" s="26"/>
      <c r="BO519" s="21"/>
      <c r="BP519" s="27">
        <f t="shared" si="177"/>
        <v>3800</v>
      </c>
      <c r="BQ519" s="27">
        <f t="shared" si="178"/>
        <v>0</v>
      </c>
      <c r="BR519" s="27">
        <f t="shared" si="179"/>
        <v>0</v>
      </c>
      <c r="BS519" s="27">
        <f t="shared" si="173"/>
        <v>11400</v>
      </c>
      <c r="BT519" s="28">
        <f t="shared" si="174"/>
        <v>0</v>
      </c>
      <c r="BU519" s="28">
        <f t="shared" si="181"/>
        <v>0</v>
      </c>
      <c r="BV519" s="28">
        <f t="shared" si="182"/>
        <v>22800</v>
      </c>
      <c r="BW519" s="28">
        <f t="shared" si="183"/>
        <v>22800</v>
      </c>
    </row>
    <row r="520" spans="1:75" ht="17.399999999999999" x14ac:dyDescent="0.25">
      <c r="A520" s="69">
        <f t="shared" si="167"/>
        <v>519</v>
      </c>
      <c r="B520" s="73" t="s">
        <v>1520</v>
      </c>
      <c r="C520" s="71" t="s">
        <v>243</v>
      </c>
      <c r="D520" s="71" t="s">
        <v>1176</v>
      </c>
      <c r="E520" s="71" t="s">
        <v>1160</v>
      </c>
      <c r="F520" s="71"/>
      <c r="G520" s="71" t="s">
        <v>1035</v>
      </c>
      <c r="H520" s="71" t="s">
        <v>1521</v>
      </c>
      <c r="I520" s="71" t="str">
        <f>VLOOKUP(H520,[1]Sheet1!$C:$C,1,0)</f>
        <v>SC1645A1-AI-00HK-1466</v>
      </c>
      <c r="J520" s="71"/>
      <c r="K520" s="71"/>
      <c r="L520" s="73"/>
      <c r="M520" s="80"/>
      <c r="N520" s="72"/>
      <c r="O520" s="73"/>
      <c r="P520" s="71"/>
      <c r="Q520" s="71"/>
      <c r="R520" s="100">
        <v>0.21</v>
      </c>
      <c r="S520" s="75">
        <f t="shared" si="176"/>
        <v>105000</v>
      </c>
      <c r="T520" s="91"/>
      <c r="U520" s="76">
        <f t="shared" si="180"/>
        <v>500000</v>
      </c>
      <c r="V520" s="80"/>
      <c r="W520" s="80"/>
      <c r="X520" s="80"/>
      <c r="Y520" s="80"/>
      <c r="Z520" s="80"/>
      <c r="AA520" s="80"/>
      <c r="AB520" s="80">
        <v>500000</v>
      </c>
      <c r="AC520" s="72"/>
      <c r="AD520" s="77">
        <v>500000</v>
      </c>
      <c r="AE520" s="75"/>
      <c r="AF520" s="75">
        <v>500000</v>
      </c>
      <c r="AG520" s="75"/>
      <c r="AH520" s="75">
        <v>0</v>
      </c>
      <c r="AI520" s="75"/>
      <c r="AJ520" s="75">
        <v>0</v>
      </c>
      <c r="AK520" s="52"/>
      <c r="AL520" s="52"/>
      <c r="AM520" s="52"/>
      <c r="AN520" s="52"/>
      <c r="AO520" s="52"/>
      <c r="AP520" s="52"/>
      <c r="AQ520" s="52"/>
      <c r="AR520" s="52"/>
      <c r="AS520" s="52"/>
      <c r="AT520" s="52"/>
      <c r="AU520" s="52"/>
      <c r="AV520" s="52"/>
      <c r="AW520" s="51"/>
      <c r="AX520" s="51" t="s">
        <v>689</v>
      </c>
      <c r="AY520" s="19" t="s">
        <v>261</v>
      </c>
      <c r="AZ520" s="51"/>
      <c r="BA520" s="51"/>
      <c r="BB520" s="51"/>
      <c r="BC520" s="51"/>
      <c r="BD520" s="51"/>
      <c r="BE520" s="51"/>
      <c r="BF520" s="51"/>
      <c r="BG520" s="54"/>
      <c r="BH520" s="51"/>
      <c r="BI520" s="55"/>
      <c r="BJ520" s="55"/>
      <c r="BK520" s="55"/>
      <c r="BL520" s="55"/>
      <c r="BM520" s="55"/>
      <c r="BN520" s="56"/>
      <c r="BO520" s="53"/>
      <c r="BP520" s="57">
        <f t="shared" si="177"/>
        <v>0</v>
      </c>
      <c r="BQ520" s="57">
        <f t="shared" si="178"/>
        <v>0</v>
      </c>
      <c r="BR520" s="57">
        <f t="shared" si="179"/>
        <v>105000</v>
      </c>
      <c r="BS520" s="57">
        <f t="shared" si="173"/>
        <v>0</v>
      </c>
      <c r="BT520" s="58">
        <f t="shared" si="174"/>
        <v>105000</v>
      </c>
      <c r="BU520" s="28">
        <f t="shared" si="181"/>
        <v>0</v>
      </c>
      <c r="BV520" s="28">
        <f t="shared" si="182"/>
        <v>105000</v>
      </c>
      <c r="BW520" s="28">
        <f t="shared" si="183"/>
        <v>0</v>
      </c>
    </row>
    <row r="521" spans="1:75" ht="18" customHeight="1" x14ac:dyDescent="0.25">
      <c r="A521" s="69">
        <f t="shared" si="167"/>
        <v>520</v>
      </c>
      <c r="B521" s="73" t="s">
        <v>1522</v>
      </c>
      <c r="C521" s="71" t="s">
        <v>243</v>
      </c>
      <c r="D521" s="71" t="s">
        <v>1176</v>
      </c>
      <c r="E521" s="71" t="s">
        <v>1160</v>
      </c>
      <c r="F521" s="71"/>
      <c r="G521" s="71" t="s">
        <v>1035</v>
      </c>
      <c r="H521" s="71" t="s">
        <v>1523</v>
      </c>
      <c r="I521" s="71" t="str">
        <f>VLOOKUP(H521,[1]Sheet1!$C:$C,1,0)</f>
        <v>SC1645A1-AI-00HK-65HA</v>
      </c>
      <c r="J521" s="71"/>
      <c r="K521" s="71"/>
      <c r="L521" s="73"/>
      <c r="M521" s="80"/>
      <c r="N521" s="72"/>
      <c r="O521" s="73"/>
      <c r="P521" s="71"/>
      <c r="Q521" s="71"/>
      <c r="R521" s="100">
        <v>0.21</v>
      </c>
      <c r="S521" s="75">
        <f t="shared" si="176"/>
        <v>630000</v>
      </c>
      <c r="T521" s="91"/>
      <c r="U521" s="76">
        <f t="shared" si="180"/>
        <v>3000000</v>
      </c>
      <c r="V521" s="80"/>
      <c r="W521" s="80"/>
      <c r="X521" s="80"/>
      <c r="Y521" s="80"/>
      <c r="Z521" s="80"/>
      <c r="AA521" s="80">
        <v>1000000</v>
      </c>
      <c r="AB521" s="80">
        <v>1000000</v>
      </c>
      <c r="AC521" s="72">
        <v>2000000</v>
      </c>
      <c r="AD521" s="77">
        <v>2000000</v>
      </c>
      <c r="AE521" s="75">
        <v>1000000</v>
      </c>
      <c r="AF521" s="75">
        <v>1000000</v>
      </c>
      <c r="AG521" s="75">
        <v>1000000</v>
      </c>
      <c r="AH521" s="75">
        <v>1000000</v>
      </c>
      <c r="AI521" s="75"/>
      <c r="AJ521" s="75">
        <v>1000000</v>
      </c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59"/>
      <c r="AX521" s="59" t="s">
        <v>689</v>
      </c>
      <c r="AY521" s="19" t="s">
        <v>261</v>
      </c>
      <c r="AZ521" s="59"/>
      <c r="BA521" s="59"/>
      <c r="BB521" s="59"/>
      <c r="BC521" s="59"/>
      <c r="BD521" s="59"/>
      <c r="BE521" s="59"/>
      <c r="BF521" s="59"/>
      <c r="BG521" s="62"/>
      <c r="BH521" s="59"/>
      <c r="BI521" s="63"/>
      <c r="BJ521" s="63"/>
      <c r="BK521" s="63"/>
      <c r="BL521" s="63"/>
      <c r="BM521" s="63"/>
      <c r="BN521" s="64"/>
      <c r="BO521" s="61"/>
      <c r="BP521" s="65">
        <f t="shared" si="177"/>
        <v>0</v>
      </c>
      <c r="BQ521" s="65">
        <f t="shared" si="178"/>
        <v>210000</v>
      </c>
      <c r="BR521" s="65">
        <f t="shared" si="179"/>
        <v>210000</v>
      </c>
      <c r="BS521" s="65">
        <f t="shared" si="173"/>
        <v>420000</v>
      </c>
      <c r="BT521" s="66">
        <f t="shared" si="174"/>
        <v>420000</v>
      </c>
      <c r="BU521" s="28">
        <f t="shared" si="181"/>
        <v>210000</v>
      </c>
      <c r="BV521" s="28">
        <f t="shared" si="182"/>
        <v>210000</v>
      </c>
      <c r="BW521" s="28">
        <f t="shared" si="183"/>
        <v>210000</v>
      </c>
    </row>
    <row r="522" spans="1:75" ht="17.399999999999999" x14ac:dyDescent="0.25">
      <c r="A522" s="69">
        <f t="shared" si="167"/>
        <v>521</v>
      </c>
      <c r="B522" s="73" t="s">
        <v>1524</v>
      </c>
      <c r="C522" s="71" t="s">
        <v>243</v>
      </c>
      <c r="D522" s="71" t="s">
        <v>1176</v>
      </c>
      <c r="E522" s="71" t="s">
        <v>1160</v>
      </c>
      <c r="F522" s="71"/>
      <c r="G522" s="71" t="s">
        <v>1038</v>
      </c>
      <c r="H522" s="71" t="s">
        <v>1525</v>
      </c>
      <c r="I522" s="71" t="str">
        <f>VLOOKUP(H522,[1]Sheet1!$C:$C,1,0)</f>
        <v>SC1645B1-AI-00HK-615HA</v>
      </c>
      <c r="J522" s="71"/>
      <c r="K522" s="71"/>
      <c r="L522" s="73"/>
      <c r="M522" s="80"/>
      <c r="N522" s="72"/>
      <c r="O522" s="73"/>
      <c r="P522" s="71"/>
      <c r="Q522" s="71"/>
      <c r="R522" s="100">
        <v>0.21</v>
      </c>
      <c r="S522" s="75">
        <f t="shared" si="176"/>
        <v>157500</v>
      </c>
      <c r="T522" s="91"/>
      <c r="U522" s="76">
        <f t="shared" si="180"/>
        <v>750000</v>
      </c>
      <c r="V522" s="80"/>
      <c r="W522" s="80"/>
      <c r="X522" s="80"/>
      <c r="Y522" s="80"/>
      <c r="Z522" s="80"/>
      <c r="AA522" s="80">
        <v>250000</v>
      </c>
      <c r="AB522" s="80">
        <v>250000</v>
      </c>
      <c r="AC522" s="72">
        <v>750000</v>
      </c>
      <c r="AD522" s="77">
        <v>250000</v>
      </c>
      <c r="AE522" s="75">
        <v>250000</v>
      </c>
      <c r="AF522" s="75">
        <v>250000</v>
      </c>
      <c r="AG522" s="75">
        <v>250000</v>
      </c>
      <c r="AH522" s="75">
        <v>250000</v>
      </c>
      <c r="AI522" s="75"/>
      <c r="AJ522" s="75">
        <v>250000</v>
      </c>
      <c r="AK522" s="52"/>
      <c r="AL522" s="52"/>
      <c r="AM522" s="52"/>
      <c r="AN522" s="52"/>
      <c r="AO522" s="52"/>
      <c r="AP522" s="52"/>
      <c r="AQ522" s="52"/>
      <c r="AR522" s="52"/>
      <c r="AS522" s="52"/>
      <c r="AT522" s="52"/>
      <c r="AU522" s="52"/>
      <c r="AV522" s="52"/>
      <c r="AW522" s="51"/>
      <c r="AX522" s="51" t="s">
        <v>689</v>
      </c>
      <c r="AY522" s="19" t="s">
        <v>261</v>
      </c>
      <c r="AZ522" s="51"/>
      <c r="BA522" s="51"/>
      <c r="BB522" s="51"/>
      <c r="BC522" s="51"/>
      <c r="BD522" s="51"/>
      <c r="BE522" s="51"/>
      <c r="BF522" s="51"/>
      <c r="BG522" s="54"/>
      <c r="BH522" s="51"/>
      <c r="BI522" s="55"/>
      <c r="BJ522" s="55"/>
      <c r="BK522" s="55"/>
      <c r="BL522" s="55"/>
      <c r="BM522" s="55"/>
      <c r="BN522" s="56"/>
      <c r="BO522" s="53"/>
      <c r="BP522" s="57">
        <f t="shared" si="177"/>
        <v>0</v>
      </c>
      <c r="BQ522" s="57">
        <f t="shared" si="178"/>
        <v>52500</v>
      </c>
      <c r="BR522" s="57">
        <f t="shared" si="179"/>
        <v>52500</v>
      </c>
      <c r="BS522" s="57">
        <f t="shared" si="173"/>
        <v>157500</v>
      </c>
      <c r="BT522" s="58">
        <f t="shared" si="174"/>
        <v>52500</v>
      </c>
      <c r="BU522" s="28">
        <f t="shared" si="181"/>
        <v>52500</v>
      </c>
      <c r="BV522" s="28">
        <f t="shared" si="182"/>
        <v>52500</v>
      </c>
      <c r="BW522" s="28">
        <f t="shared" si="183"/>
        <v>52500</v>
      </c>
    </row>
    <row r="523" spans="1:75" ht="17.399999999999999" x14ac:dyDescent="0.25">
      <c r="A523" s="69">
        <f t="shared" si="167"/>
        <v>522</v>
      </c>
      <c r="B523" s="70" t="s">
        <v>1086</v>
      </c>
      <c r="C523" s="71" t="s">
        <v>235</v>
      </c>
      <c r="D523" s="71" t="s">
        <v>1086</v>
      </c>
      <c r="E523" s="71" t="s">
        <v>1070</v>
      </c>
      <c r="F523" s="71"/>
      <c r="G523" s="71" t="s">
        <v>1087</v>
      </c>
      <c r="H523" s="71" t="s">
        <v>1088</v>
      </c>
      <c r="I523" s="71" t="str">
        <f>VLOOKUP(H523,[1]Sheet1!$C:$C,1,0)</f>
        <v>TRVE1430Q1CA3R5-1430Q</v>
      </c>
      <c r="J523" s="87"/>
      <c r="K523" s="87"/>
      <c r="L523" s="71"/>
      <c r="M523" s="71" t="s">
        <v>1089</v>
      </c>
      <c r="N523" s="72">
        <v>500000</v>
      </c>
      <c r="O523" s="73" t="s">
        <v>1090</v>
      </c>
      <c r="P523" s="71" t="s">
        <v>1091</v>
      </c>
      <c r="Q523" s="74">
        <v>1.4</v>
      </c>
      <c r="R523" s="100">
        <v>1.2</v>
      </c>
      <c r="S523" s="75">
        <f t="shared" si="176"/>
        <v>0</v>
      </c>
      <c r="T523" s="76">
        <v>21600</v>
      </c>
      <c r="U523" s="76">
        <f t="shared" si="180"/>
        <v>0</v>
      </c>
      <c r="V523" s="72">
        <v>0</v>
      </c>
      <c r="W523" s="72">
        <v>0</v>
      </c>
      <c r="X523" s="72">
        <v>0</v>
      </c>
      <c r="Y523" s="72">
        <v>0</v>
      </c>
      <c r="Z523" s="72">
        <v>0</v>
      </c>
      <c r="AA523" s="72">
        <v>0</v>
      </c>
      <c r="AB523" s="72">
        <v>1000</v>
      </c>
      <c r="AC523" s="72">
        <v>1000</v>
      </c>
      <c r="AD523" s="77">
        <v>1000</v>
      </c>
      <c r="AE523" s="75"/>
      <c r="AF523" s="75"/>
      <c r="AG523" s="75"/>
      <c r="AH523" s="75"/>
      <c r="AI523" s="75"/>
      <c r="AJ523" s="75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19" t="s">
        <v>1092</v>
      </c>
      <c r="AX523" s="19" t="s">
        <v>85</v>
      </c>
      <c r="AY523" s="19" t="s">
        <v>690</v>
      </c>
      <c r="AZ523" s="18" t="s">
        <v>62</v>
      </c>
      <c r="BA523" s="19" t="s">
        <v>1075</v>
      </c>
      <c r="BB523" s="19" t="s">
        <v>1093</v>
      </c>
      <c r="BC523" s="19"/>
      <c r="BD523" s="19"/>
      <c r="BE523" s="19"/>
      <c r="BF523" s="19"/>
      <c r="BG523" s="24">
        <v>1</v>
      </c>
      <c r="BH523" s="25"/>
      <c r="BI523" s="25"/>
      <c r="BJ523" s="25"/>
      <c r="BK523" s="25"/>
      <c r="BL523" s="25"/>
      <c r="BM523" s="25"/>
      <c r="BN523" s="26" t="s">
        <v>1073</v>
      </c>
      <c r="BO523" s="27"/>
      <c r="BP523" s="27">
        <f t="shared" si="177"/>
        <v>0</v>
      </c>
      <c r="BQ523" s="27">
        <f t="shared" si="178"/>
        <v>0</v>
      </c>
      <c r="BR523" s="27">
        <f t="shared" si="179"/>
        <v>1200</v>
      </c>
      <c r="BS523" s="27">
        <f t="shared" si="173"/>
        <v>1200</v>
      </c>
      <c r="BT523" s="28">
        <f t="shared" si="174"/>
        <v>1200</v>
      </c>
      <c r="BU523" s="28">
        <f t="shared" si="181"/>
        <v>0</v>
      </c>
      <c r="BV523" s="28">
        <f t="shared" si="182"/>
        <v>0</v>
      </c>
      <c r="BW523" s="28">
        <f t="shared" si="183"/>
        <v>0</v>
      </c>
    </row>
    <row r="524" spans="1:75" ht="17.399999999999999" x14ac:dyDescent="0.25">
      <c r="A524" s="69">
        <f t="shared" si="167"/>
        <v>523</v>
      </c>
      <c r="B524" s="73" t="s">
        <v>1524</v>
      </c>
      <c r="C524" s="71" t="s">
        <v>243</v>
      </c>
      <c r="D524" s="71" t="s">
        <v>1176</v>
      </c>
      <c r="E524" s="71" t="s">
        <v>1160</v>
      </c>
      <c r="F524" s="71"/>
      <c r="G524" s="71" t="s">
        <v>1528</v>
      </c>
      <c r="H524" s="71" t="s">
        <v>1529</v>
      </c>
      <c r="I524" s="71" t="str">
        <f>VLOOKUP(H524,[1]Sheet1!$C:$C,1,0)</f>
        <v>SC1945A1-AJ-00HK-N13</v>
      </c>
      <c r="J524" s="71"/>
      <c r="K524" s="71"/>
      <c r="L524" s="73"/>
      <c r="M524" s="80"/>
      <c r="N524" s="72"/>
      <c r="O524" s="73"/>
      <c r="P524" s="71"/>
      <c r="Q524" s="71"/>
      <c r="R524" s="100">
        <v>0.21</v>
      </c>
      <c r="S524" s="75">
        <f t="shared" si="176"/>
        <v>157500</v>
      </c>
      <c r="T524" s="91"/>
      <c r="U524" s="76">
        <f t="shared" si="180"/>
        <v>750000</v>
      </c>
      <c r="V524" s="80"/>
      <c r="W524" s="80"/>
      <c r="X524" s="80"/>
      <c r="Y524" s="80"/>
      <c r="Z524" s="80"/>
      <c r="AA524" s="80">
        <v>250000</v>
      </c>
      <c r="AB524" s="80">
        <v>250000</v>
      </c>
      <c r="AC524" s="80">
        <v>500000</v>
      </c>
      <c r="AD524" s="77">
        <v>250000</v>
      </c>
      <c r="AE524" s="75">
        <v>250000</v>
      </c>
      <c r="AF524" s="75">
        <v>250000</v>
      </c>
      <c r="AG524" s="75">
        <v>250000</v>
      </c>
      <c r="AH524" s="75">
        <v>250000</v>
      </c>
      <c r="AI524" s="75"/>
      <c r="AJ524" s="75">
        <v>250000</v>
      </c>
      <c r="AK524" s="52"/>
      <c r="AL524" s="52"/>
      <c r="AM524" s="52"/>
      <c r="AN524" s="52"/>
      <c r="AO524" s="52"/>
      <c r="AP524" s="52"/>
      <c r="AQ524" s="52"/>
      <c r="AR524" s="52"/>
      <c r="AS524" s="52"/>
      <c r="AT524" s="52"/>
      <c r="AU524" s="52"/>
      <c r="AV524" s="52"/>
      <c r="AW524" s="51"/>
      <c r="AX524" s="51" t="s">
        <v>689</v>
      </c>
      <c r="AY524" s="19" t="s">
        <v>261</v>
      </c>
      <c r="AZ524" s="51"/>
      <c r="BA524" s="51"/>
      <c r="BB524" s="51"/>
      <c r="BC524" s="51"/>
      <c r="BD524" s="51"/>
      <c r="BE524" s="51"/>
      <c r="BF524" s="51"/>
      <c r="BG524" s="54"/>
      <c r="BH524" s="51"/>
      <c r="BI524" s="55"/>
      <c r="BJ524" s="55"/>
      <c r="BK524" s="55"/>
      <c r="BL524" s="55"/>
      <c r="BM524" s="55"/>
      <c r="BN524" s="56"/>
      <c r="BO524" s="53"/>
      <c r="BP524" s="57">
        <f t="shared" si="177"/>
        <v>0</v>
      </c>
      <c r="BQ524" s="57">
        <f t="shared" si="178"/>
        <v>52500</v>
      </c>
      <c r="BR524" s="57">
        <f t="shared" si="179"/>
        <v>52500</v>
      </c>
      <c r="BS524" s="57">
        <f t="shared" si="173"/>
        <v>105000</v>
      </c>
      <c r="BT524" s="58">
        <f t="shared" si="174"/>
        <v>52500</v>
      </c>
      <c r="BU524" s="28">
        <f t="shared" si="181"/>
        <v>52500</v>
      </c>
      <c r="BV524" s="28">
        <f t="shared" si="182"/>
        <v>52500</v>
      </c>
      <c r="BW524" s="28">
        <f t="shared" si="183"/>
        <v>52500</v>
      </c>
    </row>
    <row r="525" spans="1:75" ht="17.399999999999999" x14ac:dyDescent="0.25">
      <c r="A525" s="69">
        <f t="shared" si="167"/>
        <v>524</v>
      </c>
      <c r="B525" s="73" t="s">
        <v>1821</v>
      </c>
      <c r="C525" s="71" t="s">
        <v>243</v>
      </c>
      <c r="D525" s="71" t="s">
        <v>1176</v>
      </c>
      <c r="E525" s="71" t="s">
        <v>1160</v>
      </c>
      <c r="F525" s="71"/>
      <c r="G525" s="71" t="s">
        <v>1822</v>
      </c>
      <c r="H525" s="71" t="s">
        <v>1823</v>
      </c>
      <c r="I525" s="71" t="str">
        <f>VLOOKUP(H525,[1]Sheet1!$C:$C,1,0)</f>
        <v>NM.SC4001UA-CB-90AK</v>
      </c>
      <c r="J525" s="71"/>
      <c r="K525" s="71"/>
      <c r="L525" s="73"/>
      <c r="M525" s="80"/>
      <c r="N525" s="72"/>
      <c r="O525" s="73"/>
      <c r="P525" s="71"/>
      <c r="Q525" s="71"/>
      <c r="R525" s="100">
        <v>0.14000000000000001</v>
      </c>
      <c r="S525" s="75"/>
      <c r="T525" s="91"/>
      <c r="U525" s="76">
        <f t="shared" si="180"/>
        <v>0</v>
      </c>
      <c r="V525" s="80"/>
      <c r="W525" s="80"/>
      <c r="X525" s="80"/>
      <c r="Y525" s="72"/>
      <c r="Z525" s="72"/>
      <c r="AA525" s="72"/>
      <c r="AB525" s="72"/>
      <c r="AC525" s="72"/>
      <c r="AD525" s="77"/>
      <c r="AE525" s="75"/>
      <c r="AF525" s="75"/>
      <c r="AG525" s="75"/>
      <c r="AH525" s="75"/>
      <c r="AI525" s="75"/>
      <c r="AJ525" s="75">
        <v>0</v>
      </c>
      <c r="AK525" s="31"/>
      <c r="AL525" s="31"/>
      <c r="AM525" s="31"/>
      <c r="AN525" s="31"/>
      <c r="AO525" s="31"/>
      <c r="AP525" s="31"/>
      <c r="AQ525" s="31"/>
      <c r="AR525" s="31"/>
      <c r="AS525" s="31"/>
      <c r="AT525" s="31"/>
      <c r="AU525" s="31"/>
      <c r="AV525" s="31"/>
      <c r="AW525" s="10"/>
      <c r="AX525" s="10" t="s">
        <v>689</v>
      </c>
      <c r="AY525" s="19" t="s">
        <v>261</v>
      </c>
      <c r="AZ525" s="10"/>
      <c r="BA525" s="10"/>
      <c r="BB525" s="10"/>
      <c r="BC525" s="10"/>
      <c r="BD525" s="10"/>
      <c r="BE525" s="10"/>
      <c r="BF525" s="10"/>
      <c r="BG525" s="13"/>
      <c r="BH525" s="10"/>
      <c r="BI525" s="14"/>
      <c r="BJ525" s="14"/>
      <c r="BK525" s="14"/>
      <c r="BL525" s="14"/>
      <c r="BM525" s="14"/>
      <c r="BN525" s="35"/>
      <c r="BO525" s="11"/>
      <c r="BP525" s="16"/>
      <c r="BQ525" s="16"/>
      <c r="BR525" s="16"/>
      <c r="BS525" s="16">
        <f t="shared" si="173"/>
        <v>0</v>
      </c>
      <c r="BT525" s="17">
        <f t="shared" si="174"/>
        <v>0</v>
      </c>
      <c r="BU525" s="28">
        <f t="shared" si="181"/>
        <v>0</v>
      </c>
      <c r="BV525" s="28">
        <f t="shared" si="182"/>
        <v>0</v>
      </c>
      <c r="BW525" s="28">
        <f t="shared" si="183"/>
        <v>0</v>
      </c>
    </row>
    <row r="526" spans="1:75" ht="17.399999999999999" x14ac:dyDescent="0.25">
      <c r="A526" s="69">
        <f t="shared" si="167"/>
        <v>525</v>
      </c>
      <c r="B526" s="73" t="s">
        <v>1829</v>
      </c>
      <c r="C526" s="71" t="s">
        <v>243</v>
      </c>
      <c r="D526" s="71" t="s">
        <v>1176</v>
      </c>
      <c r="E526" s="71" t="s">
        <v>1160</v>
      </c>
      <c r="F526" s="71"/>
      <c r="G526" s="71" t="s">
        <v>275</v>
      </c>
      <c r="H526" s="71" t="s">
        <v>1794</v>
      </c>
      <c r="I526" s="71" t="str">
        <f>VLOOKUP(H526,[1]Sheet1!$C:$C,1,0)</f>
        <v>SC2064SO-GC-00NR-2064</v>
      </c>
      <c r="J526" s="71"/>
      <c r="K526" s="71"/>
      <c r="L526" s="73"/>
      <c r="M526" s="80"/>
      <c r="N526" s="72"/>
      <c r="O526" s="73"/>
      <c r="P526" s="71"/>
      <c r="Q526" s="71"/>
      <c r="R526" s="100">
        <v>0.13</v>
      </c>
      <c r="S526" s="75"/>
      <c r="T526" s="91"/>
      <c r="U526" s="76">
        <f t="shared" si="180"/>
        <v>480000</v>
      </c>
      <c r="V526" s="80"/>
      <c r="W526" s="80"/>
      <c r="X526" s="80"/>
      <c r="Y526" s="72"/>
      <c r="Z526" s="72"/>
      <c r="AA526" s="72"/>
      <c r="AB526" s="72">
        <v>240000</v>
      </c>
      <c r="AC526" s="72">
        <v>240000</v>
      </c>
      <c r="AD526" s="77"/>
      <c r="AE526" s="75">
        <v>240000</v>
      </c>
      <c r="AF526" s="75"/>
      <c r="AG526" s="75">
        <v>240000</v>
      </c>
      <c r="AH526" s="75">
        <v>240000</v>
      </c>
      <c r="AI526" s="75"/>
      <c r="AJ526" s="75">
        <v>240000</v>
      </c>
      <c r="AK526" s="33"/>
      <c r="AL526" s="33"/>
      <c r="AM526" s="33"/>
      <c r="AN526" s="33"/>
      <c r="AO526" s="33"/>
      <c r="AP526" s="33"/>
      <c r="AQ526" s="33"/>
      <c r="AR526" s="33"/>
      <c r="AS526" s="33"/>
      <c r="AT526" s="33"/>
      <c r="AU526" s="33"/>
      <c r="AV526" s="33"/>
      <c r="AW526" s="19"/>
      <c r="AX526" s="19" t="s">
        <v>689</v>
      </c>
      <c r="AY526" s="19" t="s">
        <v>261</v>
      </c>
      <c r="AZ526" s="19"/>
      <c r="BA526" s="19"/>
      <c r="BB526" s="19"/>
      <c r="BC526" s="19"/>
      <c r="BD526" s="19"/>
      <c r="BE526" s="19"/>
      <c r="BF526" s="19"/>
      <c r="BG526" s="24"/>
      <c r="BH526" s="19"/>
      <c r="BI526" s="25"/>
      <c r="BJ526" s="25"/>
      <c r="BK526" s="25"/>
      <c r="BL526" s="25"/>
      <c r="BM526" s="25"/>
      <c r="BN526" s="37"/>
      <c r="BO526" s="21"/>
      <c r="BP526" s="27"/>
      <c r="BQ526" s="27"/>
      <c r="BR526" s="27"/>
      <c r="BS526" s="27">
        <f t="shared" si="173"/>
        <v>31200</v>
      </c>
      <c r="BT526" s="28">
        <f t="shared" si="174"/>
        <v>0</v>
      </c>
      <c r="BU526" s="28">
        <f t="shared" si="181"/>
        <v>31200</v>
      </c>
      <c r="BV526" s="28">
        <f t="shared" si="182"/>
        <v>0</v>
      </c>
      <c r="BW526" s="28">
        <f t="shared" si="183"/>
        <v>31200</v>
      </c>
    </row>
    <row r="527" spans="1:75" ht="17.399999999999999" x14ac:dyDescent="0.25">
      <c r="A527" s="69">
        <f t="shared" si="167"/>
        <v>526</v>
      </c>
      <c r="B527" s="71" t="s">
        <v>1832</v>
      </c>
      <c r="C527" s="73" t="s">
        <v>243</v>
      </c>
      <c r="D527" s="71" t="s">
        <v>1176</v>
      </c>
      <c r="E527" s="71" t="s">
        <v>1160</v>
      </c>
      <c r="F527" s="71"/>
      <c r="G527" s="71" t="s">
        <v>908</v>
      </c>
      <c r="H527" s="71" t="s">
        <v>909</v>
      </c>
      <c r="I527" s="71" t="str">
        <f>VLOOKUP(H527,[1]Sheet1!$C:$C,1,0)</f>
        <v>SC2438UA-CI-10AK-2438</v>
      </c>
      <c r="J527" s="71"/>
      <c r="K527" s="71"/>
      <c r="L527" s="71"/>
      <c r="M527" s="80"/>
      <c r="N527" s="71"/>
      <c r="O527" s="73"/>
      <c r="P527" s="71"/>
      <c r="Q527" s="71"/>
      <c r="R527" s="100">
        <v>0.4</v>
      </c>
      <c r="S527" s="75">
        <f>R527*U527</f>
        <v>12000</v>
      </c>
      <c r="T527" s="71"/>
      <c r="U527" s="76">
        <f t="shared" si="180"/>
        <v>30000</v>
      </c>
      <c r="V527" s="80"/>
      <c r="W527" s="72"/>
      <c r="X527" s="72"/>
      <c r="Y527" s="72"/>
      <c r="Z527" s="72"/>
      <c r="AA527" s="72"/>
      <c r="AB527" s="72"/>
      <c r="AC527" s="72">
        <v>10000</v>
      </c>
      <c r="AD527" s="77">
        <v>10000</v>
      </c>
      <c r="AE527" s="75">
        <v>10000</v>
      </c>
      <c r="AF527" s="75">
        <v>10000</v>
      </c>
      <c r="AG527" s="75">
        <v>10000</v>
      </c>
      <c r="AH527" s="75">
        <v>10000</v>
      </c>
      <c r="AI527" s="75"/>
      <c r="AJ527" s="75">
        <v>10000</v>
      </c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19"/>
      <c r="AX527" s="19" t="s">
        <v>689</v>
      </c>
      <c r="AY527" s="19" t="s">
        <v>261</v>
      </c>
      <c r="AZ527" s="19"/>
      <c r="BA527" s="19"/>
      <c r="BB527" s="19"/>
      <c r="BC527" s="19"/>
      <c r="BD527" s="42"/>
      <c r="BE527" s="22"/>
      <c r="BF527" s="22"/>
      <c r="BG527" s="22"/>
      <c r="BH527" s="48"/>
      <c r="BI527" s="48"/>
      <c r="BJ527" s="48"/>
      <c r="BK527" s="48"/>
      <c r="BL527" s="48"/>
      <c r="BM527" s="48"/>
      <c r="BN527" s="22"/>
      <c r="BO527" s="22"/>
      <c r="BP527" s="27"/>
      <c r="BQ527" s="27"/>
      <c r="BR527" s="27"/>
      <c r="BS527" s="27">
        <f t="shared" si="173"/>
        <v>4000</v>
      </c>
      <c r="BT527" s="28">
        <f t="shared" si="174"/>
        <v>4000</v>
      </c>
      <c r="BU527" s="28">
        <f t="shared" si="181"/>
        <v>4000</v>
      </c>
      <c r="BV527" s="28">
        <f t="shared" si="182"/>
        <v>4000</v>
      </c>
      <c r="BW527" s="28">
        <f t="shared" si="183"/>
        <v>4000</v>
      </c>
    </row>
    <row r="528" spans="1:75" ht="17.399999999999999" x14ac:dyDescent="0.25">
      <c r="A528" s="69">
        <f t="shared" si="167"/>
        <v>527</v>
      </c>
      <c r="B528" s="71" t="s">
        <v>1833</v>
      </c>
      <c r="C528" s="71" t="s">
        <v>243</v>
      </c>
      <c r="D528" s="86" t="s">
        <v>1176</v>
      </c>
      <c r="E528" s="71" t="s">
        <v>1160</v>
      </c>
      <c r="F528" s="86"/>
      <c r="G528" s="86" t="s">
        <v>771</v>
      </c>
      <c r="H528" s="86" t="s">
        <v>772</v>
      </c>
      <c r="I528" s="71" t="str">
        <f>VLOOKUP(H528,[1]Sheet1!$C:$C,1,0)</f>
        <v>SC2462UA-CJ-10AK-2462</v>
      </c>
      <c r="J528" s="86"/>
      <c r="K528" s="86"/>
      <c r="L528" s="86"/>
      <c r="M528" s="89"/>
      <c r="N528" s="71"/>
      <c r="O528" s="73"/>
      <c r="P528" s="71"/>
      <c r="Q528" s="73"/>
      <c r="R528" s="100">
        <v>0.38</v>
      </c>
      <c r="S528" s="75"/>
      <c r="T528" s="88"/>
      <c r="U528" s="76">
        <f t="shared" si="180"/>
        <v>30000</v>
      </c>
      <c r="V528" s="80"/>
      <c r="W528" s="80"/>
      <c r="X528" s="80"/>
      <c r="Y528" s="80"/>
      <c r="Z528" s="80"/>
      <c r="AA528" s="80"/>
      <c r="AB528" s="80"/>
      <c r="AC528" s="80">
        <v>10000</v>
      </c>
      <c r="AD528" s="77">
        <v>10000</v>
      </c>
      <c r="AE528" s="75">
        <v>10000</v>
      </c>
      <c r="AF528" s="75">
        <v>10000</v>
      </c>
      <c r="AG528" s="75">
        <v>10000</v>
      </c>
      <c r="AH528" s="75">
        <v>10000</v>
      </c>
      <c r="AI528" s="75"/>
      <c r="AJ528" s="75">
        <v>10000</v>
      </c>
      <c r="AK528" s="3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0"/>
      <c r="AX528" s="10" t="s">
        <v>689</v>
      </c>
      <c r="AY528" s="19" t="s">
        <v>261</v>
      </c>
      <c r="AZ528" s="10"/>
      <c r="BA528" s="10"/>
      <c r="BB528" s="10"/>
      <c r="BC528" s="10"/>
      <c r="BD528" s="10"/>
      <c r="BE528" s="10"/>
      <c r="BF528" s="10"/>
      <c r="BG528" s="13"/>
      <c r="BH528" s="10"/>
      <c r="BI528" s="14"/>
      <c r="BJ528" s="14"/>
      <c r="BK528" s="14"/>
      <c r="BL528" s="14"/>
      <c r="BM528" s="14"/>
      <c r="BN528" s="35"/>
      <c r="BO528" s="11"/>
      <c r="BP528" s="16"/>
      <c r="BQ528" s="16"/>
      <c r="BR528" s="16"/>
      <c r="BS528" s="16">
        <f t="shared" si="173"/>
        <v>3800</v>
      </c>
      <c r="BT528" s="17">
        <f t="shared" si="174"/>
        <v>3800</v>
      </c>
      <c r="BU528" s="28">
        <f t="shared" si="181"/>
        <v>3800</v>
      </c>
      <c r="BV528" s="28">
        <f t="shared" si="182"/>
        <v>3800</v>
      </c>
      <c r="BW528" s="28">
        <f t="shared" si="183"/>
        <v>3800</v>
      </c>
    </row>
    <row r="529" spans="1:75" ht="17.399999999999999" x14ac:dyDescent="0.25">
      <c r="A529" s="69">
        <f t="shared" si="167"/>
        <v>528</v>
      </c>
      <c r="B529" s="73" t="s">
        <v>1833</v>
      </c>
      <c r="C529" s="71" t="s">
        <v>243</v>
      </c>
      <c r="D529" s="71" t="s">
        <v>1176</v>
      </c>
      <c r="E529" s="71" t="s">
        <v>1160</v>
      </c>
      <c r="F529" s="71"/>
      <c r="G529" s="71" t="s">
        <v>277</v>
      </c>
      <c r="H529" s="71" t="s">
        <v>1835</v>
      </c>
      <c r="I529" s="71" t="str">
        <f>VLOOKUP(H529,[1]Sheet1!$C:$C,1,0)</f>
        <v>NM.SC2402UA-CJ-00AK</v>
      </c>
      <c r="J529" s="71"/>
      <c r="K529" s="71"/>
      <c r="L529" s="73"/>
      <c r="M529" s="80"/>
      <c r="N529" s="72"/>
      <c r="O529" s="73"/>
      <c r="P529" s="71"/>
      <c r="Q529" s="71"/>
      <c r="R529" s="100">
        <v>0.13</v>
      </c>
      <c r="S529" s="75"/>
      <c r="T529" s="91"/>
      <c r="U529" s="76">
        <f t="shared" si="180"/>
        <v>0</v>
      </c>
      <c r="V529" s="80"/>
      <c r="W529" s="80"/>
      <c r="X529" s="80"/>
      <c r="Y529" s="72"/>
      <c r="Z529" s="72"/>
      <c r="AA529" s="72"/>
      <c r="AB529" s="72"/>
      <c r="AC529" s="72"/>
      <c r="AD529" s="77"/>
      <c r="AE529" s="75"/>
      <c r="AF529" s="75"/>
      <c r="AG529" s="75"/>
      <c r="AH529" s="75"/>
      <c r="AI529" s="75"/>
      <c r="AJ529" s="75">
        <v>0</v>
      </c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10"/>
      <c r="AX529" s="10" t="s">
        <v>689</v>
      </c>
      <c r="AY529" s="19" t="s">
        <v>261</v>
      </c>
      <c r="AZ529" s="10"/>
      <c r="BA529" s="10"/>
      <c r="BB529" s="10"/>
      <c r="BC529" s="10"/>
      <c r="BD529" s="10"/>
      <c r="BE529" s="10"/>
      <c r="BF529" s="10"/>
      <c r="BG529" s="13"/>
      <c r="BH529" s="10"/>
      <c r="BI529" s="14"/>
      <c r="BJ529" s="14"/>
      <c r="BK529" s="14"/>
      <c r="BL529" s="14"/>
      <c r="BM529" s="14"/>
      <c r="BN529" s="35"/>
      <c r="BO529" s="11"/>
      <c r="BP529" s="16"/>
      <c r="BQ529" s="16"/>
      <c r="BR529" s="16"/>
      <c r="BS529" s="16">
        <f t="shared" si="173"/>
        <v>0</v>
      </c>
      <c r="BT529" s="17">
        <f t="shared" si="174"/>
        <v>0</v>
      </c>
      <c r="BU529" s="28">
        <f t="shared" si="181"/>
        <v>0</v>
      </c>
      <c r="BV529" s="28">
        <f t="shared" si="182"/>
        <v>0</v>
      </c>
      <c r="BW529" s="28">
        <f t="shared" si="183"/>
        <v>0</v>
      </c>
    </row>
    <row r="530" spans="1:75" ht="17.399999999999999" x14ac:dyDescent="0.25">
      <c r="A530" s="69">
        <f t="shared" si="167"/>
        <v>529</v>
      </c>
      <c r="B530" s="70" t="s">
        <v>1249</v>
      </c>
      <c r="C530" s="71" t="s">
        <v>290</v>
      </c>
      <c r="D530" s="71" t="s">
        <v>1176</v>
      </c>
      <c r="E530" s="71" t="s">
        <v>1160</v>
      </c>
      <c r="F530" s="71"/>
      <c r="G530" s="71" t="s">
        <v>263</v>
      </c>
      <c r="H530" s="71" t="s">
        <v>1309</v>
      </c>
      <c r="I530" s="71" t="str">
        <f>VLOOKUP(H530,[1]Sheet1!$C:$C,1,0)</f>
        <v>SC2442SO-Q-DB-60CR-2442</v>
      </c>
      <c r="J530" s="71"/>
      <c r="K530" s="71"/>
      <c r="L530" s="73"/>
      <c r="M530" s="80"/>
      <c r="N530" s="72"/>
      <c r="O530" s="73"/>
      <c r="P530" s="71"/>
      <c r="Q530" s="71"/>
      <c r="R530" s="100">
        <v>0.25</v>
      </c>
      <c r="S530" s="75"/>
      <c r="T530" s="91"/>
      <c r="U530" s="76">
        <f t="shared" si="180"/>
        <v>720000</v>
      </c>
      <c r="V530" s="80"/>
      <c r="W530" s="80"/>
      <c r="X530" s="80"/>
      <c r="Y530" s="98"/>
      <c r="Z530" s="80"/>
      <c r="AA530" s="80"/>
      <c r="AB530" s="80"/>
      <c r="AC530" s="72"/>
      <c r="AD530" s="77">
        <v>240000</v>
      </c>
      <c r="AE530" s="75">
        <v>240000</v>
      </c>
      <c r="AF530" s="75">
        <v>240000</v>
      </c>
      <c r="AG530" s="75">
        <v>240000</v>
      </c>
      <c r="AH530" s="75">
        <v>240000</v>
      </c>
      <c r="AI530" s="75">
        <v>240000</v>
      </c>
      <c r="AJ530" s="75">
        <v>240000</v>
      </c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10"/>
      <c r="AX530" s="10"/>
      <c r="AY530" s="19" t="s">
        <v>261</v>
      </c>
      <c r="AZ530" s="10"/>
      <c r="BA530" s="10"/>
      <c r="BB530" s="10"/>
      <c r="BC530" s="10"/>
      <c r="BD530" s="10"/>
      <c r="BE530" s="10"/>
      <c r="BF530" s="10"/>
      <c r="BG530" s="13"/>
      <c r="BH530" s="10"/>
      <c r="BI530" s="14"/>
      <c r="BJ530" s="14"/>
      <c r="BK530" s="14"/>
      <c r="BL530" s="14"/>
      <c r="BM530" s="14"/>
      <c r="BN530" s="35"/>
      <c r="BO530" s="11"/>
      <c r="BP530" s="16"/>
      <c r="BQ530" s="16"/>
      <c r="BR530" s="16"/>
      <c r="BS530" s="16"/>
      <c r="BT530" s="17">
        <f t="shared" ref="BT530:BT556" si="184">$R530*AD530</f>
        <v>60000</v>
      </c>
      <c r="BU530" s="28">
        <f t="shared" si="181"/>
        <v>60000</v>
      </c>
      <c r="BV530" s="28">
        <f t="shared" si="182"/>
        <v>60000</v>
      </c>
      <c r="BW530" s="28">
        <f t="shared" si="183"/>
        <v>60000</v>
      </c>
    </row>
    <row r="531" spans="1:75" ht="17.399999999999999" x14ac:dyDescent="0.25">
      <c r="A531" s="69">
        <f t="shared" si="167"/>
        <v>530</v>
      </c>
      <c r="B531" s="70" t="s">
        <v>67</v>
      </c>
      <c r="C531" s="71" t="s">
        <v>243</v>
      </c>
      <c r="D531" s="71" t="s">
        <v>68</v>
      </c>
      <c r="E531" s="71" t="s">
        <v>69</v>
      </c>
      <c r="F531" s="71" t="s">
        <v>70</v>
      </c>
      <c r="G531" s="71" t="s">
        <v>1914</v>
      </c>
      <c r="H531" s="71" t="s">
        <v>252</v>
      </c>
      <c r="I531" s="71" t="str">
        <f>VLOOKUP(H531,[1]Sheet1!$C:$C,1,0)</f>
        <v>SC4616UA-10.2NF-CD-90AK-4616</v>
      </c>
      <c r="J531" s="71"/>
      <c r="K531" s="71"/>
      <c r="L531" s="71"/>
      <c r="M531" s="72"/>
      <c r="N531" s="71" t="s">
        <v>60</v>
      </c>
      <c r="O531" s="73"/>
      <c r="P531" s="71"/>
      <c r="Q531" s="74"/>
      <c r="R531" s="100">
        <v>0.87</v>
      </c>
      <c r="S531" s="75">
        <f t="shared" ref="S531:S536" si="185">R531*U531</f>
        <v>52200</v>
      </c>
      <c r="T531" s="76">
        <v>160000</v>
      </c>
      <c r="U531" s="76">
        <f t="shared" si="180"/>
        <v>60000</v>
      </c>
      <c r="V531" s="72">
        <v>10000</v>
      </c>
      <c r="W531" s="72"/>
      <c r="X531" s="72">
        <v>20000</v>
      </c>
      <c r="Y531" s="72">
        <v>20000</v>
      </c>
      <c r="Z531" s="72">
        <v>20000</v>
      </c>
      <c r="AA531" s="72">
        <v>20000</v>
      </c>
      <c r="AB531" s="72">
        <v>20000</v>
      </c>
      <c r="AC531" s="72">
        <v>20000</v>
      </c>
      <c r="AD531" s="77">
        <v>20000</v>
      </c>
      <c r="AE531" s="75">
        <v>20000</v>
      </c>
      <c r="AF531" s="75">
        <v>20000</v>
      </c>
      <c r="AG531" s="75">
        <v>20000</v>
      </c>
      <c r="AH531" s="75"/>
      <c r="AI531" s="75"/>
      <c r="AJ531" s="75">
        <v>0</v>
      </c>
      <c r="AK531" s="11">
        <v>0</v>
      </c>
      <c r="AL531" s="11">
        <v>0</v>
      </c>
      <c r="AM531" s="11">
        <v>93498</v>
      </c>
      <c r="AN531" s="11">
        <v>147000</v>
      </c>
      <c r="AO531" s="11">
        <v>46999</v>
      </c>
      <c r="AP531" s="11">
        <v>121478</v>
      </c>
      <c r="AQ531" s="11">
        <v>11000</v>
      </c>
      <c r="AR531" s="11"/>
      <c r="AS531" s="11"/>
      <c r="AT531" s="11"/>
      <c r="AU531" s="11"/>
      <c r="AV531" s="11"/>
      <c r="AW531" s="10"/>
      <c r="AX531" s="10" t="s">
        <v>61</v>
      </c>
      <c r="AY531" s="19" t="s">
        <v>247</v>
      </c>
      <c r="AZ531" s="9" t="s">
        <v>248</v>
      </c>
      <c r="BA531" s="10"/>
      <c r="BB531" s="10"/>
      <c r="BC531" s="10"/>
      <c r="BD531" s="10"/>
      <c r="BE531" s="10"/>
      <c r="BF531" s="10"/>
      <c r="BG531" s="13"/>
      <c r="BH531" s="14"/>
      <c r="BI531" s="14"/>
      <c r="BJ531" s="14"/>
      <c r="BK531" s="14"/>
      <c r="BL531" s="14"/>
      <c r="BM531" s="14"/>
      <c r="BN531" s="15"/>
      <c r="BO531" s="11"/>
      <c r="BP531" s="16">
        <f t="shared" ref="BP531:BS536" si="186">$R531*Z531</f>
        <v>17400</v>
      </c>
      <c r="BQ531" s="16">
        <f t="shared" si="186"/>
        <v>17400</v>
      </c>
      <c r="BR531" s="16">
        <f t="shared" si="186"/>
        <v>17400</v>
      </c>
      <c r="BS531" s="16">
        <f t="shared" si="186"/>
        <v>17400</v>
      </c>
      <c r="BT531" s="17">
        <f t="shared" si="184"/>
        <v>17400</v>
      </c>
      <c r="BU531" s="28">
        <f t="shared" si="181"/>
        <v>17400</v>
      </c>
      <c r="BV531" s="28">
        <f t="shared" si="182"/>
        <v>17400</v>
      </c>
      <c r="BW531" s="28">
        <f t="shared" si="183"/>
        <v>17400</v>
      </c>
    </row>
    <row r="532" spans="1:75" ht="17.399999999999999" x14ac:dyDescent="0.25">
      <c r="A532" s="69">
        <f t="shared" si="167"/>
        <v>531</v>
      </c>
      <c r="B532" s="70" t="s">
        <v>1112</v>
      </c>
      <c r="C532" s="71" t="s">
        <v>290</v>
      </c>
      <c r="D532" s="70" t="s">
        <v>1112</v>
      </c>
      <c r="E532" s="71" t="s">
        <v>1070</v>
      </c>
      <c r="F532" s="71"/>
      <c r="G532" s="71" t="s">
        <v>1087</v>
      </c>
      <c r="H532" s="71" t="s">
        <v>1088</v>
      </c>
      <c r="I532" s="71" t="str">
        <f>VLOOKUP(H532,[1]Sheet1!$C:$C,1,0)</f>
        <v>TRVE1430Q1CA3R5-1430Q</v>
      </c>
      <c r="J532" s="87"/>
      <c r="K532" s="87"/>
      <c r="L532" s="71"/>
      <c r="M532" s="71" t="s">
        <v>1089</v>
      </c>
      <c r="N532" s="72">
        <v>2000000</v>
      </c>
      <c r="O532" s="73" t="s">
        <v>1113</v>
      </c>
      <c r="P532" s="71" t="s">
        <v>1091</v>
      </c>
      <c r="Q532" s="74">
        <v>0.9</v>
      </c>
      <c r="R532" s="100">
        <v>0.8</v>
      </c>
      <c r="S532" s="75">
        <f t="shared" si="185"/>
        <v>0</v>
      </c>
      <c r="T532" s="76">
        <v>416000</v>
      </c>
      <c r="U532" s="76">
        <f t="shared" si="180"/>
        <v>0</v>
      </c>
      <c r="V532" s="72">
        <v>0</v>
      </c>
      <c r="W532" s="72">
        <v>0</v>
      </c>
      <c r="X532" s="72">
        <v>1000</v>
      </c>
      <c r="Y532" s="72">
        <v>1000</v>
      </c>
      <c r="Z532" s="72">
        <v>10000</v>
      </c>
      <c r="AA532" s="72">
        <v>10000</v>
      </c>
      <c r="AB532" s="72">
        <v>50000</v>
      </c>
      <c r="AC532" s="72">
        <v>50000</v>
      </c>
      <c r="AD532" s="77">
        <v>100000</v>
      </c>
      <c r="AE532" s="75"/>
      <c r="AF532" s="75"/>
      <c r="AG532" s="75"/>
      <c r="AH532" s="75"/>
      <c r="AI532" s="75"/>
      <c r="AJ532" s="75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19" t="s">
        <v>1092</v>
      </c>
      <c r="AX532" s="19" t="s">
        <v>85</v>
      </c>
      <c r="AY532" s="19" t="s">
        <v>690</v>
      </c>
      <c r="AZ532" s="18" t="s">
        <v>62</v>
      </c>
      <c r="BA532" s="19" t="s">
        <v>1075</v>
      </c>
      <c r="BB532" s="19" t="s">
        <v>1093</v>
      </c>
      <c r="BC532" s="19"/>
      <c r="BD532" s="19" t="s">
        <v>1114</v>
      </c>
      <c r="BE532" s="19"/>
      <c r="BF532" s="19"/>
      <c r="BG532" s="24">
        <v>1</v>
      </c>
      <c r="BH532" s="25"/>
      <c r="BI532" s="25">
        <v>45219</v>
      </c>
      <c r="BJ532" s="25">
        <v>45224</v>
      </c>
      <c r="BK532" s="25">
        <v>45324</v>
      </c>
      <c r="BL532" s="25">
        <v>45718</v>
      </c>
      <c r="BM532" s="25">
        <v>45779</v>
      </c>
      <c r="BN532" s="26" t="s">
        <v>1073</v>
      </c>
      <c r="BO532" s="27"/>
      <c r="BP532" s="27">
        <f t="shared" si="186"/>
        <v>8000</v>
      </c>
      <c r="BQ532" s="27">
        <f t="shared" si="186"/>
        <v>8000</v>
      </c>
      <c r="BR532" s="27">
        <f t="shared" si="186"/>
        <v>40000</v>
      </c>
      <c r="BS532" s="27">
        <f t="shared" si="186"/>
        <v>40000</v>
      </c>
      <c r="BT532" s="28">
        <f t="shared" si="184"/>
        <v>80000</v>
      </c>
      <c r="BU532" s="28">
        <f t="shared" si="181"/>
        <v>0</v>
      </c>
      <c r="BV532" s="28">
        <f t="shared" si="182"/>
        <v>0</v>
      </c>
      <c r="BW532" s="28">
        <f t="shared" si="183"/>
        <v>0</v>
      </c>
    </row>
    <row r="533" spans="1:75" ht="17.399999999999999" x14ac:dyDescent="0.25">
      <c r="A533" s="69">
        <f t="shared" si="167"/>
        <v>532</v>
      </c>
      <c r="B533" s="70" t="s">
        <v>74</v>
      </c>
      <c r="C533" s="71" t="s">
        <v>243</v>
      </c>
      <c r="D533" s="71"/>
      <c r="E533" s="71" t="s">
        <v>69</v>
      </c>
      <c r="F533" s="71"/>
      <c r="G533" s="71" t="s">
        <v>255</v>
      </c>
      <c r="H533" s="71" t="s">
        <v>256</v>
      </c>
      <c r="I533" s="71" t="str">
        <f>VLOOKUP(H533,[1]Sheet1!$C:$C,1,0)</f>
        <v>SC69401DC-Q-HD-4XCR-69401</v>
      </c>
      <c r="J533" s="71"/>
      <c r="K533" s="71"/>
      <c r="L533" s="71" t="s">
        <v>76</v>
      </c>
      <c r="M533" s="72"/>
      <c r="N533" s="71" t="s">
        <v>49</v>
      </c>
      <c r="O533" s="73"/>
      <c r="P533" s="71"/>
      <c r="Q533" s="74"/>
      <c r="R533" s="100"/>
      <c r="S533" s="75">
        <f t="shared" si="185"/>
        <v>0</v>
      </c>
      <c r="T533" s="76">
        <v>0</v>
      </c>
      <c r="U533" s="76">
        <f t="shared" si="180"/>
        <v>0</v>
      </c>
      <c r="V533" s="72"/>
      <c r="W533" s="72"/>
      <c r="X533" s="72"/>
      <c r="Y533" s="72"/>
      <c r="Z533" s="72"/>
      <c r="AA533" s="72"/>
      <c r="AB533" s="72"/>
      <c r="AC533" s="72"/>
      <c r="AD533" s="77"/>
      <c r="AE533" s="75"/>
      <c r="AF533" s="75"/>
      <c r="AG533" s="75"/>
      <c r="AH533" s="75">
        <v>0</v>
      </c>
      <c r="AI533" s="75"/>
      <c r="AJ533" s="75">
        <v>0</v>
      </c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0"/>
      <c r="AX533" s="10" t="s">
        <v>61</v>
      </c>
      <c r="AY533" s="19" t="s">
        <v>371</v>
      </c>
      <c r="AZ533" s="9" t="s">
        <v>248</v>
      </c>
      <c r="BA533" s="10" t="s">
        <v>77</v>
      </c>
      <c r="BB533" s="10" t="s">
        <v>78</v>
      </c>
      <c r="BC533" s="10" t="s">
        <v>79</v>
      </c>
      <c r="BD533" s="10"/>
      <c r="BE533" s="10"/>
      <c r="BF533" s="10"/>
      <c r="BG533" s="13"/>
      <c r="BH533" s="14"/>
      <c r="BI533" s="14"/>
      <c r="BJ533" s="14"/>
      <c r="BK533" s="14"/>
      <c r="BL533" s="14"/>
      <c r="BM533" s="14"/>
      <c r="BN533" s="15"/>
      <c r="BO533" s="11"/>
      <c r="BP533" s="16">
        <f t="shared" si="186"/>
        <v>0</v>
      </c>
      <c r="BQ533" s="16">
        <f t="shared" si="186"/>
        <v>0</v>
      </c>
      <c r="BR533" s="16">
        <f t="shared" si="186"/>
        <v>0</v>
      </c>
      <c r="BS533" s="16">
        <f t="shared" si="186"/>
        <v>0</v>
      </c>
      <c r="BT533" s="17">
        <f t="shared" si="184"/>
        <v>0</v>
      </c>
      <c r="BU533" s="28">
        <f t="shared" si="181"/>
        <v>0</v>
      </c>
      <c r="BV533" s="28">
        <f t="shared" si="182"/>
        <v>0</v>
      </c>
      <c r="BW533" s="28">
        <f t="shared" si="183"/>
        <v>0</v>
      </c>
    </row>
    <row r="534" spans="1:75" ht="17.399999999999999" customHeight="1" x14ac:dyDescent="0.25">
      <c r="A534" s="69">
        <f t="shared" si="167"/>
        <v>533</v>
      </c>
      <c r="B534" s="70" t="s">
        <v>80</v>
      </c>
      <c r="C534" s="71" t="s">
        <v>243</v>
      </c>
      <c r="D534" s="71"/>
      <c r="E534" s="71" t="s">
        <v>69</v>
      </c>
      <c r="F534" s="71"/>
      <c r="G534" s="71" t="s">
        <v>257</v>
      </c>
      <c r="H534" s="71" t="s">
        <v>1986</v>
      </c>
      <c r="I534" s="71" t="str">
        <f>VLOOKUP(H534,[1]Sheet1!$C:$C,1,0)</f>
        <v>SC2498TSO-Q-DB-60CR-2498T</v>
      </c>
      <c r="J534" s="71"/>
      <c r="K534" s="71"/>
      <c r="L534" s="71" t="s">
        <v>82</v>
      </c>
      <c r="M534" s="72">
        <v>1000000</v>
      </c>
      <c r="N534" s="71" t="s">
        <v>49</v>
      </c>
      <c r="O534" s="73"/>
      <c r="P534" s="71" t="s">
        <v>83</v>
      </c>
      <c r="Q534" s="74"/>
      <c r="R534" s="100"/>
      <c r="S534" s="75">
        <f t="shared" si="185"/>
        <v>0</v>
      </c>
      <c r="T534" s="76">
        <v>0</v>
      </c>
      <c r="U534" s="76">
        <f t="shared" si="180"/>
        <v>0</v>
      </c>
      <c r="V534" s="72"/>
      <c r="W534" s="72"/>
      <c r="X534" s="72"/>
      <c r="Y534" s="72"/>
      <c r="Z534" s="72"/>
      <c r="AA534" s="72"/>
      <c r="AB534" s="72"/>
      <c r="AC534" s="72"/>
      <c r="AD534" s="77"/>
      <c r="AE534" s="75"/>
      <c r="AF534" s="75"/>
      <c r="AG534" s="75"/>
      <c r="AH534" s="75">
        <v>0</v>
      </c>
      <c r="AI534" s="75"/>
      <c r="AJ534" s="75">
        <v>0</v>
      </c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19" t="s">
        <v>84</v>
      </c>
      <c r="AX534" s="19" t="s">
        <v>61</v>
      </c>
      <c r="AY534" s="19" t="s">
        <v>261</v>
      </c>
      <c r="AZ534" s="18" t="s">
        <v>62</v>
      </c>
      <c r="BA534" s="19" t="s">
        <v>86</v>
      </c>
      <c r="BB534" s="19" t="s">
        <v>87</v>
      </c>
      <c r="BC534" s="19" t="s">
        <v>88</v>
      </c>
      <c r="BD534" s="19"/>
      <c r="BE534" s="19"/>
      <c r="BF534" s="19"/>
      <c r="BG534" s="24"/>
      <c r="BH534" s="25"/>
      <c r="BI534" s="25"/>
      <c r="BJ534" s="25"/>
      <c r="BK534" s="25"/>
      <c r="BL534" s="25"/>
      <c r="BM534" s="25"/>
      <c r="BN534" s="26"/>
      <c r="BO534" s="21"/>
      <c r="BP534" s="27">
        <f t="shared" si="186"/>
        <v>0</v>
      </c>
      <c r="BQ534" s="27">
        <f t="shared" si="186"/>
        <v>0</v>
      </c>
      <c r="BR534" s="27">
        <f t="shared" si="186"/>
        <v>0</v>
      </c>
      <c r="BS534" s="27">
        <f t="shared" si="186"/>
        <v>0</v>
      </c>
      <c r="BT534" s="28">
        <f t="shared" si="184"/>
        <v>0</v>
      </c>
      <c r="BU534" s="28">
        <f t="shared" si="181"/>
        <v>0</v>
      </c>
      <c r="BV534" s="28">
        <f t="shared" si="182"/>
        <v>0</v>
      </c>
      <c r="BW534" s="28">
        <f t="shared" si="183"/>
        <v>0</v>
      </c>
    </row>
    <row r="535" spans="1:75" ht="17.399999999999999" x14ac:dyDescent="0.25">
      <c r="A535" s="69">
        <f t="shared" si="167"/>
        <v>534</v>
      </c>
      <c r="B535" s="70" t="s">
        <v>89</v>
      </c>
      <c r="C535" s="71" t="s">
        <v>243</v>
      </c>
      <c r="D535" s="71" t="s">
        <v>90</v>
      </c>
      <c r="E535" s="71" t="s">
        <v>69</v>
      </c>
      <c r="F535" s="71" t="s">
        <v>91</v>
      </c>
      <c r="G535" s="71" t="s">
        <v>259</v>
      </c>
      <c r="H535" s="71" t="s">
        <v>260</v>
      </c>
      <c r="I535" s="71" t="str">
        <f>VLOOKUP(H535,[1]Sheet1!$C:$C,1,0)</f>
        <v>SC2498SO-Q-DB-60CR-2498</v>
      </c>
      <c r="J535" s="71"/>
      <c r="K535" s="71"/>
      <c r="L535" s="71" t="s">
        <v>93</v>
      </c>
      <c r="M535" s="72">
        <v>500000</v>
      </c>
      <c r="N535" s="71" t="s">
        <v>94</v>
      </c>
      <c r="O535" s="73"/>
      <c r="P535" s="71" t="s">
        <v>95</v>
      </c>
      <c r="Q535" s="74"/>
      <c r="R535" s="100">
        <v>0.57999999999999996</v>
      </c>
      <c r="S535" s="75">
        <f t="shared" si="185"/>
        <v>0</v>
      </c>
      <c r="T535" s="76">
        <v>0</v>
      </c>
      <c r="U535" s="76">
        <f t="shared" si="180"/>
        <v>0</v>
      </c>
      <c r="V535" s="72"/>
      <c r="W535" s="72">
        <v>1000</v>
      </c>
      <c r="X535" s="72"/>
      <c r="Y535" s="72"/>
      <c r="Z535" s="72"/>
      <c r="AA535" s="72"/>
      <c r="AB535" s="72"/>
      <c r="AC535" s="72"/>
      <c r="AD535" s="77"/>
      <c r="AE535" s="75"/>
      <c r="AF535" s="75"/>
      <c r="AG535" s="75"/>
      <c r="AH535" s="75">
        <v>0</v>
      </c>
      <c r="AI535" s="75"/>
      <c r="AJ535" s="75">
        <v>0</v>
      </c>
      <c r="AK535" s="11">
        <v>0</v>
      </c>
      <c r="AL535" s="11">
        <v>0</v>
      </c>
      <c r="AM535" s="11">
        <v>0</v>
      </c>
      <c r="AN535" s="11">
        <v>0</v>
      </c>
      <c r="AO535" s="11">
        <v>250</v>
      </c>
      <c r="AP535" s="11">
        <v>0</v>
      </c>
      <c r="AQ535" s="11">
        <v>0</v>
      </c>
      <c r="AR535" s="11"/>
      <c r="AS535" s="11"/>
      <c r="AT535" s="11"/>
      <c r="AU535" s="11"/>
      <c r="AV535" s="11"/>
      <c r="AW535" s="10" t="s">
        <v>84</v>
      </c>
      <c r="AX535" s="10" t="s">
        <v>61</v>
      </c>
      <c r="AY535" s="19" t="s">
        <v>261</v>
      </c>
      <c r="AZ535" s="9" t="s">
        <v>62</v>
      </c>
      <c r="BA535" s="10" t="s">
        <v>96</v>
      </c>
      <c r="BB535" s="10" t="s">
        <v>97</v>
      </c>
      <c r="BC535" s="10"/>
      <c r="BD535" s="10" t="s">
        <v>98</v>
      </c>
      <c r="BE535" s="10"/>
      <c r="BF535" s="10"/>
      <c r="BG535" s="13">
        <v>0</v>
      </c>
      <c r="BH535" s="14"/>
      <c r="BI535" s="14"/>
      <c r="BJ535" s="14"/>
      <c r="BK535" s="14"/>
      <c r="BL535" s="14"/>
      <c r="BM535" s="14"/>
      <c r="BN535" s="15"/>
      <c r="BO535" s="11"/>
      <c r="BP535" s="16">
        <f t="shared" si="186"/>
        <v>0</v>
      </c>
      <c r="BQ535" s="16">
        <f t="shared" si="186"/>
        <v>0</v>
      </c>
      <c r="BR535" s="16">
        <f t="shared" si="186"/>
        <v>0</v>
      </c>
      <c r="BS535" s="16">
        <f t="shared" si="186"/>
        <v>0</v>
      </c>
      <c r="BT535" s="17">
        <f t="shared" si="184"/>
        <v>0</v>
      </c>
      <c r="BU535" s="28">
        <f t="shared" si="181"/>
        <v>0</v>
      </c>
      <c r="BV535" s="28">
        <f t="shared" si="182"/>
        <v>0</v>
      </c>
      <c r="BW535" s="28">
        <f t="shared" si="183"/>
        <v>0</v>
      </c>
    </row>
    <row r="536" spans="1:75" ht="17.399999999999999" x14ac:dyDescent="0.25">
      <c r="A536" s="69">
        <f t="shared" si="167"/>
        <v>535</v>
      </c>
      <c r="B536" s="70" t="s">
        <v>99</v>
      </c>
      <c r="C536" s="71" t="s">
        <v>243</v>
      </c>
      <c r="D536" s="71" t="s">
        <v>262</v>
      </c>
      <c r="E536" s="71" t="s">
        <v>69</v>
      </c>
      <c r="F536" s="71" t="s">
        <v>100</v>
      </c>
      <c r="G536" s="71" t="s">
        <v>263</v>
      </c>
      <c r="H536" s="71" t="s">
        <v>264</v>
      </c>
      <c r="I536" s="71" t="str">
        <f>VLOOKUP(H536,[1]Sheet1!$C:$C,1,0)</f>
        <v>SC2442SO-Q-DB-60CR-2442</v>
      </c>
      <c r="J536" s="71"/>
      <c r="K536" s="71"/>
      <c r="L536" s="71" t="s">
        <v>101</v>
      </c>
      <c r="M536" s="72">
        <v>10000000</v>
      </c>
      <c r="N536" s="71" t="s">
        <v>94</v>
      </c>
      <c r="O536" s="73"/>
      <c r="P536" s="71" t="s">
        <v>102</v>
      </c>
      <c r="Q536" s="74">
        <v>0.3</v>
      </c>
      <c r="R536" s="100">
        <v>0.2</v>
      </c>
      <c r="S536" s="75">
        <f t="shared" si="185"/>
        <v>2000</v>
      </c>
      <c r="T536" s="76">
        <v>8000</v>
      </c>
      <c r="U536" s="76">
        <f t="shared" si="180"/>
        <v>10000</v>
      </c>
      <c r="V536" s="72"/>
      <c r="W536" s="72"/>
      <c r="X536" s="72"/>
      <c r="Y536" s="72"/>
      <c r="Z536" s="72"/>
      <c r="AA536" s="72"/>
      <c r="AB536" s="72"/>
      <c r="AC536" s="72"/>
      <c r="AD536" s="77"/>
      <c r="AE536" s="75"/>
      <c r="AF536" s="75"/>
      <c r="AG536" s="75">
        <v>10000</v>
      </c>
      <c r="AH536" s="75">
        <v>10000</v>
      </c>
      <c r="AI536" s="75">
        <v>10000</v>
      </c>
      <c r="AJ536" s="75">
        <v>10000</v>
      </c>
      <c r="AK536" s="21">
        <v>0</v>
      </c>
      <c r="AL536" s="21">
        <v>0</v>
      </c>
      <c r="AM536" s="21">
        <v>0</v>
      </c>
      <c r="AN536" s="21">
        <v>0</v>
      </c>
      <c r="AO536" s="21">
        <v>0</v>
      </c>
      <c r="AP536" s="21">
        <v>0</v>
      </c>
      <c r="AQ536" s="21">
        <v>0</v>
      </c>
      <c r="AR536" s="21"/>
      <c r="AS536" s="21"/>
      <c r="AT536" s="21"/>
      <c r="AU536" s="21"/>
      <c r="AV536" s="21"/>
      <c r="AW536" s="19" t="s">
        <v>103</v>
      </c>
      <c r="AX536" s="19" t="s">
        <v>61</v>
      </c>
      <c r="AY536" s="19" t="s">
        <v>261</v>
      </c>
      <c r="AZ536" s="18" t="s">
        <v>62</v>
      </c>
      <c r="BA536" s="19" t="s">
        <v>86</v>
      </c>
      <c r="BB536" s="19" t="s">
        <v>87</v>
      </c>
      <c r="BC536" s="19" t="s">
        <v>104</v>
      </c>
      <c r="BD536" s="19"/>
      <c r="BE536" s="19"/>
      <c r="BF536" s="19"/>
      <c r="BG536" s="24">
        <v>0</v>
      </c>
      <c r="BH536" s="25"/>
      <c r="BI536" s="25"/>
      <c r="BJ536" s="25"/>
      <c r="BK536" s="25"/>
      <c r="BL536" s="25"/>
      <c r="BM536" s="25"/>
      <c r="BN536" s="26"/>
      <c r="BO536" s="21"/>
      <c r="BP536" s="27">
        <f t="shared" si="186"/>
        <v>0</v>
      </c>
      <c r="BQ536" s="27">
        <f t="shared" si="186"/>
        <v>0</v>
      </c>
      <c r="BR536" s="27">
        <f t="shared" si="186"/>
        <v>0</v>
      </c>
      <c r="BS536" s="27">
        <f t="shared" si="186"/>
        <v>0</v>
      </c>
      <c r="BT536" s="28">
        <f t="shared" si="184"/>
        <v>0</v>
      </c>
      <c r="BU536" s="28">
        <f t="shared" si="181"/>
        <v>0</v>
      </c>
      <c r="BV536" s="28">
        <f t="shared" si="182"/>
        <v>0</v>
      </c>
      <c r="BW536" s="28">
        <f t="shared" si="183"/>
        <v>2000</v>
      </c>
    </row>
    <row r="537" spans="1:75" ht="17.399999999999999" x14ac:dyDescent="0.25">
      <c r="A537" s="69">
        <f t="shared" si="167"/>
        <v>536</v>
      </c>
      <c r="B537" s="73" t="s">
        <v>1789</v>
      </c>
      <c r="C537" s="73" t="s">
        <v>149</v>
      </c>
      <c r="D537" s="71" t="s">
        <v>460</v>
      </c>
      <c r="E537" s="71" t="s">
        <v>461</v>
      </c>
      <c r="F537" s="71" t="s">
        <v>462</v>
      </c>
      <c r="G537" s="71" t="s">
        <v>1087</v>
      </c>
      <c r="H537" s="71" t="s">
        <v>1847</v>
      </c>
      <c r="I537" s="71" t="str">
        <f>VLOOKUP(H537,[1]Sheet1!$C:$C,1,0)</f>
        <v>TRVE1430Q1CA3R5-1430Q</v>
      </c>
      <c r="J537" s="71"/>
      <c r="K537" s="71"/>
      <c r="L537" s="73"/>
      <c r="M537" s="80"/>
      <c r="N537" s="72"/>
      <c r="O537" s="73"/>
      <c r="P537" s="71"/>
      <c r="Q537" s="71"/>
      <c r="R537" s="100">
        <v>0.62</v>
      </c>
      <c r="S537" s="75"/>
      <c r="T537" s="91"/>
      <c r="U537" s="76">
        <f t="shared" si="180"/>
        <v>1500</v>
      </c>
      <c r="V537" s="80"/>
      <c r="W537" s="80"/>
      <c r="X537" s="80"/>
      <c r="Y537" s="72"/>
      <c r="Z537" s="72"/>
      <c r="AA537" s="72"/>
      <c r="AB537" s="72"/>
      <c r="AC537" s="72"/>
      <c r="AD537" s="77">
        <v>500</v>
      </c>
      <c r="AE537" s="75">
        <v>500</v>
      </c>
      <c r="AF537" s="75">
        <v>500</v>
      </c>
      <c r="AG537" s="75">
        <v>500</v>
      </c>
      <c r="AH537" s="75">
        <v>500</v>
      </c>
      <c r="AI537" s="75">
        <v>500</v>
      </c>
      <c r="AJ537" s="75">
        <v>500</v>
      </c>
      <c r="AK537" s="33"/>
      <c r="AL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19"/>
      <c r="AX537" s="19" t="s">
        <v>494</v>
      </c>
      <c r="AY537" s="19" t="s">
        <v>690</v>
      </c>
      <c r="AZ537" s="19"/>
      <c r="BA537" s="19"/>
      <c r="BB537" s="19"/>
      <c r="BC537" s="19"/>
      <c r="BD537" s="19"/>
      <c r="BE537" s="19"/>
      <c r="BF537" s="19"/>
      <c r="BG537" s="24"/>
      <c r="BH537" s="19"/>
      <c r="BI537" s="25"/>
      <c r="BJ537" s="25"/>
      <c r="BK537" s="25"/>
      <c r="BL537" s="25"/>
      <c r="BM537" s="25"/>
      <c r="BN537" s="37"/>
      <c r="BO537" s="21"/>
      <c r="BP537" s="27"/>
      <c r="BQ537" s="27"/>
      <c r="BR537" s="27"/>
      <c r="BS537" s="27">
        <f t="shared" ref="BS537:BS556" si="187">$R537*AC537</f>
        <v>0</v>
      </c>
      <c r="BT537" s="28">
        <f t="shared" si="184"/>
        <v>310</v>
      </c>
      <c r="BU537" s="28">
        <f t="shared" si="181"/>
        <v>310</v>
      </c>
      <c r="BV537" s="28">
        <f t="shared" si="182"/>
        <v>310</v>
      </c>
      <c r="BW537" s="28">
        <f t="shared" si="183"/>
        <v>310</v>
      </c>
    </row>
    <row r="538" spans="1:75" ht="17.399999999999999" x14ac:dyDescent="0.25">
      <c r="A538" s="69">
        <f t="shared" si="167"/>
        <v>537</v>
      </c>
      <c r="B538" s="70" t="s">
        <v>105</v>
      </c>
      <c r="C538" s="71" t="s">
        <v>235</v>
      </c>
      <c r="D538" s="71" t="s">
        <v>107</v>
      </c>
      <c r="E538" s="71" t="s">
        <v>69</v>
      </c>
      <c r="F538" s="71" t="s">
        <v>108</v>
      </c>
      <c r="G538" s="71" t="s">
        <v>269</v>
      </c>
      <c r="H538" s="71" t="s">
        <v>270</v>
      </c>
      <c r="I538" s="71" t="str">
        <f>VLOOKUP(H538,[1]Sheet1!$C:$C,1,0)</f>
        <v>SC2438SO-CM-10CR-2438</v>
      </c>
      <c r="J538" s="71"/>
      <c r="K538" s="71"/>
      <c r="L538" s="71" t="s">
        <v>109</v>
      </c>
      <c r="M538" s="72">
        <v>400000</v>
      </c>
      <c r="N538" s="71" t="s">
        <v>110</v>
      </c>
      <c r="O538" s="73"/>
      <c r="P538" s="71" t="s">
        <v>111</v>
      </c>
      <c r="Q538" s="74"/>
      <c r="R538" s="100">
        <v>0.52</v>
      </c>
      <c r="S538" s="75">
        <f t="shared" ref="S538:S556" si="188">R538*U538</f>
        <v>7800</v>
      </c>
      <c r="T538" s="76">
        <v>39000</v>
      </c>
      <c r="U538" s="76">
        <f t="shared" si="180"/>
        <v>15000</v>
      </c>
      <c r="V538" s="72">
        <v>45000</v>
      </c>
      <c r="W538" s="72">
        <v>45000</v>
      </c>
      <c r="X538" s="72">
        <v>0</v>
      </c>
      <c r="Y538" s="72">
        <v>15000</v>
      </c>
      <c r="Z538" s="72">
        <v>15000</v>
      </c>
      <c r="AA538" s="72">
        <v>15000</v>
      </c>
      <c r="AB538" s="72">
        <v>15000</v>
      </c>
      <c r="AC538" s="72">
        <v>27000</v>
      </c>
      <c r="AD538" s="77">
        <v>15000</v>
      </c>
      <c r="AE538" s="75"/>
      <c r="AF538" s="75"/>
      <c r="AG538" s="75">
        <v>15000</v>
      </c>
      <c r="AH538" s="75">
        <v>0</v>
      </c>
      <c r="AI538" s="75">
        <v>15000</v>
      </c>
      <c r="AJ538" s="75">
        <v>15000</v>
      </c>
      <c r="AK538" s="21">
        <v>0</v>
      </c>
      <c r="AL538" s="21">
        <v>0</v>
      </c>
      <c r="AM538" s="21">
        <v>0</v>
      </c>
      <c r="AN538" s="21">
        <v>21000</v>
      </c>
      <c r="AO538" s="21">
        <v>36000</v>
      </c>
      <c r="AP538" s="21">
        <v>69000</v>
      </c>
      <c r="AQ538" s="21">
        <v>0</v>
      </c>
      <c r="AR538" s="21"/>
      <c r="AS538" s="21"/>
      <c r="AT538" s="21"/>
      <c r="AU538" s="21"/>
      <c r="AV538" s="21"/>
      <c r="AW538" s="19" t="s">
        <v>103</v>
      </c>
      <c r="AX538" s="19" t="s">
        <v>61</v>
      </c>
      <c r="AY538" s="19" t="s">
        <v>261</v>
      </c>
      <c r="AZ538" s="18" t="s">
        <v>62</v>
      </c>
      <c r="BA538" s="19" t="s">
        <v>96</v>
      </c>
      <c r="BB538" s="19" t="s">
        <v>97</v>
      </c>
      <c r="BC538" s="19"/>
      <c r="BD538" s="19"/>
      <c r="BE538" s="19"/>
      <c r="BF538" s="19"/>
      <c r="BG538" s="24">
        <v>1</v>
      </c>
      <c r="BH538" s="25"/>
      <c r="BI538" s="25"/>
      <c r="BJ538" s="25"/>
      <c r="BK538" s="25"/>
      <c r="BL538" s="25"/>
      <c r="BM538" s="25"/>
      <c r="BN538" s="26"/>
      <c r="BO538" s="21"/>
      <c r="BP538" s="27">
        <f t="shared" ref="BP538:BP556" si="189">$R538*Z538</f>
        <v>7800</v>
      </c>
      <c r="BQ538" s="27">
        <f t="shared" ref="BQ538:BQ556" si="190">$R538*AA538</f>
        <v>7800</v>
      </c>
      <c r="BR538" s="27">
        <f t="shared" ref="BR538:BR556" si="191">$R538*AB538</f>
        <v>7800</v>
      </c>
      <c r="BS538" s="27">
        <f t="shared" si="187"/>
        <v>14040</v>
      </c>
      <c r="BT538" s="28">
        <f t="shared" si="184"/>
        <v>7800</v>
      </c>
      <c r="BU538" s="28">
        <f t="shared" si="181"/>
        <v>0</v>
      </c>
      <c r="BV538" s="28">
        <f t="shared" si="182"/>
        <v>0</v>
      </c>
      <c r="BW538" s="28">
        <f t="shared" si="183"/>
        <v>7800</v>
      </c>
    </row>
    <row r="539" spans="1:75" ht="17.399999999999999" x14ac:dyDescent="0.25">
      <c r="A539" s="69">
        <f t="shared" si="167"/>
        <v>538</v>
      </c>
      <c r="B539" s="70" t="s">
        <v>105</v>
      </c>
      <c r="C539" s="71" t="s">
        <v>235</v>
      </c>
      <c r="D539" s="71" t="s">
        <v>107</v>
      </c>
      <c r="E539" s="71" t="s">
        <v>69</v>
      </c>
      <c r="F539" s="71" t="s">
        <v>108</v>
      </c>
      <c r="G539" s="78" t="s">
        <v>271</v>
      </c>
      <c r="H539" s="71" t="s">
        <v>272</v>
      </c>
      <c r="I539" s="71" t="str">
        <f>VLOOKUP(H539,[1]Sheet1!$C:$C,1,0)</f>
        <v>SC2434SO-N-CI-10CR-2434</v>
      </c>
      <c r="J539" s="78"/>
      <c r="K539" s="78"/>
      <c r="L539" s="71" t="s">
        <v>112</v>
      </c>
      <c r="M539" s="72">
        <v>400000</v>
      </c>
      <c r="N539" s="71" t="s">
        <v>113</v>
      </c>
      <c r="O539" s="73"/>
      <c r="P539" s="71" t="s">
        <v>114</v>
      </c>
      <c r="Q539" s="74"/>
      <c r="R539" s="100">
        <v>0.52</v>
      </c>
      <c r="S539" s="75">
        <f t="shared" si="188"/>
        <v>0</v>
      </c>
      <c r="T539" s="76">
        <v>3120</v>
      </c>
      <c r="U539" s="76">
        <f t="shared" si="180"/>
        <v>0</v>
      </c>
      <c r="V539" s="72"/>
      <c r="W539" s="72"/>
      <c r="X539" s="72"/>
      <c r="Y539" s="72"/>
      <c r="Z539" s="72"/>
      <c r="AA539" s="72"/>
      <c r="AB539" s="72">
        <v>6000</v>
      </c>
      <c r="AC539" s="72"/>
      <c r="AD539" s="77"/>
      <c r="AE539" s="75"/>
      <c r="AF539" s="75"/>
      <c r="AG539" s="75"/>
      <c r="AH539" s="75">
        <v>0</v>
      </c>
      <c r="AI539" s="75"/>
      <c r="AJ539" s="75">
        <v>0</v>
      </c>
      <c r="AK539" s="11">
        <v>0</v>
      </c>
      <c r="AL539" s="11">
        <v>0</v>
      </c>
      <c r="AM539" s="11">
        <v>0</v>
      </c>
      <c r="AN539" s="11">
        <v>0</v>
      </c>
      <c r="AO539" s="11">
        <v>0</v>
      </c>
      <c r="AP539" s="11">
        <v>0</v>
      </c>
      <c r="AQ539" s="11">
        <v>0</v>
      </c>
      <c r="AR539" s="11"/>
      <c r="AS539" s="11"/>
      <c r="AT539" s="11"/>
      <c r="AU539" s="11"/>
      <c r="AV539" s="11"/>
      <c r="AW539" s="10" t="s">
        <v>103</v>
      </c>
      <c r="AX539" s="10" t="s">
        <v>61</v>
      </c>
      <c r="AY539" s="19" t="s">
        <v>261</v>
      </c>
      <c r="AZ539" s="9" t="s">
        <v>115</v>
      </c>
      <c r="BA539" s="10" t="s">
        <v>116</v>
      </c>
      <c r="BB539" s="10" t="s">
        <v>117</v>
      </c>
      <c r="BC539" s="10"/>
      <c r="BD539" s="10"/>
      <c r="BE539" s="10"/>
      <c r="BF539" s="10"/>
      <c r="BG539" s="13">
        <v>3</v>
      </c>
      <c r="BH539" s="14"/>
      <c r="BI539" s="14"/>
      <c r="BJ539" s="14"/>
      <c r="BK539" s="14"/>
      <c r="BL539" s="14"/>
      <c r="BM539" s="14"/>
      <c r="BN539" s="15"/>
      <c r="BO539" s="11"/>
      <c r="BP539" s="16">
        <f t="shared" si="189"/>
        <v>0</v>
      </c>
      <c r="BQ539" s="16">
        <f t="shared" si="190"/>
        <v>0</v>
      </c>
      <c r="BR539" s="16">
        <f t="shared" si="191"/>
        <v>3120</v>
      </c>
      <c r="BS539" s="16">
        <f t="shared" si="187"/>
        <v>0</v>
      </c>
      <c r="BT539" s="17">
        <f t="shared" si="184"/>
        <v>0</v>
      </c>
      <c r="BU539" s="28">
        <f t="shared" si="181"/>
        <v>0</v>
      </c>
      <c r="BV539" s="28">
        <f t="shared" si="182"/>
        <v>0</v>
      </c>
      <c r="BW539" s="28">
        <f t="shared" si="183"/>
        <v>0</v>
      </c>
    </row>
    <row r="540" spans="1:75" ht="17.399999999999999" x14ac:dyDescent="0.25">
      <c r="A540" s="69">
        <f t="shared" si="167"/>
        <v>539</v>
      </c>
      <c r="B540" s="70" t="s">
        <v>105</v>
      </c>
      <c r="C540" s="71" t="s">
        <v>235</v>
      </c>
      <c r="D540" s="71" t="s">
        <v>107</v>
      </c>
      <c r="E540" s="71" t="s">
        <v>69</v>
      </c>
      <c r="F540" s="71" t="s">
        <v>108</v>
      </c>
      <c r="G540" s="78" t="s">
        <v>273</v>
      </c>
      <c r="H540" s="71" t="s">
        <v>274</v>
      </c>
      <c r="I540" s="71" t="str">
        <f>VLOOKUP(H540,[1]Sheet1!$C:$C,1,0)</f>
        <v>SC2402SO-N-CJ-90NR-2402</v>
      </c>
      <c r="J540" s="78"/>
      <c r="K540" s="78"/>
      <c r="L540" s="71" t="s">
        <v>118</v>
      </c>
      <c r="M540" s="72">
        <v>300000</v>
      </c>
      <c r="N540" s="71" t="s">
        <v>113</v>
      </c>
      <c r="O540" s="73" t="s">
        <v>119</v>
      </c>
      <c r="P540" s="71">
        <v>0</v>
      </c>
      <c r="Q540" s="74"/>
      <c r="R540" s="100">
        <v>0.25</v>
      </c>
      <c r="S540" s="75">
        <f t="shared" si="188"/>
        <v>0</v>
      </c>
      <c r="T540" s="76">
        <v>0</v>
      </c>
      <c r="U540" s="76">
        <f t="shared" si="180"/>
        <v>0</v>
      </c>
      <c r="V540" s="72"/>
      <c r="W540" s="72"/>
      <c r="X540" s="72">
        <v>6000</v>
      </c>
      <c r="Y540" s="72">
        <v>6000</v>
      </c>
      <c r="Z540" s="72"/>
      <c r="AA540" s="72"/>
      <c r="AB540" s="72"/>
      <c r="AC540" s="72"/>
      <c r="AD540" s="77"/>
      <c r="AE540" s="75"/>
      <c r="AF540" s="75"/>
      <c r="AG540" s="75"/>
      <c r="AH540" s="75">
        <v>0</v>
      </c>
      <c r="AI540" s="75"/>
      <c r="AJ540" s="75">
        <v>0</v>
      </c>
      <c r="AK540" s="21">
        <v>0</v>
      </c>
      <c r="AL540" s="21">
        <v>0</v>
      </c>
      <c r="AM540" s="21">
        <v>0</v>
      </c>
      <c r="AN540" s="21">
        <v>0</v>
      </c>
      <c r="AO540" s="21">
        <v>0</v>
      </c>
      <c r="AP540" s="21">
        <v>0</v>
      </c>
      <c r="AQ540" s="21">
        <v>0</v>
      </c>
      <c r="AR540" s="21"/>
      <c r="AS540" s="21"/>
      <c r="AT540" s="21"/>
      <c r="AU540" s="21"/>
      <c r="AV540" s="21"/>
      <c r="AW540" s="19" t="s">
        <v>103</v>
      </c>
      <c r="AX540" s="19" t="s">
        <v>61</v>
      </c>
      <c r="AY540" s="19" t="s">
        <v>261</v>
      </c>
      <c r="AZ540" s="18" t="s">
        <v>115</v>
      </c>
      <c r="BA540" s="19" t="s">
        <v>116</v>
      </c>
      <c r="BB540" s="19" t="s">
        <v>121</v>
      </c>
      <c r="BC540" s="19"/>
      <c r="BD540" s="19"/>
      <c r="BE540" s="19"/>
      <c r="BF540" s="19"/>
      <c r="BG540" s="24">
        <v>3</v>
      </c>
      <c r="BH540" s="25"/>
      <c r="BI540" s="25"/>
      <c r="BJ540" s="25"/>
      <c r="BK540" s="25"/>
      <c r="BL540" s="25"/>
      <c r="BM540" s="25"/>
      <c r="BN540" s="26"/>
      <c r="BO540" s="21"/>
      <c r="BP540" s="27">
        <f t="shared" si="189"/>
        <v>0</v>
      </c>
      <c r="BQ540" s="27">
        <f t="shared" si="190"/>
        <v>0</v>
      </c>
      <c r="BR540" s="27">
        <f t="shared" si="191"/>
        <v>0</v>
      </c>
      <c r="BS540" s="27">
        <f t="shared" si="187"/>
        <v>0</v>
      </c>
      <c r="BT540" s="28">
        <f t="shared" si="184"/>
        <v>0</v>
      </c>
      <c r="BU540" s="28">
        <f t="shared" si="181"/>
        <v>0</v>
      </c>
      <c r="BV540" s="28">
        <f t="shared" si="182"/>
        <v>0</v>
      </c>
      <c r="BW540" s="28">
        <f t="shared" si="183"/>
        <v>0</v>
      </c>
    </row>
    <row r="541" spans="1:75" ht="17.399999999999999" x14ac:dyDescent="0.25">
      <c r="A541" s="69">
        <f t="shared" si="167"/>
        <v>540</v>
      </c>
      <c r="B541" s="70" t="s">
        <v>105</v>
      </c>
      <c r="C541" s="71" t="s">
        <v>235</v>
      </c>
      <c r="D541" s="71" t="s">
        <v>107</v>
      </c>
      <c r="E541" s="71" t="s">
        <v>69</v>
      </c>
      <c r="F541" s="71" t="s">
        <v>108</v>
      </c>
      <c r="G541" s="78" t="s">
        <v>273</v>
      </c>
      <c r="H541" s="71" t="s">
        <v>274</v>
      </c>
      <c r="I541" s="71" t="str">
        <f>VLOOKUP(H541,[1]Sheet1!$C:$C,1,0)</f>
        <v>SC2402SO-N-CJ-90NR-2402</v>
      </c>
      <c r="J541" s="78"/>
      <c r="K541" s="78"/>
      <c r="L541" s="71" t="s">
        <v>124</v>
      </c>
      <c r="M541" s="72">
        <v>1000000</v>
      </c>
      <c r="N541" s="71"/>
      <c r="O541" s="73"/>
      <c r="P541" s="71"/>
      <c r="Q541" s="74"/>
      <c r="R541" s="100">
        <v>0.25</v>
      </c>
      <c r="S541" s="75">
        <f t="shared" si="188"/>
        <v>0</v>
      </c>
      <c r="T541" s="76">
        <v>0</v>
      </c>
      <c r="U541" s="76">
        <f t="shared" si="180"/>
        <v>0</v>
      </c>
      <c r="V541" s="72"/>
      <c r="W541" s="72"/>
      <c r="X541" s="72"/>
      <c r="Y541" s="72"/>
      <c r="Z541" s="72"/>
      <c r="AA541" s="72"/>
      <c r="AB541" s="72"/>
      <c r="AC541" s="72"/>
      <c r="AD541" s="77"/>
      <c r="AE541" s="75"/>
      <c r="AF541" s="75"/>
      <c r="AG541" s="75"/>
      <c r="AH541" s="75">
        <v>0</v>
      </c>
      <c r="AI541" s="75"/>
      <c r="AJ541" s="75">
        <v>0</v>
      </c>
      <c r="AK541" s="11">
        <v>0</v>
      </c>
      <c r="AL541" s="11">
        <v>0</v>
      </c>
      <c r="AM541" s="11">
        <v>0</v>
      </c>
      <c r="AN541" s="11">
        <v>0</v>
      </c>
      <c r="AO541" s="11">
        <v>0</v>
      </c>
      <c r="AP541" s="11">
        <v>0</v>
      </c>
      <c r="AQ541" s="11">
        <v>0</v>
      </c>
      <c r="AR541" s="11"/>
      <c r="AS541" s="11"/>
      <c r="AT541" s="11"/>
      <c r="AU541" s="11"/>
      <c r="AV541" s="11"/>
      <c r="AW541" s="10" t="s">
        <v>103</v>
      </c>
      <c r="AX541" s="10" t="s">
        <v>61</v>
      </c>
      <c r="AY541" s="19" t="s">
        <v>261</v>
      </c>
      <c r="AZ541" s="9" t="s">
        <v>115</v>
      </c>
      <c r="BA541" s="10" t="s">
        <v>123</v>
      </c>
      <c r="BB541" s="10"/>
      <c r="BC541" s="10"/>
      <c r="BD541" s="10"/>
      <c r="BE541" s="10"/>
      <c r="BF541" s="10"/>
      <c r="BG541" s="13">
        <v>1</v>
      </c>
      <c r="BH541" s="14"/>
      <c r="BI541" s="14"/>
      <c r="BJ541" s="14"/>
      <c r="BK541" s="14"/>
      <c r="BL541" s="14"/>
      <c r="BM541" s="14"/>
      <c r="BN541" s="15"/>
      <c r="BO541" s="11"/>
      <c r="BP541" s="16">
        <f t="shared" si="189"/>
        <v>0</v>
      </c>
      <c r="BQ541" s="16">
        <f t="shared" si="190"/>
        <v>0</v>
      </c>
      <c r="BR541" s="16">
        <f t="shared" si="191"/>
        <v>0</v>
      </c>
      <c r="BS541" s="16">
        <f t="shared" si="187"/>
        <v>0</v>
      </c>
      <c r="BT541" s="17">
        <f t="shared" si="184"/>
        <v>0</v>
      </c>
      <c r="BU541" s="28">
        <f t="shared" si="181"/>
        <v>0</v>
      </c>
      <c r="BV541" s="28">
        <f t="shared" si="182"/>
        <v>0</v>
      </c>
      <c r="BW541" s="28">
        <f t="shared" si="183"/>
        <v>0</v>
      </c>
    </row>
    <row r="542" spans="1:75" ht="17.399999999999999" x14ac:dyDescent="0.25">
      <c r="A542" s="69">
        <f t="shared" si="167"/>
        <v>541</v>
      </c>
      <c r="B542" s="70" t="s">
        <v>105</v>
      </c>
      <c r="C542" s="71" t="s">
        <v>235</v>
      </c>
      <c r="D542" s="71" t="s">
        <v>107</v>
      </c>
      <c r="E542" s="71" t="s">
        <v>69</v>
      </c>
      <c r="F542" s="71" t="s">
        <v>108</v>
      </c>
      <c r="G542" s="71" t="s">
        <v>269</v>
      </c>
      <c r="H542" s="71" t="s">
        <v>270</v>
      </c>
      <c r="I542" s="71" t="str">
        <f>VLOOKUP(H542,[1]Sheet1!$C:$C,1,0)</f>
        <v>SC2438SO-CM-10CR-2438</v>
      </c>
      <c r="J542" s="71"/>
      <c r="K542" s="71"/>
      <c r="L542" s="71" t="s">
        <v>125</v>
      </c>
      <c r="M542" s="72">
        <v>200000</v>
      </c>
      <c r="N542" s="71" t="s">
        <v>49</v>
      </c>
      <c r="O542" s="73" t="s">
        <v>126</v>
      </c>
      <c r="P542" s="71" t="s">
        <v>95</v>
      </c>
      <c r="Q542" s="74"/>
      <c r="R542" s="100">
        <v>0.52</v>
      </c>
      <c r="S542" s="75">
        <f t="shared" si="188"/>
        <v>0</v>
      </c>
      <c r="T542" s="76">
        <v>0</v>
      </c>
      <c r="U542" s="76">
        <f t="shared" si="180"/>
        <v>0</v>
      </c>
      <c r="V542" s="72"/>
      <c r="W542" s="72"/>
      <c r="X542" s="72"/>
      <c r="Y542" s="72"/>
      <c r="Z542" s="72"/>
      <c r="AA542" s="72"/>
      <c r="AB542" s="72"/>
      <c r="AC542" s="72"/>
      <c r="AD542" s="77"/>
      <c r="AE542" s="75"/>
      <c r="AF542" s="75"/>
      <c r="AG542" s="75"/>
      <c r="AH542" s="75">
        <v>0</v>
      </c>
      <c r="AI542" s="75"/>
      <c r="AJ542" s="75">
        <v>0</v>
      </c>
      <c r="AK542" s="21">
        <v>0</v>
      </c>
      <c r="AL542" s="21">
        <v>0</v>
      </c>
      <c r="AM542" s="21">
        <v>0</v>
      </c>
      <c r="AN542" s="21">
        <v>21000</v>
      </c>
      <c r="AO542" s="21">
        <v>36000</v>
      </c>
      <c r="AP542" s="21">
        <v>69000</v>
      </c>
      <c r="AQ542" s="21">
        <v>0</v>
      </c>
      <c r="AR542" s="21"/>
      <c r="AS542" s="21"/>
      <c r="AT542" s="21"/>
      <c r="AU542" s="21"/>
      <c r="AV542" s="21"/>
      <c r="AW542" s="19" t="s">
        <v>103</v>
      </c>
      <c r="AX542" s="19" t="s">
        <v>61</v>
      </c>
      <c r="AY542" s="19" t="s">
        <v>261</v>
      </c>
      <c r="AZ542" s="18" t="s">
        <v>62</v>
      </c>
      <c r="BA542" s="19" t="s">
        <v>96</v>
      </c>
      <c r="BB542" s="19" t="s">
        <v>97</v>
      </c>
      <c r="BC542" s="19"/>
      <c r="BD542" s="19"/>
      <c r="BE542" s="19"/>
      <c r="BF542" s="19"/>
      <c r="BG542" s="24">
        <v>1</v>
      </c>
      <c r="BH542" s="25"/>
      <c r="BI542" s="25"/>
      <c r="BJ542" s="25"/>
      <c r="BK542" s="25"/>
      <c r="BL542" s="25"/>
      <c r="BM542" s="25"/>
      <c r="BN542" s="26"/>
      <c r="BO542" s="21"/>
      <c r="BP542" s="27">
        <f t="shared" si="189"/>
        <v>0</v>
      </c>
      <c r="BQ542" s="27">
        <f t="shared" si="190"/>
        <v>0</v>
      </c>
      <c r="BR542" s="27">
        <f t="shared" si="191"/>
        <v>0</v>
      </c>
      <c r="BS542" s="27">
        <f t="shared" si="187"/>
        <v>0</v>
      </c>
      <c r="BT542" s="28">
        <f t="shared" si="184"/>
        <v>0</v>
      </c>
      <c r="BU542" s="28">
        <f t="shared" si="181"/>
        <v>0</v>
      </c>
      <c r="BV542" s="28">
        <f t="shared" si="182"/>
        <v>0</v>
      </c>
      <c r="BW542" s="28">
        <f t="shared" si="183"/>
        <v>0</v>
      </c>
    </row>
    <row r="543" spans="1:75" ht="17.399999999999999" x14ac:dyDescent="0.25">
      <c r="A543" s="69">
        <f t="shared" si="167"/>
        <v>542</v>
      </c>
      <c r="B543" s="70" t="s">
        <v>105</v>
      </c>
      <c r="C543" s="71" t="s">
        <v>235</v>
      </c>
      <c r="D543" s="71" t="s">
        <v>107</v>
      </c>
      <c r="E543" s="71" t="s">
        <v>69</v>
      </c>
      <c r="F543" s="71" t="s">
        <v>108</v>
      </c>
      <c r="G543" s="78" t="s">
        <v>275</v>
      </c>
      <c r="H543" s="71" t="s">
        <v>276</v>
      </c>
      <c r="I543" s="71" t="str">
        <f>VLOOKUP(H543,[1]Sheet1!$C:$C,1,0)</f>
        <v>SC2064SO-GC-00NR-2064</v>
      </c>
      <c r="J543" s="78"/>
      <c r="K543" s="78"/>
      <c r="L543" s="71" t="s">
        <v>127</v>
      </c>
      <c r="M543" s="72">
        <v>4000000</v>
      </c>
      <c r="N543" s="71" t="s">
        <v>48</v>
      </c>
      <c r="O543" s="73" t="s">
        <v>128</v>
      </c>
      <c r="P543" s="71" t="s">
        <v>129</v>
      </c>
      <c r="Q543" s="74"/>
      <c r="R543" s="100">
        <v>0.15</v>
      </c>
      <c r="S543" s="75">
        <f t="shared" si="188"/>
        <v>0</v>
      </c>
      <c r="T543" s="76">
        <v>0</v>
      </c>
      <c r="U543" s="76">
        <f t="shared" si="180"/>
        <v>0</v>
      </c>
      <c r="V543" s="72"/>
      <c r="W543" s="72"/>
      <c r="X543" s="72"/>
      <c r="Y543" s="72"/>
      <c r="Z543" s="72"/>
      <c r="AA543" s="72"/>
      <c r="AB543" s="72"/>
      <c r="AC543" s="72"/>
      <c r="AD543" s="77"/>
      <c r="AE543" s="75"/>
      <c r="AF543" s="75"/>
      <c r="AG543" s="75"/>
      <c r="AH543" s="75">
        <v>0</v>
      </c>
      <c r="AI543" s="75"/>
      <c r="AJ543" s="75">
        <v>0</v>
      </c>
      <c r="AK543" s="11">
        <v>0</v>
      </c>
      <c r="AL543" s="11">
        <v>0</v>
      </c>
      <c r="AM543" s="11">
        <v>0</v>
      </c>
      <c r="AN543" s="11">
        <v>0</v>
      </c>
      <c r="AO543" s="11">
        <v>0</v>
      </c>
      <c r="AP543" s="11">
        <v>0</v>
      </c>
      <c r="AQ543" s="11">
        <v>0</v>
      </c>
      <c r="AR543" s="11"/>
      <c r="AS543" s="11"/>
      <c r="AT543" s="11"/>
      <c r="AU543" s="11"/>
      <c r="AV543" s="11"/>
      <c r="AW543" s="10" t="s">
        <v>103</v>
      </c>
      <c r="AX543" s="10" t="s">
        <v>61</v>
      </c>
      <c r="AY543" s="19" t="s">
        <v>261</v>
      </c>
      <c r="AZ543" s="9" t="s">
        <v>115</v>
      </c>
      <c r="BA543" s="10" t="s">
        <v>116</v>
      </c>
      <c r="BB543" s="10" t="s">
        <v>117</v>
      </c>
      <c r="BC543" s="10"/>
      <c r="BD543" s="10"/>
      <c r="BE543" s="10"/>
      <c r="BF543" s="10"/>
      <c r="BG543" s="13">
        <v>2</v>
      </c>
      <c r="BH543" s="14"/>
      <c r="BI543" s="14"/>
      <c r="BJ543" s="14"/>
      <c r="BK543" s="14"/>
      <c r="BL543" s="14"/>
      <c r="BM543" s="14"/>
      <c r="BN543" s="15"/>
      <c r="BO543" s="11"/>
      <c r="BP543" s="16">
        <f t="shared" si="189"/>
        <v>0</v>
      </c>
      <c r="BQ543" s="16">
        <f t="shared" si="190"/>
        <v>0</v>
      </c>
      <c r="BR543" s="16">
        <f t="shared" si="191"/>
        <v>0</v>
      </c>
      <c r="BS543" s="16">
        <f t="shared" si="187"/>
        <v>0</v>
      </c>
      <c r="BT543" s="17">
        <f t="shared" si="184"/>
        <v>0</v>
      </c>
      <c r="BU543" s="28">
        <f t="shared" si="181"/>
        <v>0</v>
      </c>
      <c r="BV543" s="28">
        <f t="shared" si="182"/>
        <v>0</v>
      </c>
      <c r="BW543" s="28">
        <f t="shared" si="183"/>
        <v>0</v>
      </c>
    </row>
    <row r="544" spans="1:75" ht="17.399999999999999" x14ac:dyDescent="0.25">
      <c r="A544" s="69">
        <f t="shared" si="167"/>
        <v>543</v>
      </c>
      <c r="B544" s="70" t="s">
        <v>105</v>
      </c>
      <c r="C544" s="71" t="s">
        <v>235</v>
      </c>
      <c r="D544" s="71" t="s">
        <v>107</v>
      </c>
      <c r="E544" s="71" t="s">
        <v>69</v>
      </c>
      <c r="F544" s="71" t="s">
        <v>108</v>
      </c>
      <c r="G544" s="79" t="s">
        <v>277</v>
      </c>
      <c r="H544" s="71" t="s">
        <v>278</v>
      </c>
      <c r="I544" s="71" t="str">
        <f>VLOOKUP(H544,[1]Sheet1!$C:$C,1,0)</f>
        <v>SC2402UA-CJ-90AK-2402</v>
      </c>
      <c r="J544" s="79"/>
      <c r="K544" s="79"/>
      <c r="L544" s="71" t="s">
        <v>130</v>
      </c>
      <c r="M544" s="72">
        <v>500000</v>
      </c>
      <c r="N544" s="71" t="s">
        <v>48</v>
      </c>
      <c r="O544" s="73" t="s">
        <v>131</v>
      </c>
      <c r="P544" s="71" t="s">
        <v>95</v>
      </c>
      <c r="Q544" s="74"/>
      <c r="R544" s="100"/>
      <c r="S544" s="75">
        <f t="shared" si="188"/>
        <v>0</v>
      </c>
      <c r="T544" s="76">
        <v>0</v>
      </c>
      <c r="U544" s="76">
        <f t="shared" si="180"/>
        <v>0</v>
      </c>
      <c r="V544" s="72"/>
      <c r="W544" s="72"/>
      <c r="X544" s="72"/>
      <c r="Y544" s="72"/>
      <c r="Z544" s="72"/>
      <c r="AA544" s="72"/>
      <c r="AB544" s="72"/>
      <c r="AC544" s="72"/>
      <c r="AD544" s="77"/>
      <c r="AE544" s="75"/>
      <c r="AF544" s="75"/>
      <c r="AG544" s="75"/>
      <c r="AH544" s="75">
        <v>0</v>
      </c>
      <c r="AI544" s="75"/>
      <c r="AJ544" s="75">
        <v>0</v>
      </c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19" t="s">
        <v>103</v>
      </c>
      <c r="AX544" s="19" t="s">
        <v>61</v>
      </c>
      <c r="AY544" s="19" t="s">
        <v>261</v>
      </c>
      <c r="AZ544" s="18" t="s">
        <v>115</v>
      </c>
      <c r="BA544" s="19" t="s">
        <v>116</v>
      </c>
      <c r="BB544" s="19" t="s">
        <v>117</v>
      </c>
      <c r="BC544" s="19"/>
      <c r="BD544" s="19"/>
      <c r="BE544" s="19"/>
      <c r="BF544" s="19"/>
      <c r="BG544" s="24">
        <v>1</v>
      </c>
      <c r="BH544" s="25"/>
      <c r="BI544" s="25"/>
      <c r="BJ544" s="25"/>
      <c r="BK544" s="25"/>
      <c r="BL544" s="25"/>
      <c r="BM544" s="25"/>
      <c r="BN544" s="26"/>
      <c r="BO544" s="21"/>
      <c r="BP544" s="27">
        <f t="shared" si="189"/>
        <v>0</v>
      </c>
      <c r="BQ544" s="27">
        <f t="shared" si="190"/>
        <v>0</v>
      </c>
      <c r="BR544" s="27">
        <f t="shared" si="191"/>
        <v>0</v>
      </c>
      <c r="BS544" s="27">
        <f t="shared" si="187"/>
        <v>0</v>
      </c>
      <c r="BT544" s="28">
        <f t="shared" si="184"/>
        <v>0</v>
      </c>
      <c r="BU544" s="28">
        <f t="shared" si="181"/>
        <v>0</v>
      </c>
      <c r="BV544" s="28">
        <f t="shared" si="182"/>
        <v>0</v>
      </c>
      <c r="BW544" s="28">
        <f t="shared" si="183"/>
        <v>0</v>
      </c>
    </row>
    <row r="545" spans="1:75" ht="17.399999999999999" x14ac:dyDescent="0.25">
      <c r="A545" s="69">
        <f t="shared" si="167"/>
        <v>544</v>
      </c>
      <c r="B545" s="70" t="s">
        <v>135</v>
      </c>
      <c r="C545" s="71" t="s">
        <v>149</v>
      </c>
      <c r="D545" s="71" t="s">
        <v>136</v>
      </c>
      <c r="E545" s="71" t="s">
        <v>69</v>
      </c>
      <c r="F545" s="71" t="s">
        <v>137</v>
      </c>
      <c r="G545" s="71" t="s">
        <v>282</v>
      </c>
      <c r="H545" s="71" t="s">
        <v>283</v>
      </c>
      <c r="I545" s="71" t="str">
        <f>VLOOKUP(H545,[1]Sheet1!$C:$C,1,0)</f>
        <v>SC2498CUA-N-Q-DB-60CK-2498C</v>
      </c>
      <c r="J545" s="71"/>
      <c r="K545" s="71"/>
      <c r="L545" s="71" t="s">
        <v>82</v>
      </c>
      <c r="M545" s="72">
        <v>2000000</v>
      </c>
      <c r="N545" s="71" t="s">
        <v>60</v>
      </c>
      <c r="O545" s="73"/>
      <c r="P545" s="71"/>
      <c r="Q545" s="74"/>
      <c r="R545" s="100">
        <v>0.434</v>
      </c>
      <c r="S545" s="75">
        <f t="shared" si="188"/>
        <v>1041600</v>
      </c>
      <c r="T545" s="76">
        <v>2703000</v>
      </c>
      <c r="U545" s="76">
        <f t="shared" si="180"/>
        <v>2400000</v>
      </c>
      <c r="V545" s="72">
        <v>400000</v>
      </c>
      <c r="W545" s="72">
        <v>400000</v>
      </c>
      <c r="X545" s="72">
        <v>600000</v>
      </c>
      <c r="Y545" s="72">
        <v>650000</v>
      </c>
      <c r="Z545" s="72">
        <v>700000</v>
      </c>
      <c r="AA545" s="72">
        <v>800000</v>
      </c>
      <c r="AB545" s="72">
        <v>1300000</v>
      </c>
      <c r="AC545" s="72">
        <v>1200000</v>
      </c>
      <c r="AD545" s="77">
        <v>800000</v>
      </c>
      <c r="AE545" s="75">
        <v>800000</v>
      </c>
      <c r="AF545" s="75">
        <v>800000</v>
      </c>
      <c r="AG545" s="75">
        <v>800000</v>
      </c>
      <c r="AH545" s="75">
        <v>800000</v>
      </c>
      <c r="AI545" s="75">
        <v>800000</v>
      </c>
      <c r="AJ545" s="75">
        <v>800000</v>
      </c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0"/>
      <c r="AX545" s="10" t="s">
        <v>61</v>
      </c>
      <c r="AY545" s="19" t="s">
        <v>261</v>
      </c>
      <c r="AZ545" s="9" t="s">
        <v>62</v>
      </c>
      <c r="BA545" s="10" t="s">
        <v>86</v>
      </c>
      <c r="BB545" s="10" t="s">
        <v>87</v>
      </c>
      <c r="BC545" s="10" t="s">
        <v>88</v>
      </c>
      <c r="BD545" s="10"/>
      <c r="BE545" s="10"/>
      <c r="BF545" s="10"/>
      <c r="BG545" s="13"/>
      <c r="BH545" s="14"/>
      <c r="BI545" s="14"/>
      <c r="BJ545" s="14"/>
      <c r="BK545" s="14"/>
      <c r="BL545" s="14"/>
      <c r="BM545" s="14"/>
      <c r="BN545" s="15"/>
      <c r="BO545" s="11"/>
      <c r="BP545" s="16">
        <f t="shared" si="189"/>
        <v>303800</v>
      </c>
      <c r="BQ545" s="16">
        <f t="shared" si="190"/>
        <v>347200</v>
      </c>
      <c r="BR545" s="16">
        <f t="shared" si="191"/>
        <v>564200</v>
      </c>
      <c r="BS545" s="16">
        <f t="shared" si="187"/>
        <v>520800</v>
      </c>
      <c r="BT545" s="17">
        <f t="shared" si="184"/>
        <v>347200</v>
      </c>
      <c r="BU545" s="28">
        <f t="shared" si="181"/>
        <v>347200</v>
      </c>
      <c r="BV545" s="28">
        <f t="shared" si="182"/>
        <v>347200</v>
      </c>
      <c r="BW545" s="28">
        <f t="shared" si="183"/>
        <v>347200</v>
      </c>
    </row>
    <row r="546" spans="1:75" ht="17.399999999999999" x14ac:dyDescent="0.25">
      <c r="A546" s="69">
        <f t="shared" si="167"/>
        <v>545</v>
      </c>
      <c r="B546" s="70" t="s">
        <v>135</v>
      </c>
      <c r="C546" s="71" t="s">
        <v>149</v>
      </c>
      <c r="D546" s="71" t="s">
        <v>136</v>
      </c>
      <c r="E546" s="71" t="s">
        <v>69</v>
      </c>
      <c r="F546" s="71" t="s">
        <v>137</v>
      </c>
      <c r="G546" s="71" t="s">
        <v>282</v>
      </c>
      <c r="H546" s="71" t="s">
        <v>284</v>
      </c>
      <c r="I546" s="71" t="str">
        <f>VLOOKUP(H546,[1]Sheet1!$C:$C,1,0)</f>
        <v>SC2498CUA-N-Q-DB-60AK-2498C</v>
      </c>
      <c r="J546" s="71"/>
      <c r="K546" s="71"/>
      <c r="L546" s="71" t="s">
        <v>82</v>
      </c>
      <c r="M546" s="72">
        <v>2000000</v>
      </c>
      <c r="N546" s="71" t="s">
        <v>60</v>
      </c>
      <c r="O546" s="73"/>
      <c r="P546" s="71"/>
      <c r="Q546" s="74"/>
      <c r="R546" s="100">
        <v>0.434</v>
      </c>
      <c r="S546" s="75">
        <f t="shared" si="188"/>
        <v>520800</v>
      </c>
      <c r="T546" s="76">
        <v>2703000</v>
      </c>
      <c r="U546" s="76">
        <f t="shared" si="180"/>
        <v>1200000</v>
      </c>
      <c r="V546" s="72"/>
      <c r="W546" s="72"/>
      <c r="X546" s="72"/>
      <c r="Y546" s="72"/>
      <c r="Z546" s="72"/>
      <c r="AA546" s="72"/>
      <c r="AB546" s="72"/>
      <c r="AC546" s="72"/>
      <c r="AD546" s="77">
        <v>400000</v>
      </c>
      <c r="AE546" s="75">
        <v>400000</v>
      </c>
      <c r="AF546" s="75">
        <v>400000</v>
      </c>
      <c r="AG546" s="75">
        <v>400000</v>
      </c>
      <c r="AH546" s="75">
        <v>200000</v>
      </c>
      <c r="AI546" s="75">
        <v>200000</v>
      </c>
      <c r="AJ546" s="75">
        <v>200000</v>
      </c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19"/>
      <c r="AX546" s="19" t="s">
        <v>61</v>
      </c>
      <c r="AY546" s="19" t="s">
        <v>261</v>
      </c>
      <c r="AZ546" s="18" t="s">
        <v>62</v>
      </c>
      <c r="BA546" s="19" t="s">
        <v>86</v>
      </c>
      <c r="BB546" s="19" t="s">
        <v>87</v>
      </c>
      <c r="BC546" s="19" t="s">
        <v>88</v>
      </c>
      <c r="BD546" s="19"/>
      <c r="BE546" s="19"/>
      <c r="BF546" s="19"/>
      <c r="BG546" s="24"/>
      <c r="BH546" s="25"/>
      <c r="BI546" s="25"/>
      <c r="BJ546" s="25"/>
      <c r="BK546" s="25"/>
      <c r="BL546" s="25"/>
      <c r="BM546" s="25"/>
      <c r="BN546" s="26"/>
      <c r="BO546" s="21"/>
      <c r="BP546" s="27">
        <f t="shared" si="189"/>
        <v>0</v>
      </c>
      <c r="BQ546" s="27">
        <f t="shared" si="190"/>
        <v>0</v>
      </c>
      <c r="BR546" s="27">
        <f t="shared" si="191"/>
        <v>0</v>
      </c>
      <c r="BS546" s="27">
        <f t="shared" si="187"/>
        <v>0</v>
      </c>
      <c r="BT546" s="28">
        <f t="shared" si="184"/>
        <v>173600</v>
      </c>
      <c r="BU546" s="28">
        <f t="shared" si="181"/>
        <v>173600</v>
      </c>
      <c r="BV546" s="28">
        <f t="shared" si="182"/>
        <v>173600</v>
      </c>
      <c r="BW546" s="28">
        <f t="shared" si="183"/>
        <v>173600</v>
      </c>
    </row>
    <row r="547" spans="1:75" ht="17.399999999999999" x14ac:dyDescent="0.25">
      <c r="A547" s="69">
        <f t="shared" si="167"/>
        <v>546</v>
      </c>
      <c r="B547" s="70" t="s">
        <v>135</v>
      </c>
      <c r="C547" s="71" t="s">
        <v>149</v>
      </c>
      <c r="D547" s="71" t="s">
        <v>136</v>
      </c>
      <c r="E547" s="71" t="s">
        <v>69</v>
      </c>
      <c r="F547" s="71" t="s">
        <v>137</v>
      </c>
      <c r="G547" s="71" t="s">
        <v>138</v>
      </c>
      <c r="H547" s="71" t="s">
        <v>285</v>
      </c>
      <c r="I547" s="71" t="str">
        <f>VLOOKUP(H547,[1]Sheet1!$C:$C,1,0)</f>
        <v>SC2448SO-Q-DB-60CR-2448</v>
      </c>
      <c r="J547" s="71"/>
      <c r="K547" s="71"/>
      <c r="L547" s="71" t="s">
        <v>82</v>
      </c>
      <c r="M547" s="72">
        <v>1500000</v>
      </c>
      <c r="N547" s="71" t="s">
        <v>60</v>
      </c>
      <c r="O547" s="73"/>
      <c r="P547" s="71"/>
      <c r="Q547" s="74"/>
      <c r="R547" s="100">
        <v>0.42499999999999999</v>
      </c>
      <c r="S547" s="75">
        <f t="shared" si="188"/>
        <v>276250</v>
      </c>
      <c r="T547" s="76">
        <v>600000</v>
      </c>
      <c r="U547" s="76">
        <f t="shared" si="180"/>
        <v>650000</v>
      </c>
      <c r="V547" s="72">
        <v>200000</v>
      </c>
      <c r="W547" s="72">
        <v>200000</v>
      </c>
      <c r="X547" s="72">
        <v>200000</v>
      </c>
      <c r="Y547" s="72">
        <v>150000</v>
      </c>
      <c r="Z547" s="72">
        <v>150000</v>
      </c>
      <c r="AA547" s="72">
        <v>200000</v>
      </c>
      <c r="AB547" s="72">
        <v>250000</v>
      </c>
      <c r="AC547" s="72">
        <v>250000</v>
      </c>
      <c r="AD547" s="77">
        <v>250000</v>
      </c>
      <c r="AE547" s="75">
        <v>250000</v>
      </c>
      <c r="AF547" s="75">
        <v>200000</v>
      </c>
      <c r="AG547" s="75">
        <v>200000</v>
      </c>
      <c r="AH547" s="75">
        <v>200000</v>
      </c>
      <c r="AI547" s="75">
        <v>200000</v>
      </c>
      <c r="AJ547" s="75">
        <v>200000</v>
      </c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0"/>
      <c r="AX547" s="10" t="s">
        <v>61</v>
      </c>
      <c r="AY547" s="19" t="s">
        <v>261</v>
      </c>
      <c r="AZ547" s="9" t="s">
        <v>62</v>
      </c>
      <c r="BA547" s="10" t="s">
        <v>86</v>
      </c>
      <c r="BB547" s="10" t="s">
        <v>87</v>
      </c>
      <c r="BC547" s="10" t="s">
        <v>88</v>
      </c>
      <c r="BD547" s="10"/>
      <c r="BE547" s="10"/>
      <c r="BF547" s="10"/>
      <c r="BG547" s="13"/>
      <c r="BH547" s="14"/>
      <c r="BI547" s="14"/>
      <c r="BJ547" s="14"/>
      <c r="BK547" s="14"/>
      <c r="BL547" s="14"/>
      <c r="BM547" s="14"/>
      <c r="BN547" s="15"/>
      <c r="BO547" s="11"/>
      <c r="BP547" s="16">
        <f t="shared" si="189"/>
        <v>63750</v>
      </c>
      <c r="BQ547" s="16">
        <f t="shared" si="190"/>
        <v>85000</v>
      </c>
      <c r="BR547" s="16">
        <f t="shared" si="191"/>
        <v>106250</v>
      </c>
      <c r="BS547" s="16">
        <f t="shared" si="187"/>
        <v>106250</v>
      </c>
      <c r="BT547" s="17">
        <f t="shared" si="184"/>
        <v>106250</v>
      </c>
      <c r="BU547" s="28">
        <f t="shared" si="181"/>
        <v>106250</v>
      </c>
      <c r="BV547" s="28">
        <f t="shared" si="182"/>
        <v>85000</v>
      </c>
      <c r="BW547" s="28">
        <f t="shared" si="183"/>
        <v>85000</v>
      </c>
    </row>
    <row r="548" spans="1:75" ht="17.399999999999999" x14ac:dyDescent="0.25">
      <c r="A548" s="69">
        <f t="shared" si="167"/>
        <v>547</v>
      </c>
      <c r="B548" s="70" t="s">
        <v>135</v>
      </c>
      <c r="C548" s="71" t="s">
        <v>149</v>
      </c>
      <c r="D548" s="71" t="s">
        <v>136</v>
      </c>
      <c r="E548" s="71" t="s">
        <v>69</v>
      </c>
      <c r="F548" s="71" t="s">
        <v>137</v>
      </c>
      <c r="G548" s="71" t="s">
        <v>92</v>
      </c>
      <c r="H548" s="71" t="s">
        <v>260</v>
      </c>
      <c r="I548" s="71" t="str">
        <f>VLOOKUP(H548,[1]Sheet1!$C:$C,1,0)</f>
        <v>SC2498SO-Q-DB-60CR-2498</v>
      </c>
      <c r="J548" s="71"/>
      <c r="K548" s="71"/>
      <c r="L548" s="71" t="s">
        <v>82</v>
      </c>
      <c r="M548" s="72">
        <v>500000</v>
      </c>
      <c r="N548" s="71" t="s">
        <v>60</v>
      </c>
      <c r="O548" s="73"/>
      <c r="P548" s="71"/>
      <c r="Q548" s="74"/>
      <c r="R548" s="100">
        <v>0.434</v>
      </c>
      <c r="S548" s="75">
        <f t="shared" si="188"/>
        <v>78120</v>
      </c>
      <c r="T548" s="76">
        <v>163200</v>
      </c>
      <c r="U548" s="76">
        <f t="shared" si="180"/>
        <v>180000</v>
      </c>
      <c r="V548" s="72">
        <v>40000</v>
      </c>
      <c r="W548" s="72">
        <v>40000</v>
      </c>
      <c r="X548" s="72">
        <v>40000</v>
      </c>
      <c r="Y548" s="72">
        <v>40000</v>
      </c>
      <c r="Z548" s="72">
        <v>40000</v>
      </c>
      <c r="AA548" s="72">
        <v>60000</v>
      </c>
      <c r="AB548" s="72">
        <v>60000</v>
      </c>
      <c r="AC548" s="72">
        <v>100000</v>
      </c>
      <c r="AD548" s="77">
        <v>100000</v>
      </c>
      <c r="AE548" s="75">
        <v>60000</v>
      </c>
      <c r="AF548" s="75">
        <v>60000</v>
      </c>
      <c r="AG548" s="75">
        <v>60000</v>
      </c>
      <c r="AH548" s="75">
        <v>60000</v>
      </c>
      <c r="AI548" s="75">
        <v>60000</v>
      </c>
      <c r="AJ548" s="75">
        <v>60000</v>
      </c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19"/>
      <c r="AX548" s="19" t="s">
        <v>61</v>
      </c>
      <c r="AY548" s="19" t="s">
        <v>261</v>
      </c>
      <c r="AZ548" s="18" t="s">
        <v>62</v>
      </c>
      <c r="BA548" s="19" t="s">
        <v>86</v>
      </c>
      <c r="BB548" s="19" t="s">
        <v>87</v>
      </c>
      <c r="BC548" s="19" t="s">
        <v>88</v>
      </c>
      <c r="BD548" s="19"/>
      <c r="BE548" s="19"/>
      <c r="BF548" s="19"/>
      <c r="BG548" s="24"/>
      <c r="BH548" s="25"/>
      <c r="BI548" s="25"/>
      <c r="BJ548" s="25"/>
      <c r="BK548" s="25"/>
      <c r="BL548" s="25"/>
      <c r="BM548" s="25"/>
      <c r="BN548" s="26"/>
      <c r="BO548" s="21"/>
      <c r="BP548" s="27">
        <f t="shared" si="189"/>
        <v>17360</v>
      </c>
      <c r="BQ548" s="27">
        <f t="shared" si="190"/>
        <v>26040</v>
      </c>
      <c r="BR548" s="27">
        <f t="shared" si="191"/>
        <v>26040</v>
      </c>
      <c r="BS548" s="27">
        <f t="shared" si="187"/>
        <v>43400</v>
      </c>
      <c r="BT548" s="28">
        <f t="shared" si="184"/>
        <v>43400</v>
      </c>
      <c r="BU548" s="28">
        <f t="shared" si="181"/>
        <v>26040</v>
      </c>
      <c r="BV548" s="28">
        <f t="shared" si="182"/>
        <v>26040</v>
      </c>
      <c r="BW548" s="28">
        <f t="shared" si="183"/>
        <v>26040</v>
      </c>
    </row>
    <row r="549" spans="1:75" ht="17.399999999999999" x14ac:dyDescent="0.25">
      <c r="A549" s="69">
        <f t="shared" si="167"/>
        <v>548</v>
      </c>
      <c r="B549" s="70" t="s">
        <v>142</v>
      </c>
      <c r="C549" s="71" t="s">
        <v>235</v>
      </c>
      <c r="D549" s="71" t="s">
        <v>90</v>
      </c>
      <c r="E549" s="71" t="s">
        <v>69</v>
      </c>
      <c r="F549" s="71" t="s">
        <v>91</v>
      </c>
      <c r="G549" s="78" t="s">
        <v>286</v>
      </c>
      <c r="H549" s="71" t="s">
        <v>287</v>
      </c>
      <c r="I549" s="71" t="str">
        <f>VLOOKUP(H549,[1]Sheet1!$C:$C,1,0)</f>
        <v>SC2063SO-GC-00NR-2063</v>
      </c>
      <c r="J549" s="78"/>
      <c r="K549" s="78"/>
      <c r="L549" s="71" t="s">
        <v>143</v>
      </c>
      <c r="M549" s="72">
        <v>4000000</v>
      </c>
      <c r="N549" s="71" t="s">
        <v>48</v>
      </c>
      <c r="O549" s="73" t="s">
        <v>144</v>
      </c>
      <c r="P549" s="71" t="s">
        <v>145</v>
      </c>
      <c r="Q549" s="74"/>
      <c r="R549" s="100">
        <v>0.13800000000000001</v>
      </c>
      <c r="S549" s="75">
        <f t="shared" si="188"/>
        <v>276</v>
      </c>
      <c r="T549" s="76">
        <v>0</v>
      </c>
      <c r="U549" s="76">
        <f t="shared" si="180"/>
        <v>2000</v>
      </c>
      <c r="V549" s="72"/>
      <c r="W549" s="72"/>
      <c r="X549" s="72"/>
      <c r="Y549" s="72"/>
      <c r="Z549" s="72"/>
      <c r="AA549" s="72"/>
      <c r="AB549" s="72"/>
      <c r="AC549" s="72"/>
      <c r="AD549" s="77"/>
      <c r="AE549" s="75"/>
      <c r="AF549" s="75">
        <v>1000</v>
      </c>
      <c r="AG549" s="75">
        <v>1000</v>
      </c>
      <c r="AH549" s="75"/>
      <c r="AI549" s="75"/>
      <c r="AJ549" s="75">
        <v>0</v>
      </c>
      <c r="AK549" s="11">
        <v>0</v>
      </c>
      <c r="AL549" s="11">
        <v>0</v>
      </c>
      <c r="AM549" s="11">
        <v>0</v>
      </c>
      <c r="AN549" s="11">
        <v>0</v>
      </c>
      <c r="AO549" s="11">
        <v>0</v>
      </c>
      <c r="AP549" s="11">
        <v>0</v>
      </c>
      <c r="AQ549" s="11">
        <v>0</v>
      </c>
      <c r="AR549" s="11"/>
      <c r="AS549" s="11"/>
      <c r="AT549" s="11"/>
      <c r="AU549" s="11"/>
      <c r="AV549" s="11"/>
      <c r="AW549" s="10" t="s">
        <v>103</v>
      </c>
      <c r="AX549" s="10" t="s">
        <v>61</v>
      </c>
      <c r="AY549" s="19" t="s">
        <v>261</v>
      </c>
      <c r="AZ549" s="9" t="s">
        <v>115</v>
      </c>
      <c r="BA549" s="10" t="s">
        <v>123</v>
      </c>
      <c r="BB549" s="10" t="s">
        <v>146</v>
      </c>
      <c r="BC549" s="10" t="s">
        <v>147</v>
      </c>
      <c r="BD549" s="10"/>
      <c r="BE549" s="10"/>
      <c r="BF549" s="10"/>
      <c r="BG549" s="13">
        <v>1</v>
      </c>
      <c r="BH549" s="14"/>
      <c r="BI549" s="14"/>
      <c r="BJ549" s="14"/>
      <c r="BK549" s="14"/>
      <c r="BL549" s="14"/>
      <c r="BM549" s="14"/>
      <c r="BN549" s="15"/>
      <c r="BO549" s="11"/>
      <c r="BP549" s="16">
        <f t="shared" si="189"/>
        <v>0</v>
      </c>
      <c r="BQ549" s="16">
        <f t="shared" si="190"/>
        <v>0</v>
      </c>
      <c r="BR549" s="16">
        <f t="shared" si="191"/>
        <v>0</v>
      </c>
      <c r="BS549" s="16">
        <f t="shared" si="187"/>
        <v>0</v>
      </c>
      <c r="BT549" s="17">
        <f t="shared" si="184"/>
        <v>0</v>
      </c>
      <c r="BU549" s="28">
        <f t="shared" si="181"/>
        <v>0</v>
      </c>
      <c r="BV549" s="28">
        <f t="shared" si="182"/>
        <v>138</v>
      </c>
      <c r="BW549" s="28">
        <f t="shared" si="183"/>
        <v>138</v>
      </c>
    </row>
    <row r="550" spans="1:75" ht="17.399999999999999" x14ac:dyDescent="0.25">
      <c r="A550" s="69">
        <f t="shared" si="167"/>
        <v>549</v>
      </c>
      <c r="B550" s="70" t="s">
        <v>142</v>
      </c>
      <c r="C550" s="71" t="s">
        <v>235</v>
      </c>
      <c r="D550" s="71" t="s">
        <v>90</v>
      </c>
      <c r="E550" s="71" t="s">
        <v>69</v>
      </c>
      <c r="F550" s="71" t="s">
        <v>91</v>
      </c>
      <c r="G550" s="71" t="s">
        <v>288</v>
      </c>
      <c r="H550" s="71" t="s">
        <v>289</v>
      </c>
      <c r="I550" s="71" t="str">
        <f>VLOOKUP(H550,[1]Sheet1!$C:$C,1,0)</f>
        <v>SC2462SO-CJ-10CR-2462</v>
      </c>
      <c r="J550" s="71"/>
      <c r="K550" s="71"/>
      <c r="L550" s="71" t="s">
        <v>143</v>
      </c>
      <c r="M550" s="72">
        <v>4000000</v>
      </c>
      <c r="N550" s="71" t="s">
        <v>48</v>
      </c>
      <c r="O550" s="73" t="s">
        <v>144</v>
      </c>
      <c r="P550" s="71"/>
      <c r="Q550" s="74"/>
      <c r="R550" s="100">
        <v>0.59799999999999998</v>
      </c>
      <c r="S550" s="75">
        <f t="shared" si="188"/>
        <v>1196</v>
      </c>
      <c r="T550" s="76">
        <v>0</v>
      </c>
      <c r="U550" s="76">
        <f t="shared" si="180"/>
        <v>2000</v>
      </c>
      <c r="V550" s="72"/>
      <c r="W550" s="72"/>
      <c r="X550" s="72"/>
      <c r="Y550" s="72"/>
      <c r="Z550" s="72"/>
      <c r="AA550" s="72"/>
      <c r="AB550" s="72"/>
      <c r="AC550" s="72"/>
      <c r="AD550" s="77"/>
      <c r="AE550" s="75"/>
      <c r="AF550" s="75">
        <v>1000</v>
      </c>
      <c r="AG550" s="75">
        <v>1000</v>
      </c>
      <c r="AH550" s="75"/>
      <c r="AI550" s="75"/>
      <c r="AJ550" s="75">
        <v>0</v>
      </c>
      <c r="AK550" s="21">
        <v>0</v>
      </c>
      <c r="AL550" s="21">
        <v>0</v>
      </c>
      <c r="AM550" s="21">
        <v>0</v>
      </c>
      <c r="AN550" s="21">
        <v>0</v>
      </c>
      <c r="AO550" s="21">
        <v>0</v>
      </c>
      <c r="AP550" s="21">
        <v>0</v>
      </c>
      <c r="AQ550" s="21">
        <v>0</v>
      </c>
      <c r="AR550" s="21"/>
      <c r="AS550" s="21"/>
      <c r="AT550" s="21"/>
      <c r="AU550" s="21"/>
      <c r="AV550" s="21"/>
      <c r="AW550" s="19" t="s">
        <v>103</v>
      </c>
      <c r="AX550" s="19" t="s">
        <v>61</v>
      </c>
      <c r="AY550" s="19" t="s">
        <v>261</v>
      </c>
      <c r="AZ550" s="18" t="s">
        <v>115</v>
      </c>
      <c r="BA550" s="19" t="s">
        <v>123</v>
      </c>
      <c r="BB550" s="19" t="s">
        <v>146</v>
      </c>
      <c r="BC550" s="19"/>
      <c r="BD550" s="19"/>
      <c r="BE550" s="19"/>
      <c r="BF550" s="19"/>
      <c r="BG550" s="24">
        <v>1</v>
      </c>
      <c r="BH550" s="25"/>
      <c r="BI550" s="25"/>
      <c r="BJ550" s="25"/>
      <c r="BK550" s="25"/>
      <c r="BL550" s="25"/>
      <c r="BM550" s="25"/>
      <c r="BN550" s="26"/>
      <c r="BO550" s="21"/>
      <c r="BP550" s="27">
        <f t="shared" si="189"/>
        <v>0</v>
      </c>
      <c r="BQ550" s="27">
        <f t="shared" si="190"/>
        <v>0</v>
      </c>
      <c r="BR550" s="27">
        <f t="shared" si="191"/>
        <v>0</v>
      </c>
      <c r="BS550" s="27">
        <f t="shared" si="187"/>
        <v>0</v>
      </c>
      <c r="BT550" s="28">
        <f t="shared" si="184"/>
        <v>0</v>
      </c>
      <c r="BU550" s="28">
        <f t="shared" si="181"/>
        <v>0</v>
      </c>
      <c r="BV550" s="28">
        <f t="shared" si="182"/>
        <v>598</v>
      </c>
      <c r="BW550" s="28">
        <f t="shared" si="183"/>
        <v>598</v>
      </c>
    </row>
    <row r="551" spans="1:75" ht="17.399999999999999" x14ac:dyDescent="0.25">
      <c r="A551" s="69">
        <f t="shared" si="167"/>
        <v>550</v>
      </c>
      <c r="B551" s="71" t="s">
        <v>148</v>
      </c>
      <c r="C551" s="71" t="s">
        <v>290</v>
      </c>
      <c r="D551" s="71" t="s">
        <v>150</v>
      </c>
      <c r="E551" s="71" t="s">
        <v>69</v>
      </c>
      <c r="F551" s="71" t="s">
        <v>151</v>
      </c>
      <c r="G551" s="71" t="s">
        <v>259</v>
      </c>
      <c r="H551" s="71" t="s">
        <v>260</v>
      </c>
      <c r="I551" s="71" t="str">
        <f>VLOOKUP(H551,[1]Sheet1!$C:$C,1,0)</f>
        <v>SC2498SO-Q-DB-60CR-2498</v>
      </c>
      <c r="J551" s="71"/>
      <c r="K551" s="71"/>
      <c r="L551" s="71" t="s">
        <v>152</v>
      </c>
      <c r="M551" s="72">
        <v>6000000</v>
      </c>
      <c r="N551" s="71" t="s">
        <v>60</v>
      </c>
      <c r="O551" s="71" t="s">
        <v>153</v>
      </c>
      <c r="P551" s="71" t="s">
        <v>154</v>
      </c>
      <c r="Q551" s="74"/>
      <c r="R551" s="100">
        <v>0.48</v>
      </c>
      <c r="S551" s="75">
        <f t="shared" si="188"/>
        <v>0</v>
      </c>
      <c r="T551" s="76">
        <v>0</v>
      </c>
      <c r="U551" s="76">
        <f t="shared" si="180"/>
        <v>0</v>
      </c>
      <c r="V551" s="71"/>
      <c r="W551" s="71"/>
      <c r="X551" s="71"/>
      <c r="Y551" s="71"/>
      <c r="Z551" s="71"/>
      <c r="AA551" s="71"/>
      <c r="AB551" s="81"/>
      <c r="AC551" s="81"/>
      <c r="AD551" s="77"/>
      <c r="AE551" s="75"/>
      <c r="AF551" s="75"/>
      <c r="AG551" s="75"/>
      <c r="AH551" s="75">
        <v>0</v>
      </c>
      <c r="AI551" s="75"/>
      <c r="AJ551" s="75">
        <v>0</v>
      </c>
      <c r="AK551" s="11">
        <v>0</v>
      </c>
      <c r="AL551" s="11">
        <v>0</v>
      </c>
      <c r="AM551" s="11">
        <v>0</v>
      </c>
      <c r="AN551" s="11">
        <v>0</v>
      </c>
      <c r="AO551" s="11">
        <v>0</v>
      </c>
      <c r="AP551" s="11">
        <v>0</v>
      </c>
      <c r="AQ551" s="11">
        <v>0</v>
      </c>
      <c r="AR551" s="11"/>
      <c r="AS551" s="11"/>
      <c r="AT551" s="11"/>
      <c r="AU551" s="11"/>
      <c r="AV551" s="11"/>
      <c r="AW551" s="10" t="s">
        <v>155</v>
      </c>
      <c r="AX551" s="10" t="s">
        <v>61</v>
      </c>
      <c r="AY551" s="19" t="s">
        <v>261</v>
      </c>
      <c r="AZ551" s="10" t="s">
        <v>62</v>
      </c>
      <c r="BA551" s="10" t="s">
        <v>86</v>
      </c>
      <c r="BB551" s="10" t="s">
        <v>87</v>
      </c>
      <c r="BC551" s="10" t="s">
        <v>88</v>
      </c>
      <c r="BD551" s="10" t="s">
        <v>156</v>
      </c>
      <c r="BE551" s="10"/>
      <c r="BF551" s="10"/>
      <c r="BG551" s="13"/>
      <c r="BH551" s="10"/>
      <c r="BI551" s="10"/>
      <c r="BJ551" s="10"/>
      <c r="BK551" s="10"/>
      <c r="BL551" s="10"/>
      <c r="BM551" s="10"/>
      <c r="BN551" s="35"/>
      <c r="BO551" s="11"/>
      <c r="BP551" s="16">
        <f t="shared" si="189"/>
        <v>0</v>
      </c>
      <c r="BQ551" s="16">
        <f t="shared" si="190"/>
        <v>0</v>
      </c>
      <c r="BR551" s="16">
        <f t="shared" si="191"/>
        <v>0</v>
      </c>
      <c r="BS551" s="16">
        <f t="shared" si="187"/>
        <v>0</v>
      </c>
      <c r="BT551" s="17">
        <f t="shared" si="184"/>
        <v>0</v>
      </c>
      <c r="BU551" s="28">
        <f t="shared" si="181"/>
        <v>0</v>
      </c>
      <c r="BV551" s="28">
        <f t="shared" si="182"/>
        <v>0</v>
      </c>
      <c r="BW551" s="28">
        <f t="shared" si="183"/>
        <v>0</v>
      </c>
    </row>
    <row r="552" spans="1:75" ht="17.399999999999999" x14ac:dyDescent="0.25">
      <c r="A552" s="69">
        <f t="shared" si="167"/>
        <v>551</v>
      </c>
      <c r="B552" s="71" t="s">
        <v>148</v>
      </c>
      <c r="C552" s="71" t="s">
        <v>290</v>
      </c>
      <c r="D552" s="71" t="s">
        <v>150</v>
      </c>
      <c r="E552" s="71" t="s">
        <v>69</v>
      </c>
      <c r="F552" s="71" t="s">
        <v>151</v>
      </c>
      <c r="G552" s="71" t="s">
        <v>139</v>
      </c>
      <c r="H552" s="73" t="s">
        <v>291</v>
      </c>
      <c r="I552" s="71" t="str">
        <f>VLOOKUP(H552,[1]Sheet1!$C:$C,1,0)</f>
        <v>SC2498UA-N-Q-DB-60AK-2498</v>
      </c>
      <c r="J552" s="71"/>
      <c r="K552" s="71"/>
      <c r="L552" s="71" t="s">
        <v>152</v>
      </c>
      <c r="M552" s="72">
        <v>100000</v>
      </c>
      <c r="N552" s="71" t="s">
        <v>60</v>
      </c>
      <c r="O552" s="71" t="s">
        <v>95</v>
      </c>
      <c r="P552" s="71" t="s">
        <v>154</v>
      </c>
      <c r="Q552" s="74"/>
      <c r="R552" s="100">
        <v>0.57999999999999996</v>
      </c>
      <c r="S552" s="75">
        <f t="shared" si="188"/>
        <v>87000</v>
      </c>
      <c r="T552" s="76">
        <v>231999.99999999997</v>
      </c>
      <c r="U552" s="76">
        <f t="shared" si="180"/>
        <v>150000</v>
      </c>
      <c r="V552" s="81"/>
      <c r="W552" s="81"/>
      <c r="X552" s="81">
        <v>100000</v>
      </c>
      <c r="Y552" s="81">
        <v>50000</v>
      </c>
      <c r="Z552" s="81">
        <v>50000</v>
      </c>
      <c r="AA552" s="81">
        <v>50000</v>
      </c>
      <c r="AB552" s="81">
        <v>50000</v>
      </c>
      <c r="AC552" s="81">
        <v>50000</v>
      </c>
      <c r="AD552" s="77">
        <v>50000</v>
      </c>
      <c r="AE552" s="75">
        <v>50000</v>
      </c>
      <c r="AF552" s="75">
        <v>50000</v>
      </c>
      <c r="AG552" s="75">
        <v>50000</v>
      </c>
      <c r="AH552" s="75">
        <v>50000</v>
      </c>
      <c r="AI552" s="75">
        <v>50000</v>
      </c>
      <c r="AJ552" s="75">
        <v>50000</v>
      </c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19" t="s">
        <v>155</v>
      </c>
      <c r="AX552" s="19" t="s">
        <v>61</v>
      </c>
      <c r="AY552" s="19" t="s">
        <v>261</v>
      </c>
      <c r="AZ552" s="19" t="s">
        <v>62</v>
      </c>
      <c r="BA552" s="19" t="s">
        <v>86</v>
      </c>
      <c r="BB552" s="19" t="s">
        <v>87</v>
      </c>
      <c r="BC552" s="19" t="s">
        <v>88</v>
      </c>
      <c r="BD552" s="19" t="s">
        <v>156</v>
      </c>
      <c r="BE552" s="19"/>
      <c r="BF552" s="19"/>
      <c r="BG552" s="24"/>
      <c r="BH552" s="19"/>
      <c r="BI552" s="19"/>
      <c r="BJ552" s="19"/>
      <c r="BK552" s="19"/>
      <c r="BL552" s="19"/>
      <c r="BM552" s="19"/>
      <c r="BN552" s="37"/>
      <c r="BO552" s="21"/>
      <c r="BP552" s="27">
        <f t="shared" si="189"/>
        <v>28999.999999999996</v>
      </c>
      <c r="BQ552" s="27">
        <f t="shared" si="190"/>
        <v>28999.999999999996</v>
      </c>
      <c r="BR552" s="27">
        <f t="shared" si="191"/>
        <v>28999.999999999996</v>
      </c>
      <c r="BS552" s="27">
        <f t="shared" si="187"/>
        <v>28999.999999999996</v>
      </c>
      <c r="BT552" s="28">
        <f t="shared" si="184"/>
        <v>28999.999999999996</v>
      </c>
      <c r="BU552" s="28">
        <f t="shared" si="181"/>
        <v>28999.999999999996</v>
      </c>
      <c r="BV552" s="28">
        <f t="shared" si="182"/>
        <v>28999.999999999996</v>
      </c>
      <c r="BW552" s="28">
        <f t="shared" si="183"/>
        <v>28999.999999999996</v>
      </c>
    </row>
    <row r="553" spans="1:75" ht="17.399999999999999" x14ac:dyDescent="0.25">
      <c r="A553" s="69">
        <f t="shared" ref="A553:A614" si="192">ROW()-1</f>
        <v>552</v>
      </c>
      <c r="B553" s="71" t="s">
        <v>148</v>
      </c>
      <c r="C553" s="71" t="s">
        <v>290</v>
      </c>
      <c r="D553" s="71" t="s">
        <v>150</v>
      </c>
      <c r="E553" s="71" t="s">
        <v>69</v>
      </c>
      <c r="F553" s="71" t="s">
        <v>151</v>
      </c>
      <c r="G553" s="71" t="s">
        <v>259</v>
      </c>
      <c r="H553" s="71" t="s">
        <v>260</v>
      </c>
      <c r="I553" s="71" t="str">
        <f>VLOOKUP(H553,[1]Sheet1!$C:$C,1,0)</f>
        <v>SC2498SO-Q-DB-60CR-2498</v>
      </c>
      <c r="J553" s="71"/>
      <c r="K553" s="71"/>
      <c r="L553" s="71" t="s">
        <v>82</v>
      </c>
      <c r="M553" s="72">
        <v>100000</v>
      </c>
      <c r="N553" s="71" t="s">
        <v>60</v>
      </c>
      <c r="O553" s="71" t="s">
        <v>292</v>
      </c>
      <c r="P553" s="71" t="s">
        <v>154</v>
      </c>
      <c r="Q553" s="74"/>
      <c r="R553" s="100">
        <v>0.48</v>
      </c>
      <c r="S553" s="75">
        <f t="shared" si="188"/>
        <v>0</v>
      </c>
      <c r="T553" s="76">
        <v>0</v>
      </c>
      <c r="U553" s="76">
        <f t="shared" si="180"/>
        <v>0</v>
      </c>
      <c r="V553" s="72"/>
      <c r="W553" s="72"/>
      <c r="X553" s="72"/>
      <c r="Y553" s="72"/>
      <c r="Z553" s="72"/>
      <c r="AA553" s="72"/>
      <c r="AB553" s="72"/>
      <c r="AC553" s="72"/>
      <c r="AD553" s="77"/>
      <c r="AE553" s="75"/>
      <c r="AF553" s="75"/>
      <c r="AG553" s="75"/>
      <c r="AH553" s="75">
        <v>0</v>
      </c>
      <c r="AI553" s="75"/>
      <c r="AJ553" s="75">
        <v>0</v>
      </c>
      <c r="AK553" s="11">
        <v>0</v>
      </c>
      <c r="AL553" s="11">
        <v>0</v>
      </c>
      <c r="AM553" s="11">
        <v>0</v>
      </c>
      <c r="AN553" s="11">
        <v>0</v>
      </c>
      <c r="AO553" s="11">
        <v>0</v>
      </c>
      <c r="AP553" s="11">
        <v>0</v>
      </c>
      <c r="AQ553" s="11">
        <v>0</v>
      </c>
      <c r="AR553" s="11"/>
      <c r="AS553" s="11"/>
      <c r="AT553" s="11"/>
      <c r="AU553" s="11"/>
      <c r="AV553" s="11"/>
      <c r="AW553" s="10" t="s">
        <v>155</v>
      </c>
      <c r="AX553" s="10" t="s">
        <v>61</v>
      </c>
      <c r="AY553" s="19" t="s">
        <v>261</v>
      </c>
      <c r="AZ553" s="10" t="s">
        <v>62</v>
      </c>
      <c r="BA553" s="10" t="s">
        <v>96</v>
      </c>
      <c r="BB553" s="10" t="s">
        <v>87</v>
      </c>
      <c r="BC553" s="10" t="s">
        <v>88</v>
      </c>
      <c r="BD553" s="10" t="s">
        <v>293</v>
      </c>
      <c r="BE553" s="10"/>
      <c r="BF553" s="10"/>
      <c r="BG553" s="13">
        <v>1</v>
      </c>
      <c r="BH553" s="10"/>
      <c r="BI553" s="10"/>
      <c r="BJ553" s="10"/>
      <c r="BK553" s="10"/>
      <c r="BL553" s="10"/>
      <c r="BM553" s="10"/>
      <c r="BN553" s="35"/>
      <c r="BO553" s="11"/>
      <c r="BP553" s="16">
        <f t="shared" si="189"/>
        <v>0</v>
      </c>
      <c r="BQ553" s="16">
        <f t="shared" si="190"/>
        <v>0</v>
      </c>
      <c r="BR553" s="16">
        <f t="shared" si="191"/>
        <v>0</v>
      </c>
      <c r="BS553" s="16">
        <f t="shared" si="187"/>
        <v>0</v>
      </c>
      <c r="BT553" s="17">
        <f t="shared" si="184"/>
        <v>0</v>
      </c>
      <c r="BU553" s="28">
        <f t="shared" si="181"/>
        <v>0</v>
      </c>
      <c r="BV553" s="28">
        <f t="shared" si="182"/>
        <v>0</v>
      </c>
      <c r="BW553" s="28">
        <f t="shared" si="183"/>
        <v>0</v>
      </c>
    </row>
    <row r="554" spans="1:75" ht="17.399999999999999" x14ac:dyDescent="0.25">
      <c r="A554" s="69">
        <f t="shared" si="192"/>
        <v>553</v>
      </c>
      <c r="B554" s="71" t="s">
        <v>148</v>
      </c>
      <c r="C554" s="71" t="s">
        <v>290</v>
      </c>
      <c r="D554" s="71" t="s">
        <v>150</v>
      </c>
      <c r="E554" s="71" t="s">
        <v>69</v>
      </c>
      <c r="F554" s="71" t="s">
        <v>151</v>
      </c>
      <c r="G554" s="71" t="s">
        <v>259</v>
      </c>
      <c r="H554" s="71" t="s">
        <v>260</v>
      </c>
      <c r="I554" s="71" t="str">
        <f>VLOOKUP(H554,[1]Sheet1!$C:$C,1,0)</f>
        <v>SC2498SO-Q-DB-60CR-2498</v>
      </c>
      <c r="J554" s="71"/>
      <c r="K554" s="71"/>
      <c r="L554" s="71" t="s">
        <v>82</v>
      </c>
      <c r="M554" s="72">
        <v>1000000</v>
      </c>
      <c r="N554" s="71" t="s">
        <v>158</v>
      </c>
      <c r="O554" s="71" t="s">
        <v>294</v>
      </c>
      <c r="P554" s="71" t="s">
        <v>295</v>
      </c>
      <c r="Q554" s="74"/>
      <c r="R554" s="100">
        <v>0.48</v>
      </c>
      <c r="S554" s="75">
        <f t="shared" si="188"/>
        <v>1248000</v>
      </c>
      <c r="T554" s="76">
        <v>2521500</v>
      </c>
      <c r="U554" s="76">
        <f t="shared" si="180"/>
        <v>2600000</v>
      </c>
      <c r="V554" s="72"/>
      <c r="W554" s="72"/>
      <c r="X554" s="72"/>
      <c r="Y554" s="72"/>
      <c r="Z554" s="72"/>
      <c r="AA554" s="72">
        <v>500000</v>
      </c>
      <c r="AB554" s="72">
        <v>800000</v>
      </c>
      <c r="AC554" s="72">
        <v>1200000</v>
      </c>
      <c r="AD554" s="77">
        <v>800000</v>
      </c>
      <c r="AE554" s="75">
        <v>800000</v>
      </c>
      <c r="AF554" s="75">
        <v>800000</v>
      </c>
      <c r="AG554" s="75">
        <v>1000000</v>
      </c>
      <c r="AH554" s="75">
        <v>1000000</v>
      </c>
      <c r="AI554" s="75">
        <v>1000000</v>
      </c>
      <c r="AJ554" s="75">
        <v>1000000</v>
      </c>
      <c r="AK554" s="21">
        <v>0</v>
      </c>
      <c r="AL554" s="21">
        <v>0</v>
      </c>
      <c r="AM554" s="21">
        <v>0</v>
      </c>
      <c r="AN554" s="21">
        <v>0</v>
      </c>
      <c r="AO554" s="21">
        <v>0</v>
      </c>
      <c r="AP554" s="21">
        <v>0</v>
      </c>
      <c r="AQ554" s="21">
        <v>0</v>
      </c>
      <c r="AR554" s="21"/>
      <c r="AS554" s="21"/>
      <c r="AT554" s="21"/>
      <c r="AU554" s="21"/>
      <c r="AV554" s="21"/>
      <c r="AW554" s="19" t="s">
        <v>155</v>
      </c>
      <c r="AX554" s="19" t="s">
        <v>61</v>
      </c>
      <c r="AY554" s="19" t="s">
        <v>261</v>
      </c>
      <c r="AZ554" s="19" t="s">
        <v>62</v>
      </c>
      <c r="BA554" s="19" t="s">
        <v>96</v>
      </c>
      <c r="BB554" s="19" t="s">
        <v>87</v>
      </c>
      <c r="BC554" s="19" t="s">
        <v>88</v>
      </c>
      <c r="BD554" s="19"/>
      <c r="BE554" s="19"/>
      <c r="BF554" s="19"/>
      <c r="BG554" s="24">
        <v>1</v>
      </c>
      <c r="BH554" s="19"/>
      <c r="BI554" s="19"/>
      <c r="BJ554" s="19"/>
      <c r="BK554" s="19"/>
      <c r="BL554" s="19"/>
      <c r="BM554" s="19"/>
      <c r="BN554" s="37"/>
      <c r="BO554" s="21"/>
      <c r="BP554" s="27">
        <f t="shared" si="189"/>
        <v>0</v>
      </c>
      <c r="BQ554" s="27">
        <f t="shared" si="190"/>
        <v>240000</v>
      </c>
      <c r="BR554" s="27">
        <f t="shared" si="191"/>
        <v>384000</v>
      </c>
      <c r="BS554" s="27">
        <f t="shared" si="187"/>
        <v>576000</v>
      </c>
      <c r="BT554" s="28">
        <f t="shared" si="184"/>
        <v>384000</v>
      </c>
      <c r="BU554" s="28">
        <f t="shared" si="181"/>
        <v>384000</v>
      </c>
      <c r="BV554" s="28">
        <f t="shared" si="182"/>
        <v>384000</v>
      </c>
      <c r="BW554" s="28">
        <f t="shared" si="183"/>
        <v>480000</v>
      </c>
    </row>
    <row r="555" spans="1:75" ht="17.399999999999999" x14ac:dyDescent="0.25">
      <c r="A555" s="69">
        <f t="shared" si="192"/>
        <v>554</v>
      </c>
      <c r="B555" s="71" t="s">
        <v>148</v>
      </c>
      <c r="C555" s="71" t="s">
        <v>290</v>
      </c>
      <c r="D555" s="71" t="s">
        <v>150</v>
      </c>
      <c r="E555" s="71" t="s">
        <v>69</v>
      </c>
      <c r="F555" s="71" t="s">
        <v>151</v>
      </c>
      <c r="G555" s="71" t="s">
        <v>296</v>
      </c>
      <c r="H555" s="71" t="s">
        <v>297</v>
      </c>
      <c r="I555" s="71" t="str">
        <f>VLOOKUP(H555,[1]Sheet1!$C:$C,1,0)</f>
        <v>SC2448UA-N-Q-DB-60AK-2448</v>
      </c>
      <c r="J555" s="71"/>
      <c r="K555" s="71"/>
      <c r="L555" s="71" t="s">
        <v>82</v>
      </c>
      <c r="M555" s="72"/>
      <c r="N555" s="71" t="s">
        <v>60</v>
      </c>
      <c r="O555" s="71" t="s">
        <v>60</v>
      </c>
      <c r="P555" s="71"/>
      <c r="Q555" s="74"/>
      <c r="R555" s="100">
        <v>0.55000000000000004</v>
      </c>
      <c r="S555" s="75">
        <f t="shared" si="188"/>
        <v>0</v>
      </c>
      <c r="T555" s="76">
        <v>660000</v>
      </c>
      <c r="U555" s="76">
        <f t="shared" si="180"/>
        <v>0</v>
      </c>
      <c r="V555" s="72">
        <v>500000</v>
      </c>
      <c r="W555" s="72">
        <v>200000</v>
      </c>
      <c r="X555" s="72">
        <v>300000</v>
      </c>
      <c r="Y555" s="72">
        <v>0</v>
      </c>
      <c r="Z555" s="72"/>
      <c r="AA555" s="72"/>
      <c r="AB555" s="72"/>
      <c r="AC555" s="72"/>
      <c r="AD555" s="77"/>
      <c r="AE555" s="75"/>
      <c r="AF555" s="75"/>
      <c r="AG555" s="75"/>
      <c r="AH555" s="75"/>
      <c r="AI555" s="75"/>
      <c r="AJ555" s="75">
        <v>0</v>
      </c>
      <c r="AK555" s="11">
        <v>0</v>
      </c>
      <c r="AL555" s="11">
        <v>0</v>
      </c>
      <c r="AM555" s="11">
        <v>0</v>
      </c>
      <c r="AN555" s="11">
        <v>0</v>
      </c>
      <c r="AO555" s="11">
        <v>0</v>
      </c>
      <c r="AP555" s="11">
        <v>0</v>
      </c>
      <c r="AQ555" s="11">
        <v>0</v>
      </c>
      <c r="AR555" s="11"/>
      <c r="AS555" s="11"/>
      <c r="AT555" s="11"/>
      <c r="AU555" s="11"/>
      <c r="AV555" s="11"/>
      <c r="AW555" s="10" t="s">
        <v>155</v>
      </c>
      <c r="AX555" s="10" t="s">
        <v>61</v>
      </c>
      <c r="AY555" s="19" t="s">
        <v>261</v>
      </c>
      <c r="AZ555" s="10" t="s">
        <v>62</v>
      </c>
      <c r="BA555" s="10" t="s">
        <v>96</v>
      </c>
      <c r="BB555" s="10" t="s">
        <v>87</v>
      </c>
      <c r="BC555" s="10" t="s">
        <v>88</v>
      </c>
      <c r="BD555" s="10"/>
      <c r="BE555" s="10"/>
      <c r="BF555" s="10"/>
      <c r="BG555" s="13">
        <v>1</v>
      </c>
      <c r="BH555" s="10"/>
      <c r="BI555" s="10"/>
      <c r="BJ555" s="10"/>
      <c r="BK555" s="10"/>
      <c r="BL555" s="10"/>
      <c r="BM555" s="10"/>
      <c r="BN555" s="35"/>
      <c r="BO555" s="11"/>
      <c r="BP555" s="16">
        <f t="shared" si="189"/>
        <v>0</v>
      </c>
      <c r="BQ555" s="16">
        <f t="shared" si="190"/>
        <v>0</v>
      </c>
      <c r="BR555" s="16">
        <f t="shared" si="191"/>
        <v>0</v>
      </c>
      <c r="BS555" s="16">
        <f t="shared" si="187"/>
        <v>0</v>
      </c>
      <c r="BT555" s="17">
        <f t="shared" si="184"/>
        <v>0</v>
      </c>
      <c r="BU555" s="28">
        <f t="shared" si="181"/>
        <v>0</v>
      </c>
      <c r="BV555" s="28">
        <f t="shared" si="182"/>
        <v>0</v>
      </c>
      <c r="BW555" s="28">
        <f t="shared" si="183"/>
        <v>0</v>
      </c>
    </row>
    <row r="556" spans="1:75" ht="17.399999999999999" x14ac:dyDescent="0.25">
      <c r="A556" s="69">
        <f t="shared" si="192"/>
        <v>555</v>
      </c>
      <c r="B556" s="73" t="s">
        <v>1306</v>
      </c>
      <c r="C556" s="71" t="s">
        <v>149</v>
      </c>
      <c r="D556" s="71" t="s">
        <v>1307</v>
      </c>
      <c r="E556" s="71" t="s">
        <v>1302</v>
      </c>
      <c r="F556" s="71" t="s">
        <v>1308</v>
      </c>
      <c r="G556" s="71" t="s">
        <v>1087</v>
      </c>
      <c r="H556" s="71" t="s">
        <v>1316</v>
      </c>
      <c r="I556" s="71" t="str">
        <f>VLOOKUP(H556,[1]Sheet1!$C:$C,1,0)</f>
        <v>TRVE1430Q1CA3R5-1430Q</v>
      </c>
      <c r="J556" s="71"/>
      <c r="K556" s="71"/>
      <c r="L556" s="71" t="s">
        <v>1310</v>
      </c>
      <c r="M556" s="80"/>
      <c r="N556" s="72" t="s">
        <v>251</v>
      </c>
      <c r="O556" s="73" t="s">
        <v>1317</v>
      </c>
      <c r="P556" s="71" t="s">
        <v>295</v>
      </c>
      <c r="Q556" s="71"/>
      <c r="R556" s="100">
        <v>0.8</v>
      </c>
      <c r="S556" s="75">
        <f t="shared" si="188"/>
        <v>0</v>
      </c>
      <c r="T556" s="88">
        <f>R556*SUM(AK556:AP556)</f>
        <v>0</v>
      </c>
      <c r="U556" s="76">
        <f t="shared" si="180"/>
        <v>0</v>
      </c>
      <c r="V556" s="80">
        <v>0</v>
      </c>
      <c r="W556" s="80">
        <v>0</v>
      </c>
      <c r="X556" s="80">
        <v>0</v>
      </c>
      <c r="Y556" s="80">
        <v>0</v>
      </c>
      <c r="Z556" s="80">
        <v>0</v>
      </c>
      <c r="AA556" s="80">
        <v>0</v>
      </c>
      <c r="AB556" s="80">
        <v>0</v>
      </c>
      <c r="AC556" s="80">
        <v>0</v>
      </c>
      <c r="AD556" s="77">
        <v>0</v>
      </c>
      <c r="AE556" s="75">
        <v>0</v>
      </c>
      <c r="AF556" s="75">
        <v>0</v>
      </c>
      <c r="AG556" s="75">
        <v>0</v>
      </c>
      <c r="AH556" s="75">
        <v>0</v>
      </c>
      <c r="AI556" s="75"/>
      <c r="AJ556" s="75">
        <v>0</v>
      </c>
      <c r="AK556" s="31">
        <v>0</v>
      </c>
      <c r="AL556" s="31">
        <v>0</v>
      </c>
      <c r="AM556" s="31">
        <v>0</v>
      </c>
      <c r="AN556" s="31">
        <v>0</v>
      </c>
      <c r="AO556" s="31">
        <v>0</v>
      </c>
      <c r="AP556" s="31">
        <v>0</v>
      </c>
      <c r="AQ556" s="31">
        <v>0</v>
      </c>
      <c r="AR556" s="31">
        <v>0</v>
      </c>
      <c r="AS556" s="31">
        <v>0</v>
      </c>
      <c r="AT556" s="31">
        <v>0</v>
      </c>
      <c r="AU556" s="31">
        <v>0</v>
      </c>
      <c r="AV556" s="31">
        <v>0</v>
      </c>
      <c r="AW556" s="10" t="s">
        <v>155</v>
      </c>
      <c r="AX556" s="10" t="s">
        <v>85</v>
      </c>
      <c r="AY556" s="19" t="s">
        <v>690</v>
      </c>
      <c r="AZ556" s="10" t="s">
        <v>62</v>
      </c>
      <c r="BA556" s="10" t="s">
        <v>96</v>
      </c>
      <c r="BB556" s="10" t="s">
        <v>1313</v>
      </c>
      <c r="BC556" s="10" t="s">
        <v>1314</v>
      </c>
      <c r="BD556" s="10" t="s">
        <v>1315</v>
      </c>
      <c r="BE556" s="10"/>
      <c r="BF556" s="10"/>
      <c r="BG556" s="13">
        <v>3</v>
      </c>
      <c r="BH556" s="10"/>
      <c r="BI556" s="14"/>
      <c r="BJ556" s="14"/>
      <c r="BK556" s="14"/>
      <c r="BL556" s="14"/>
      <c r="BM556" s="14"/>
      <c r="BN556" s="35"/>
      <c r="BO556" s="11"/>
      <c r="BP556" s="16">
        <f t="shared" si="189"/>
        <v>0</v>
      </c>
      <c r="BQ556" s="16">
        <f t="shared" si="190"/>
        <v>0</v>
      </c>
      <c r="BR556" s="16">
        <f t="shared" si="191"/>
        <v>0</v>
      </c>
      <c r="BS556" s="16">
        <f t="shared" si="187"/>
        <v>0</v>
      </c>
      <c r="BT556" s="17">
        <f t="shared" si="184"/>
        <v>0</v>
      </c>
      <c r="BU556" s="28">
        <f t="shared" si="181"/>
        <v>0</v>
      </c>
      <c r="BV556" s="28">
        <f t="shared" si="182"/>
        <v>0</v>
      </c>
      <c r="BW556" s="28">
        <f t="shared" si="183"/>
        <v>0</v>
      </c>
    </row>
    <row r="557" spans="1:75" ht="17.399999999999999" x14ac:dyDescent="0.25">
      <c r="A557" s="69">
        <f t="shared" si="192"/>
        <v>556</v>
      </c>
      <c r="B557" s="70" t="s">
        <v>135</v>
      </c>
      <c r="C557" s="71" t="s">
        <v>235</v>
      </c>
      <c r="D557" s="71" t="s">
        <v>136</v>
      </c>
      <c r="E557" s="71" t="s">
        <v>69</v>
      </c>
      <c r="F557" s="71" t="s">
        <v>137</v>
      </c>
      <c r="G557" s="71" t="s">
        <v>81</v>
      </c>
      <c r="H557" s="71" t="s">
        <v>1987</v>
      </c>
      <c r="I557" s="71" t="str">
        <f>VLOOKUP(H557,[1]Sheet1!$C:$C,1,0)</f>
        <v>SC2498TSO-Q-DB-60CR-2498T</v>
      </c>
      <c r="J557" s="71"/>
      <c r="K557" s="71"/>
      <c r="L557" s="71"/>
      <c r="M557" s="72"/>
      <c r="N557" s="71"/>
      <c r="O557" s="73"/>
      <c r="P557" s="71"/>
      <c r="Q557" s="74"/>
      <c r="R557" s="100">
        <v>0.64100000000000001</v>
      </c>
      <c r="S557" s="75"/>
      <c r="T557" s="76"/>
      <c r="U557" s="76">
        <f t="shared" si="180"/>
        <v>60000</v>
      </c>
      <c r="V557" s="72"/>
      <c r="W557" s="72"/>
      <c r="X557" s="72"/>
      <c r="Y557" s="72"/>
      <c r="Z557" s="72"/>
      <c r="AA557" s="72"/>
      <c r="AB557" s="72"/>
      <c r="AC557" s="72"/>
      <c r="AD557" s="77"/>
      <c r="AE557" s="75"/>
      <c r="AF557" s="75"/>
      <c r="AG557" s="75">
        <v>60000</v>
      </c>
      <c r="AH557" s="75">
        <v>60000</v>
      </c>
      <c r="AI557" s="75">
        <v>60000</v>
      </c>
      <c r="AJ557" s="75">
        <v>60000</v>
      </c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19"/>
      <c r="AX557" s="19"/>
      <c r="AY557" s="19" t="s">
        <v>261</v>
      </c>
      <c r="AZ557" s="18"/>
      <c r="BA557" s="19"/>
      <c r="BB557" s="19"/>
      <c r="BC557" s="19"/>
      <c r="BD557" s="19"/>
      <c r="BE557" s="19"/>
      <c r="BF557" s="19"/>
      <c r="BG557" s="24"/>
      <c r="BH557" s="25"/>
      <c r="BI557" s="25"/>
      <c r="BJ557" s="25"/>
      <c r="BK557" s="25"/>
      <c r="BL557" s="25"/>
      <c r="BM557" s="25"/>
      <c r="BN557" s="26"/>
      <c r="BO557" s="21"/>
      <c r="BP557" s="27"/>
      <c r="BQ557" s="27"/>
      <c r="BR557" s="27"/>
      <c r="BS557" s="27"/>
      <c r="BT557" s="28"/>
      <c r="BU557" s="28">
        <f t="shared" si="181"/>
        <v>0</v>
      </c>
      <c r="BV557" s="28">
        <f t="shared" si="182"/>
        <v>0</v>
      </c>
      <c r="BW557" s="28">
        <f t="shared" si="183"/>
        <v>38460</v>
      </c>
    </row>
    <row r="558" spans="1:75" ht="17.399999999999999" x14ac:dyDescent="0.25">
      <c r="A558" s="69">
        <f t="shared" si="192"/>
        <v>557</v>
      </c>
      <c r="B558" s="73" t="s">
        <v>1617</v>
      </c>
      <c r="C558" s="71" t="s">
        <v>243</v>
      </c>
      <c r="D558" s="71" t="s">
        <v>1599</v>
      </c>
      <c r="E558" s="71" t="s">
        <v>1532</v>
      </c>
      <c r="F558" s="71" t="s">
        <v>1600</v>
      </c>
      <c r="G558" s="71" t="s">
        <v>1412</v>
      </c>
      <c r="H558" s="71" t="s">
        <v>1413</v>
      </c>
      <c r="I558" s="71" t="str">
        <f>VLOOKUP(H558,[1]Sheet1!$C:$C,1,0)</f>
        <v>TRVE1430Q1VA3RADJ(VA2201E)-1430Q</v>
      </c>
      <c r="J558" s="71"/>
      <c r="K558" s="71"/>
      <c r="L558" s="73" t="s">
        <v>1618</v>
      </c>
      <c r="M558" s="80">
        <v>150000</v>
      </c>
      <c r="N558" s="72" t="s">
        <v>251</v>
      </c>
      <c r="O558" s="73"/>
      <c r="P558" s="71" t="s">
        <v>504</v>
      </c>
      <c r="Q558" s="71"/>
      <c r="R558" s="100">
        <v>0.57999999999999996</v>
      </c>
      <c r="S558" s="75">
        <f>R558*U558</f>
        <v>8700</v>
      </c>
      <c r="T558" s="91">
        <v>0</v>
      </c>
      <c r="U558" s="76">
        <f t="shared" si="180"/>
        <v>15000</v>
      </c>
      <c r="V558" s="80"/>
      <c r="W558" s="80"/>
      <c r="X558" s="80"/>
      <c r="Y558" s="72"/>
      <c r="Z558" s="72"/>
      <c r="AA558" s="72"/>
      <c r="AB558" s="72"/>
      <c r="AC558" s="72"/>
      <c r="AD558" s="77"/>
      <c r="AE558" s="75">
        <v>5000</v>
      </c>
      <c r="AF558" s="75">
        <v>5000</v>
      </c>
      <c r="AG558" s="75">
        <v>5000</v>
      </c>
      <c r="AH558" s="75">
        <v>5000</v>
      </c>
      <c r="AI558" s="75">
        <v>5000</v>
      </c>
      <c r="AJ558" s="75">
        <v>5000</v>
      </c>
      <c r="AK558" s="33"/>
      <c r="AL558" s="33"/>
      <c r="AM558" s="33"/>
      <c r="AN558" s="33"/>
      <c r="AO558" s="33"/>
      <c r="AP558" s="33"/>
      <c r="AQ558" s="33"/>
      <c r="AR558" s="33"/>
      <c r="AS558" s="33"/>
      <c r="AT558" s="33"/>
      <c r="AU558" s="33"/>
      <c r="AV558" s="33"/>
      <c r="AW558" s="19" t="s">
        <v>494</v>
      </c>
      <c r="AX558" s="19" t="s">
        <v>85</v>
      </c>
      <c r="AY558" s="19" t="s">
        <v>690</v>
      </c>
      <c r="AZ558" s="19" t="s">
        <v>62</v>
      </c>
      <c r="BA558" s="19" t="s">
        <v>466</v>
      </c>
      <c r="BB558" s="19" t="s">
        <v>1076</v>
      </c>
      <c r="BC558" s="19"/>
      <c r="BD558" s="19"/>
      <c r="BE558" s="19"/>
      <c r="BF558" s="19"/>
      <c r="BG558" s="24"/>
      <c r="BH558" s="19"/>
      <c r="BI558" s="25"/>
      <c r="BJ558" s="25"/>
      <c r="BK558" s="25"/>
      <c r="BL558" s="25"/>
      <c r="BM558" s="25"/>
      <c r="BN558" s="37"/>
      <c r="BO558" s="21"/>
      <c r="BP558" s="27">
        <f>$R558*Z558</f>
        <v>0</v>
      </c>
      <c r="BQ558" s="27">
        <f>$R558*AA558</f>
        <v>0</v>
      </c>
      <c r="BR558" s="27">
        <f>$R558*AB558</f>
        <v>0</v>
      </c>
      <c r="BS558" s="27">
        <f>$R558*AC558</f>
        <v>0</v>
      </c>
      <c r="BT558" s="28">
        <f>$R558*AD558</f>
        <v>0</v>
      </c>
      <c r="BU558" s="28">
        <f t="shared" si="181"/>
        <v>2900</v>
      </c>
      <c r="BV558" s="28">
        <f t="shared" si="182"/>
        <v>2900</v>
      </c>
      <c r="BW558" s="28">
        <f t="shared" si="183"/>
        <v>2900</v>
      </c>
    </row>
    <row r="559" spans="1:75" ht="17.399999999999999" x14ac:dyDescent="0.25">
      <c r="A559" s="69">
        <f t="shared" si="192"/>
        <v>558</v>
      </c>
      <c r="B559" s="73" t="s">
        <v>1929</v>
      </c>
      <c r="C559" s="71" t="s">
        <v>243</v>
      </c>
      <c r="D559" s="71" t="s">
        <v>1811</v>
      </c>
      <c r="E559" s="71" t="s">
        <v>978</v>
      </c>
      <c r="F559" s="71" t="s">
        <v>978</v>
      </c>
      <c r="G559" s="71" t="s">
        <v>1930</v>
      </c>
      <c r="H559" s="71" t="s">
        <v>1931</v>
      </c>
      <c r="I559" s="71" t="str">
        <f>VLOOKUP(H559,[1]Sheet1!$C:$C,1,0)</f>
        <v>SC1245S2-CD-00AK-41HL</v>
      </c>
      <c r="J559" s="71"/>
      <c r="K559" s="71"/>
      <c r="L559" s="73"/>
      <c r="M559" s="80"/>
      <c r="N559" s="72"/>
      <c r="O559" s="73"/>
      <c r="P559" s="71"/>
      <c r="Q559" s="71"/>
      <c r="R559" s="100">
        <v>0.24</v>
      </c>
      <c r="S559" s="75"/>
      <c r="T559" s="91"/>
      <c r="U559" s="76">
        <f t="shared" si="180"/>
        <v>0</v>
      </c>
      <c r="V559" s="80"/>
      <c r="W559" s="80"/>
      <c r="X559" s="80"/>
      <c r="Y559" s="72"/>
      <c r="Z559" s="72"/>
      <c r="AA559" s="72"/>
      <c r="AB559" s="72"/>
      <c r="AC559" s="72"/>
      <c r="AD559" s="77"/>
      <c r="AE559" s="75"/>
      <c r="AF559" s="75"/>
      <c r="AG559" s="75"/>
      <c r="AH559" s="75"/>
      <c r="AI559" s="75"/>
      <c r="AJ559" s="75"/>
      <c r="AK559" s="33"/>
      <c r="AL559" s="33"/>
      <c r="AM559" s="33"/>
      <c r="AN559" s="33"/>
      <c r="AO559" s="33"/>
      <c r="AP559" s="33"/>
      <c r="AQ559" s="33"/>
      <c r="AR559" s="33"/>
      <c r="AS559" s="33"/>
      <c r="AT559" s="33"/>
      <c r="AU559" s="33"/>
      <c r="AV559" s="33"/>
      <c r="AW559" s="19"/>
      <c r="AX559" s="19"/>
      <c r="AY559" s="19" t="s">
        <v>261</v>
      </c>
      <c r="AZ559" s="19"/>
      <c r="BA559" s="19"/>
      <c r="BB559" s="19"/>
      <c r="BC559" s="19"/>
      <c r="BD559" s="19"/>
      <c r="BE559" s="19"/>
      <c r="BF559" s="19"/>
      <c r="BG559" s="24"/>
      <c r="BH559" s="19"/>
      <c r="BI559" s="25"/>
      <c r="BJ559" s="25"/>
      <c r="BK559" s="25"/>
      <c r="BL559" s="25"/>
      <c r="BM559" s="25"/>
      <c r="BN559" s="37"/>
      <c r="BO559" s="21"/>
      <c r="BP559" s="27"/>
      <c r="BQ559" s="27"/>
      <c r="BR559" s="27"/>
      <c r="BS559" s="27"/>
      <c r="BT559" s="28"/>
      <c r="BU559" s="28">
        <f t="shared" si="181"/>
        <v>0</v>
      </c>
      <c r="BV559" s="28">
        <f t="shared" si="182"/>
        <v>0</v>
      </c>
      <c r="BW559" s="28">
        <f t="shared" si="183"/>
        <v>0</v>
      </c>
    </row>
    <row r="560" spans="1:75" ht="17.399999999999999" x14ac:dyDescent="0.25">
      <c r="A560" s="69">
        <f t="shared" si="192"/>
        <v>559</v>
      </c>
      <c r="B560" s="73" t="s">
        <v>1932</v>
      </c>
      <c r="C560" s="71" t="s">
        <v>243</v>
      </c>
      <c r="D560" s="71" t="s">
        <v>1811</v>
      </c>
      <c r="E560" s="71" t="s">
        <v>978</v>
      </c>
      <c r="F560" s="71" t="s">
        <v>978</v>
      </c>
      <c r="G560" s="71" t="s">
        <v>357</v>
      </c>
      <c r="H560" s="71" t="s">
        <v>1921</v>
      </c>
      <c r="I560" s="71" t="str">
        <f>VLOOKUP(H560,[1]Sheet1!$C:$C,1,0)</f>
        <v>SC2442SO-N-CP-10CR-2442</v>
      </c>
      <c r="J560" s="71"/>
      <c r="K560" s="71"/>
      <c r="L560" s="73"/>
      <c r="M560" s="80"/>
      <c r="N560" s="72"/>
      <c r="O560" s="73"/>
      <c r="P560" s="71"/>
      <c r="Q560" s="71"/>
      <c r="R560" s="100">
        <v>0.5</v>
      </c>
      <c r="S560" s="75"/>
      <c r="T560" s="91"/>
      <c r="U560" s="76">
        <f t="shared" si="180"/>
        <v>0</v>
      </c>
      <c r="V560" s="80"/>
      <c r="W560" s="80"/>
      <c r="X560" s="80"/>
      <c r="Y560" s="72"/>
      <c r="Z560" s="72"/>
      <c r="AA560" s="72"/>
      <c r="AB560" s="72"/>
      <c r="AC560" s="72"/>
      <c r="AD560" s="77"/>
      <c r="AE560" s="75"/>
      <c r="AF560" s="75"/>
      <c r="AG560" s="75"/>
      <c r="AH560" s="75"/>
      <c r="AI560" s="75"/>
      <c r="AJ560" s="75"/>
      <c r="AK560" s="33"/>
      <c r="AL560" s="33"/>
      <c r="AM560" s="33"/>
      <c r="AN560" s="33"/>
      <c r="AO560" s="33"/>
      <c r="AP560" s="33"/>
      <c r="AQ560" s="33"/>
      <c r="AR560" s="33"/>
      <c r="AS560" s="33"/>
      <c r="AT560" s="33"/>
      <c r="AU560" s="33"/>
      <c r="AV560" s="33"/>
      <c r="AW560" s="19"/>
      <c r="AX560" s="19"/>
      <c r="AY560" s="19" t="s">
        <v>261</v>
      </c>
      <c r="AZ560" s="19"/>
      <c r="BA560" s="19"/>
      <c r="BB560" s="19"/>
      <c r="BC560" s="19"/>
      <c r="BD560" s="19"/>
      <c r="BE560" s="19"/>
      <c r="BF560" s="19"/>
      <c r="BG560" s="24"/>
      <c r="BH560" s="19"/>
      <c r="BI560" s="25"/>
      <c r="BJ560" s="25"/>
      <c r="BK560" s="25"/>
      <c r="BL560" s="25"/>
      <c r="BM560" s="25"/>
      <c r="BN560" s="37"/>
      <c r="BO560" s="21"/>
      <c r="BP560" s="27"/>
      <c r="BQ560" s="27"/>
      <c r="BR560" s="27"/>
      <c r="BS560" s="27"/>
      <c r="BT560" s="28"/>
      <c r="BU560" s="28">
        <f t="shared" si="181"/>
        <v>0</v>
      </c>
      <c r="BV560" s="28">
        <f t="shared" si="182"/>
        <v>0</v>
      </c>
      <c r="BW560" s="28">
        <f t="shared" si="183"/>
        <v>0</v>
      </c>
    </row>
    <row r="561" spans="1:75" ht="17.399999999999999" x14ac:dyDescent="0.25">
      <c r="A561" s="69">
        <f t="shared" si="192"/>
        <v>560</v>
      </c>
      <c r="B561" s="73" t="s">
        <v>1932</v>
      </c>
      <c r="C561" s="71" t="s">
        <v>243</v>
      </c>
      <c r="D561" s="71" t="s">
        <v>1811</v>
      </c>
      <c r="E561" s="71" t="s">
        <v>978</v>
      </c>
      <c r="F561" s="71" t="s">
        <v>978</v>
      </c>
      <c r="G561" s="71" t="s">
        <v>1660</v>
      </c>
      <c r="H561" s="71" t="s">
        <v>1557</v>
      </c>
      <c r="I561" s="71" t="str">
        <f>VLOOKUP(H561,[1]Sheet1!$C:$C,1,0)</f>
        <v>SC2943SO-Q-DB-60CR-2943</v>
      </c>
      <c r="J561" s="71"/>
      <c r="K561" s="71"/>
      <c r="L561" s="73"/>
      <c r="M561" s="80"/>
      <c r="N561" s="72"/>
      <c r="O561" s="73"/>
      <c r="P561" s="71"/>
      <c r="Q561" s="71"/>
      <c r="R561" s="100">
        <v>0.45</v>
      </c>
      <c r="S561" s="75"/>
      <c r="T561" s="91"/>
      <c r="U561" s="76">
        <f t="shared" si="180"/>
        <v>0</v>
      </c>
      <c r="V561" s="80"/>
      <c r="W561" s="80"/>
      <c r="X561" s="80"/>
      <c r="Y561" s="72"/>
      <c r="Z561" s="72"/>
      <c r="AA561" s="72"/>
      <c r="AB561" s="72"/>
      <c r="AC561" s="72"/>
      <c r="AD561" s="77"/>
      <c r="AE561" s="75"/>
      <c r="AF561" s="75"/>
      <c r="AG561" s="75"/>
      <c r="AH561" s="75"/>
      <c r="AI561" s="75"/>
      <c r="AJ561" s="75"/>
      <c r="AK561" s="33"/>
      <c r="AL561" s="33"/>
      <c r="AM561" s="33"/>
      <c r="AN561" s="33"/>
      <c r="AO561" s="33"/>
      <c r="AP561" s="33"/>
      <c r="AQ561" s="33"/>
      <c r="AR561" s="33"/>
      <c r="AS561" s="33"/>
      <c r="AT561" s="33"/>
      <c r="AU561" s="33"/>
      <c r="AV561" s="33"/>
      <c r="AW561" s="19"/>
      <c r="AX561" s="19"/>
      <c r="AY561" s="19" t="s">
        <v>261</v>
      </c>
      <c r="AZ561" s="19"/>
      <c r="BA561" s="19"/>
      <c r="BB561" s="19"/>
      <c r="BC561" s="19"/>
      <c r="BD561" s="19"/>
      <c r="BE561" s="19"/>
      <c r="BF561" s="19"/>
      <c r="BG561" s="24"/>
      <c r="BH561" s="19"/>
      <c r="BI561" s="25"/>
      <c r="BJ561" s="25"/>
      <c r="BK561" s="25"/>
      <c r="BL561" s="25"/>
      <c r="BM561" s="25"/>
      <c r="BN561" s="37"/>
      <c r="BO561" s="21"/>
      <c r="BP561" s="27"/>
      <c r="BQ561" s="27"/>
      <c r="BR561" s="27"/>
      <c r="BS561" s="27"/>
      <c r="BT561" s="28"/>
      <c r="BU561" s="28">
        <f t="shared" si="181"/>
        <v>0</v>
      </c>
      <c r="BV561" s="28">
        <f t="shared" si="182"/>
        <v>0</v>
      </c>
      <c r="BW561" s="28">
        <f t="shared" si="183"/>
        <v>0</v>
      </c>
    </row>
    <row r="562" spans="1:75" ht="17.399999999999999" x14ac:dyDescent="0.25">
      <c r="A562" s="69">
        <f t="shared" si="192"/>
        <v>561</v>
      </c>
      <c r="B562" s="69" t="s">
        <v>640</v>
      </c>
      <c r="C562" s="71" t="s">
        <v>56</v>
      </c>
      <c r="D562" s="71" t="s">
        <v>1307</v>
      </c>
      <c r="E562" s="71" t="s">
        <v>1302</v>
      </c>
      <c r="F562" s="73" t="s">
        <v>1411</v>
      </c>
      <c r="G562" s="69" t="s">
        <v>1412</v>
      </c>
      <c r="H562" s="71" t="s">
        <v>1413</v>
      </c>
      <c r="I562" s="71" t="str">
        <f>VLOOKUP(H562,[1]Sheet1!$C:$C,1,0)</f>
        <v>TRVE1430Q1VA3RADJ(VA2201E)-1430Q</v>
      </c>
      <c r="J562" s="69"/>
      <c r="K562" s="69"/>
      <c r="L562" s="69" t="s">
        <v>1414</v>
      </c>
      <c r="M562" s="80"/>
      <c r="N562" s="72" t="s">
        <v>251</v>
      </c>
      <c r="O562" s="69" t="s">
        <v>1415</v>
      </c>
      <c r="P562" s="69"/>
      <c r="Q562" s="69"/>
      <c r="R562" s="100">
        <v>0.7</v>
      </c>
      <c r="S562" s="75">
        <f t="shared" ref="S562:S568" si="193">R562*U562</f>
        <v>0</v>
      </c>
      <c r="T562" s="88">
        <f>R562*SUM(AK562:AP562)</f>
        <v>0</v>
      </c>
      <c r="U562" s="76">
        <f t="shared" si="180"/>
        <v>0</v>
      </c>
      <c r="V562" s="80">
        <v>0</v>
      </c>
      <c r="W562" s="80">
        <v>0</v>
      </c>
      <c r="X562" s="80">
        <v>0</v>
      </c>
      <c r="Y562" s="80">
        <v>0</v>
      </c>
      <c r="Z562" s="80">
        <v>0</v>
      </c>
      <c r="AA562" s="80">
        <v>0</v>
      </c>
      <c r="AB562" s="80">
        <v>0</v>
      </c>
      <c r="AC562" s="80">
        <v>0</v>
      </c>
      <c r="AD562" s="77">
        <v>0</v>
      </c>
      <c r="AE562" s="75">
        <v>0</v>
      </c>
      <c r="AF562" s="75">
        <v>0</v>
      </c>
      <c r="AG562" s="75">
        <v>0</v>
      </c>
      <c r="AH562" s="75">
        <v>0</v>
      </c>
      <c r="AI562" s="75"/>
      <c r="AJ562" s="75">
        <v>0</v>
      </c>
      <c r="AK562" s="31">
        <v>0</v>
      </c>
      <c r="AL562" s="31">
        <v>0</v>
      </c>
      <c r="AM562" s="31">
        <v>0</v>
      </c>
      <c r="AN562" s="31">
        <v>0</v>
      </c>
      <c r="AO562" s="31">
        <v>0</v>
      </c>
      <c r="AP562" s="31">
        <v>0</v>
      </c>
      <c r="AQ562" s="31">
        <v>0</v>
      </c>
      <c r="AR562" s="31">
        <v>0</v>
      </c>
      <c r="AS562" s="31">
        <v>0</v>
      </c>
      <c r="AT562" s="31">
        <v>0</v>
      </c>
      <c r="AU562" s="31">
        <v>0</v>
      </c>
      <c r="AV562" s="31">
        <v>0</v>
      </c>
      <c r="AW562" s="12" t="s">
        <v>1416</v>
      </c>
      <c r="AX562" s="10" t="s">
        <v>85</v>
      </c>
      <c r="AY562" s="19" t="s">
        <v>690</v>
      </c>
      <c r="AZ562" s="12" t="s">
        <v>62</v>
      </c>
      <c r="BA562" s="12" t="s">
        <v>96</v>
      </c>
      <c r="BB562" s="12" t="s">
        <v>97</v>
      </c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6">
        <f t="shared" ref="BP562:BT568" si="194">$R562*Z562</f>
        <v>0</v>
      </c>
      <c r="BQ562" s="16">
        <f t="shared" si="194"/>
        <v>0</v>
      </c>
      <c r="BR562" s="16">
        <f t="shared" si="194"/>
        <v>0</v>
      </c>
      <c r="BS562" s="16">
        <f t="shared" si="194"/>
        <v>0</v>
      </c>
      <c r="BT562" s="17">
        <f t="shared" si="194"/>
        <v>0</v>
      </c>
      <c r="BU562" s="28">
        <f t="shared" si="181"/>
        <v>0</v>
      </c>
      <c r="BV562" s="28">
        <f t="shared" si="182"/>
        <v>0</v>
      </c>
      <c r="BW562" s="28">
        <f t="shared" si="183"/>
        <v>0</v>
      </c>
    </row>
    <row r="563" spans="1:75" ht="17.399999999999999" x14ac:dyDescent="0.25">
      <c r="A563" s="69">
        <f t="shared" si="192"/>
        <v>562</v>
      </c>
      <c r="B563" s="73" t="s">
        <v>501</v>
      </c>
      <c r="C563" s="73" t="s">
        <v>56</v>
      </c>
      <c r="D563" s="73" t="s">
        <v>496</v>
      </c>
      <c r="E563" s="73" t="s">
        <v>461</v>
      </c>
      <c r="F563" s="73" t="s">
        <v>497</v>
      </c>
      <c r="G563" s="78" t="s">
        <v>502</v>
      </c>
      <c r="H563" s="71"/>
      <c r="I563" s="71" t="e">
        <f>VLOOKUP(H563,[1]Sheet1!$C:$C,1,0)</f>
        <v>#N/A</v>
      </c>
      <c r="J563" s="78"/>
      <c r="K563" s="78"/>
      <c r="L563" s="72" t="s">
        <v>503</v>
      </c>
      <c r="M563" s="72" t="s">
        <v>504</v>
      </c>
      <c r="N563" s="78" t="s">
        <v>382</v>
      </c>
      <c r="O563" s="72" t="s">
        <v>505</v>
      </c>
      <c r="P563" s="72" t="s">
        <v>506</v>
      </c>
      <c r="Q563" s="72">
        <v>0.6</v>
      </c>
      <c r="R563" s="100">
        <v>2.19</v>
      </c>
      <c r="S563" s="75">
        <f t="shared" si="193"/>
        <v>0</v>
      </c>
      <c r="T563" s="76"/>
      <c r="U563" s="76">
        <f t="shared" si="180"/>
        <v>0</v>
      </c>
      <c r="V563" s="72">
        <v>0</v>
      </c>
      <c r="W563" s="72">
        <v>0</v>
      </c>
      <c r="X563" s="72">
        <v>0</v>
      </c>
      <c r="Y563" s="72">
        <v>0</v>
      </c>
      <c r="Z563" s="72">
        <v>0</v>
      </c>
      <c r="AA563" s="72">
        <v>0</v>
      </c>
      <c r="AB563" s="72">
        <v>0</v>
      </c>
      <c r="AC563" s="72">
        <v>0</v>
      </c>
      <c r="AD563" s="77">
        <v>0</v>
      </c>
      <c r="AE563" s="75">
        <v>0</v>
      </c>
      <c r="AF563" s="75">
        <v>0</v>
      </c>
      <c r="AG563" s="75"/>
      <c r="AH563" s="75">
        <v>0</v>
      </c>
      <c r="AI563" s="75"/>
      <c r="AJ563" s="75">
        <v>0</v>
      </c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19" t="s">
        <v>85</v>
      </c>
      <c r="AY563" s="19"/>
      <c r="AZ563" s="22" t="s">
        <v>507</v>
      </c>
      <c r="BA563" s="22" t="s">
        <v>508</v>
      </c>
      <c r="BB563" s="22" t="s">
        <v>509</v>
      </c>
      <c r="BC563" s="22" t="s">
        <v>510</v>
      </c>
      <c r="BD563" s="22"/>
      <c r="BE563" s="22"/>
      <c r="BF563" s="22"/>
      <c r="BG563" s="22"/>
      <c r="BH563" s="22"/>
      <c r="BI563" s="22"/>
      <c r="BJ563" s="22"/>
      <c r="BK563" s="22"/>
      <c r="BL563" s="22"/>
      <c r="BM563" s="22"/>
      <c r="BN563" s="22"/>
      <c r="BO563" s="22"/>
      <c r="BP563" s="27">
        <f t="shared" si="194"/>
        <v>0</v>
      </c>
      <c r="BQ563" s="27">
        <f t="shared" si="194"/>
        <v>0</v>
      </c>
      <c r="BR563" s="27">
        <f t="shared" si="194"/>
        <v>0</v>
      </c>
      <c r="BS563" s="27">
        <f t="shared" si="194"/>
        <v>0</v>
      </c>
      <c r="BT563" s="28">
        <f t="shared" si="194"/>
        <v>0</v>
      </c>
      <c r="BU563" s="28">
        <f t="shared" si="181"/>
        <v>0</v>
      </c>
      <c r="BV563" s="28">
        <f t="shared" si="182"/>
        <v>0</v>
      </c>
      <c r="BW563" s="28">
        <f t="shared" si="183"/>
        <v>0</v>
      </c>
    </row>
    <row r="564" spans="1:75" ht="17.399999999999999" x14ac:dyDescent="0.25">
      <c r="A564" s="69">
        <f t="shared" si="192"/>
        <v>563</v>
      </c>
      <c r="B564" s="69" t="s">
        <v>640</v>
      </c>
      <c r="C564" s="71" t="s">
        <v>56</v>
      </c>
      <c r="D564" s="71" t="s">
        <v>1307</v>
      </c>
      <c r="E564" s="71" t="s">
        <v>1302</v>
      </c>
      <c r="F564" s="73" t="s">
        <v>1411</v>
      </c>
      <c r="G564" s="69" t="s">
        <v>1417</v>
      </c>
      <c r="H564" s="69"/>
      <c r="I564" s="71" t="e">
        <f>VLOOKUP(H564,[1]Sheet1!$C:$C,1,0)</f>
        <v>#N/A</v>
      </c>
      <c r="J564" s="69"/>
      <c r="K564" s="69"/>
      <c r="L564" s="69" t="s">
        <v>1414</v>
      </c>
      <c r="M564" s="80"/>
      <c r="N564" s="72" t="s">
        <v>382</v>
      </c>
      <c r="O564" s="69" t="s">
        <v>1418</v>
      </c>
      <c r="P564" s="69"/>
      <c r="Q564" s="69"/>
      <c r="R564" s="100">
        <v>0.7</v>
      </c>
      <c r="S564" s="75">
        <f t="shared" si="193"/>
        <v>0</v>
      </c>
      <c r="T564" s="88">
        <f>R564*SUM(AK564:AP564)</f>
        <v>0</v>
      </c>
      <c r="U564" s="76">
        <f t="shared" si="180"/>
        <v>0</v>
      </c>
      <c r="V564" s="80">
        <v>0</v>
      </c>
      <c r="W564" s="80">
        <v>0</v>
      </c>
      <c r="X564" s="80">
        <v>0</v>
      </c>
      <c r="Y564" s="80">
        <v>0</v>
      </c>
      <c r="Z564" s="80">
        <v>0</v>
      </c>
      <c r="AA564" s="80">
        <v>0</v>
      </c>
      <c r="AB564" s="80">
        <v>0</v>
      </c>
      <c r="AC564" s="80">
        <v>0</v>
      </c>
      <c r="AD564" s="77">
        <v>0</v>
      </c>
      <c r="AE564" s="75">
        <v>0</v>
      </c>
      <c r="AF564" s="75">
        <v>0</v>
      </c>
      <c r="AG564" s="75">
        <v>0</v>
      </c>
      <c r="AH564" s="75">
        <v>0</v>
      </c>
      <c r="AI564" s="75"/>
      <c r="AJ564" s="75">
        <v>0</v>
      </c>
      <c r="AK564" s="33">
        <v>0</v>
      </c>
      <c r="AL564" s="33">
        <v>0</v>
      </c>
      <c r="AM564" s="33">
        <v>0</v>
      </c>
      <c r="AN564" s="33">
        <v>0</v>
      </c>
      <c r="AO564" s="33">
        <v>0</v>
      </c>
      <c r="AP564" s="33">
        <v>0</v>
      </c>
      <c r="AQ564" s="33">
        <v>0</v>
      </c>
      <c r="AR564" s="33">
        <v>0</v>
      </c>
      <c r="AS564" s="33">
        <v>0</v>
      </c>
      <c r="AT564" s="33">
        <v>0</v>
      </c>
      <c r="AU564" s="33">
        <v>0</v>
      </c>
      <c r="AV564" s="33">
        <v>0</v>
      </c>
      <c r="AW564" s="22" t="s">
        <v>1416</v>
      </c>
      <c r="AX564" s="19" t="s">
        <v>85</v>
      </c>
      <c r="AY564" s="19" t="s">
        <v>690</v>
      </c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  <c r="BK564" s="22"/>
      <c r="BL564" s="22"/>
      <c r="BM564" s="22"/>
      <c r="BN564" s="22"/>
      <c r="BO564" s="22"/>
      <c r="BP564" s="27">
        <f t="shared" si="194"/>
        <v>0</v>
      </c>
      <c r="BQ564" s="27">
        <f t="shared" si="194"/>
        <v>0</v>
      </c>
      <c r="BR564" s="27">
        <f t="shared" si="194"/>
        <v>0</v>
      </c>
      <c r="BS564" s="27">
        <f t="shared" si="194"/>
        <v>0</v>
      </c>
      <c r="BT564" s="28">
        <f t="shared" si="194"/>
        <v>0</v>
      </c>
      <c r="BU564" s="28">
        <f t="shared" si="181"/>
        <v>0</v>
      </c>
      <c r="BV564" s="28">
        <f t="shared" si="182"/>
        <v>0</v>
      </c>
      <c r="BW564" s="28">
        <f t="shared" si="183"/>
        <v>0</v>
      </c>
    </row>
    <row r="565" spans="1:75" ht="17.399999999999999" x14ac:dyDescent="0.25">
      <c r="A565" s="69">
        <f t="shared" si="192"/>
        <v>564</v>
      </c>
      <c r="B565" s="71" t="s">
        <v>691</v>
      </c>
      <c r="C565" s="71" t="s">
        <v>243</v>
      </c>
      <c r="D565" s="71"/>
      <c r="E565" s="71" t="s">
        <v>685</v>
      </c>
      <c r="F565" s="71"/>
      <c r="G565" s="71" t="s">
        <v>692</v>
      </c>
      <c r="H565" s="71" t="s">
        <v>693</v>
      </c>
      <c r="I565" s="71" t="str">
        <f>VLOOKUP(H565,[1]Sheet1!$C:$C,1,0)</f>
        <v>TRVE8602A5R-8602</v>
      </c>
      <c r="J565" s="87"/>
      <c r="K565" s="87"/>
      <c r="L565" s="71" t="s">
        <v>694</v>
      </c>
      <c r="M565" s="72"/>
      <c r="N565" s="71" t="s">
        <v>251</v>
      </c>
      <c r="O565" s="71"/>
      <c r="P565" s="71"/>
      <c r="Q565" s="70"/>
      <c r="R565" s="100">
        <v>3</v>
      </c>
      <c r="S565" s="75">
        <f t="shared" si="193"/>
        <v>36000</v>
      </c>
      <c r="T565" s="76">
        <v>276000</v>
      </c>
      <c r="U565" s="76">
        <f t="shared" si="180"/>
        <v>12000</v>
      </c>
      <c r="V565" s="72"/>
      <c r="W565" s="72"/>
      <c r="X565" s="72"/>
      <c r="Y565" s="72">
        <v>0</v>
      </c>
      <c r="Z565" s="72">
        <v>0</v>
      </c>
      <c r="AA565" s="72">
        <v>0</v>
      </c>
      <c r="AB565" s="72">
        <v>1000</v>
      </c>
      <c r="AC565" s="72">
        <v>2000</v>
      </c>
      <c r="AD565" s="77">
        <v>4000</v>
      </c>
      <c r="AE565" s="75">
        <v>4000</v>
      </c>
      <c r="AF565" s="75">
        <v>4000</v>
      </c>
      <c r="AG565" s="75">
        <v>4000</v>
      </c>
      <c r="AH565" s="75">
        <v>4000</v>
      </c>
      <c r="AI565" s="75"/>
      <c r="AJ565" s="75">
        <v>0</v>
      </c>
      <c r="AK565" s="46"/>
      <c r="AL565" s="47"/>
      <c r="AM565" s="47"/>
      <c r="AN565" s="47"/>
      <c r="AO565" s="47"/>
      <c r="AP565" s="47"/>
      <c r="AQ565" s="47"/>
      <c r="AR565" s="47"/>
      <c r="AS565" s="47"/>
      <c r="AT565" s="47"/>
      <c r="AU565" s="47"/>
      <c r="AV565" s="47"/>
      <c r="AW565" s="27"/>
      <c r="AX565" s="27" t="s">
        <v>689</v>
      </c>
      <c r="AY565" s="19" t="s">
        <v>690</v>
      </c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>
        <f t="shared" si="194"/>
        <v>0</v>
      </c>
      <c r="BQ565" s="27">
        <f t="shared" si="194"/>
        <v>0</v>
      </c>
      <c r="BR565" s="27">
        <f t="shared" si="194"/>
        <v>3000</v>
      </c>
      <c r="BS565" s="27">
        <f t="shared" si="194"/>
        <v>6000</v>
      </c>
      <c r="BT565" s="28">
        <f t="shared" si="194"/>
        <v>12000</v>
      </c>
      <c r="BU565" s="28">
        <f t="shared" si="181"/>
        <v>12000</v>
      </c>
      <c r="BV565" s="28">
        <f t="shared" si="182"/>
        <v>12000</v>
      </c>
      <c r="BW565" s="28">
        <f t="shared" si="183"/>
        <v>12000</v>
      </c>
    </row>
    <row r="566" spans="1:75" ht="17.399999999999999" x14ac:dyDescent="0.25">
      <c r="A566" s="69">
        <f t="shared" si="192"/>
        <v>565</v>
      </c>
      <c r="B566" s="71" t="s">
        <v>695</v>
      </c>
      <c r="C566" s="71" t="s">
        <v>243</v>
      </c>
      <c r="D566" s="71"/>
      <c r="E566" s="71" t="s">
        <v>685</v>
      </c>
      <c r="F566" s="71"/>
      <c r="G566" s="71" t="s">
        <v>692</v>
      </c>
      <c r="H566" s="71" t="s">
        <v>693</v>
      </c>
      <c r="I566" s="71" t="str">
        <f>VLOOKUP(H566,[1]Sheet1!$C:$C,1,0)</f>
        <v>TRVE8602A5R-8602</v>
      </c>
      <c r="J566" s="87"/>
      <c r="K566" s="87"/>
      <c r="L566" s="71" t="s">
        <v>696</v>
      </c>
      <c r="M566" s="72"/>
      <c r="N566" s="71" t="s">
        <v>251</v>
      </c>
      <c r="O566" s="71"/>
      <c r="P566" s="71"/>
      <c r="Q566" s="70"/>
      <c r="R566" s="100">
        <v>2.5</v>
      </c>
      <c r="S566" s="75">
        <f t="shared" si="193"/>
        <v>150000</v>
      </c>
      <c r="T566" s="76">
        <v>245000</v>
      </c>
      <c r="U566" s="76">
        <f t="shared" si="180"/>
        <v>60000</v>
      </c>
      <c r="V566" s="72"/>
      <c r="W566" s="72"/>
      <c r="X566" s="72"/>
      <c r="Y566" s="72">
        <v>0</v>
      </c>
      <c r="Z566" s="72">
        <v>0</v>
      </c>
      <c r="AA566" s="72">
        <v>0</v>
      </c>
      <c r="AB566" s="77">
        <v>1000</v>
      </c>
      <c r="AC566" s="77">
        <v>4000</v>
      </c>
      <c r="AD566" s="77">
        <v>10000</v>
      </c>
      <c r="AE566" s="75">
        <v>20000</v>
      </c>
      <c r="AF566" s="75">
        <v>20000</v>
      </c>
      <c r="AG566" s="75">
        <v>20000</v>
      </c>
      <c r="AH566" s="75">
        <v>20000</v>
      </c>
      <c r="AI566" s="75"/>
      <c r="AJ566" s="75">
        <v>0</v>
      </c>
      <c r="AK566" s="44"/>
      <c r="AL566" s="45"/>
      <c r="AM566" s="45"/>
      <c r="AN566" s="45"/>
      <c r="AO566" s="45"/>
      <c r="AP566" s="45"/>
      <c r="AQ566" s="45"/>
      <c r="AR566" s="45"/>
      <c r="AS566" s="45"/>
      <c r="AT566" s="45"/>
      <c r="AU566" s="45"/>
      <c r="AV566" s="45"/>
      <c r="AW566" s="16"/>
      <c r="AX566" s="16" t="s">
        <v>689</v>
      </c>
      <c r="AY566" s="19" t="s">
        <v>690</v>
      </c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>
        <f t="shared" si="194"/>
        <v>0</v>
      </c>
      <c r="BQ566" s="16">
        <f t="shared" si="194"/>
        <v>0</v>
      </c>
      <c r="BR566" s="16">
        <f t="shared" si="194"/>
        <v>2500</v>
      </c>
      <c r="BS566" s="16">
        <f t="shared" si="194"/>
        <v>10000</v>
      </c>
      <c r="BT566" s="17">
        <f t="shared" si="194"/>
        <v>25000</v>
      </c>
      <c r="BU566" s="28">
        <f t="shared" si="181"/>
        <v>50000</v>
      </c>
      <c r="BV566" s="28">
        <f t="shared" si="182"/>
        <v>50000</v>
      </c>
      <c r="BW566" s="28">
        <f t="shared" si="183"/>
        <v>50000</v>
      </c>
    </row>
    <row r="567" spans="1:75" ht="17.399999999999999" x14ac:dyDescent="0.25">
      <c r="A567" s="69">
        <f t="shared" si="192"/>
        <v>566</v>
      </c>
      <c r="B567" s="71" t="s">
        <v>697</v>
      </c>
      <c r="C567" s="71" t="s">
        <v>243</v>
      </c>
      <c r="D567" s="71"/>
      <c r="E567" s="71" t="s">
        <v>685</v>
      </c>
      <c r="F567" s="71"/>
      <c r="G567" s="71" t="s">
        <v>692</v>
      </c>
      <c r="H567" s="71" t="s">
        <v>693</v>
      </c>
      <c r="I567" s="71" t="str">
        <f>VLOOKUP(H567,[1]Sheet1!$C:$C,1,0)</f>
        <v>TRVE8602A5R-8602</v>
      </c>
      <c r="J567" s="87"/>
      <c r="K567" s="87"/>
      <c r="L567" s="71" t="s">
        <v>698</v>
      </c>
      <c r="M567" s="72"/>
      <c r="N567" s="71" t="s">
        <v>251</v>
      </c>
      <c r="O567" s="71"/>
      <c r="P567" s="71"/>
      <c r="Q567" s="70"/>
      <c r="R567" s="100">
        <v>2.5</v>
      </c>
      <c r="S567" s="75">
        <f t="shared" si="193"/>
        <v>30000</v>
      </c>
      <c r="T567" s="76">
        <v>230000</v>
      </c>
      <c r="U567" s="76">
        <f t="shared" si="180"/>
        <v>12000</v>
      </c>
      <c r="V567" s="72"/>
      <c r="W567" s="72"/>
      <c r="X567" s="72"/>
      <c r="Y567" s="72">
        <v>0</v>
      </c>
      <c r="Z567" s="72">
        <v>0</v>
      </c>
      <c r="AA567" s="72">
        <v>0</v>
      </c>
      <c r="AB567" s="77">
        <v>1000</v>
      </c>
      <c r="AC567" s="77">
        <v>2000</v>
      </c>
      <c r="AD567" s="77">
        <v>4000</v>
      </c>
      <c r="AE567" s="75">
        <v>4000</v>
      </c>
      <c r="AF567" s="75">
        <v>4000</v>
      </c>
      <c r="AG567" s="75">
        <v>4000</v>
      </c>
      <c r="AH567" s="75">
        <v>4000</v>
      </c>
      <c r="AI567" s="75"/>
      <c r="AJ567" s="75">
        <v>0</v>
      </c>
      <c r="AK567" s="46"/>
      <c r="AL567" s="47"/>
      <c r="AM567" s="47"/>
      <c r="AN567" s="47"/>
      <c r="AO567" s="47"/>
      <c r="AP567" s="47"/>
      <c r="AQ567" s="47"/>
      <c r="AR567" s="47"/>
      <c r="AS567" s="47"/>
      <c r="AT567" s="47"/>
      <c r="AU567" s="47"/>
      <c r="AV567" s="47"/>
      <c r="AW567" s="27"/>
      <c r="AX567" s="27" t="s">
        <v>689</v>
      </c>
      <c r="AY567" s="19" t="s">
        <v>690</v>
      </c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>
        <f t="shared" si="194"/>
        <v>0</v>
      </c>
      <c r="BQ567" s="27">
        <f t="shared" si="194"/>
        <v>0</v>
      </c>
      <c r="BR567" s="27">
        <f t="shared" si="194"/>
        <v>2500</v>
      </c>
      <c r="BS567" s="27">
        <f t="shared" si="194"/>
        <v>5000</v>
      </c>
      <c r="BT567" s="28">
        <f t="shared" si="194"/>
        <v>10000</v>
      </c>
      <c r="BU567" s="28">
        <f t="shared" si="181"/>
        <v>10000</v>
      </c>
      <c r="BV567" s="28">
        <f t="shared" si="182"/>
        <v>10000</v>
      </c>
      <c r="BW567" s="28">
        <f t="shared" si="183"/>
        <v>10000</v>
      </c>
    </row>
    <row r="568" spans="1:75" ht="17.399999999999999" x14ac:dyDescent="0.25">
      <c r="A568" s="69">
        <f t="shared" si="192"/>
        <v>567</v>
      </c>
      <c r="B568" s="71" t="s">
        <v>699</v>
      </c>
      <c r="C568" s="71" t="s">
        <v>243</v>
      </c>
      <c r="D568" s="71"/>
      <c r="E568" s="71" t="s">
        <v>685</v>
      </c>
      <c r="F568" s="71"/>
      <c r="G568" s="71" t="s">
        <v>692</v>
      </c>
      <c r="H568" s="71" t="s">
        <v>693</v>
      </c>
      <c r="I568" s="71" t="str">
        <f>VLOOKUP(H568,[1]Sheet1!$C:$C,1,0)</f>
        <v>TRVE8602A5R-8602</v>
      </c>
      <c r="J568" s="87"/>
      <c r="K568" s="87"/>
      <c r="L568" s="71" t="s">
        <v>700</v>
      </c>
      <c r="M568" s="72"/>
      <c r="N568" s="71" t="s">
        <v>367</v>
      </c>
      <c r="O568" s="71"/>
      <c r="P568" s="71"/>
      <c r="Q568" s="70"/>
      <c r="R568" s="100">
        <v>2.5</v>
      </c>
      <c r="S568" s="75">
        <f t="shared" si="193"/>
        <v>30000</v>
      </c>
      <c r="T568" s="76">
        <v>230000</v>
      </c>
      <c r="U568" s="76">
        <f t="shared" si="180"/>
        <v>12000</v>
      </c>
      <c r="V568" s="72"/>
      <c r="W568" s="72"/>
      <c r="X568" s="72"/>
      <c r="Y568" s="72">
        <v>0</v>
      </c>
      <c r="Z568" s="72">
        <v>0</v>
      </c>
      <c r="AA568" s="72">
        <v>0</v>
      </c>
      <c r="AB568" s="77">
        <v>1000</v>
      </c>
      <c r="AC568" s="77">
        <v>2000</v>
      </c>
      <c r="AD568" s="77">
        <v>4000</v>
      </c>
      <c r="AE568" s="75">
        <v>4000</v>
      </c>
      <c r="AF568" s="75">
        <v>4000</v>
      </c>
      <c r="AG568" s="75">
        <v>4000</v>
      </c>
      <c r="AH568" s="75">
        <v>4000</v>
      </c>
      <c r="AI568" s="75"/>
      <c r="AJ568" s="75">
        <v>0</v>
      </c>
      <c r="AK568" s="44"/>
      <c r="AL568" s="45"/>
      <c r="AM568" s="45"/>
      <c r="AN568" s="45"/>
      <c r="AO568" s="45"/>
      <c r="AP568" s="45"/>
      <c r="AQ568" s="45"/>
      <c r="AR568" s="45"/>
      <c r="AS568" s="45"/>
      <c r="AT568" s="45"/>
      <c r="AU568" s="45"/>
      <c r="AV568" s="45"/>
      <c r="AW568" s="16"/>
      <c r="AX568" s="16" t="s">
        <v>689</v>
      </c>
      <c r="AY568" s="19" t="s">
        <v>690</v>
      </c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>
        <f t="shared" si="194"/>
        <v>0</v>
      </c>
      <c r="BQ568" s="16">
        <f t="shared" si="194"/>
        <v>0</v>
      </c>
      <c r="BR568" s="16">
        <f t="shared" si="194"/>
        <v>2500</v>
      </c>
      <c r="BS568" s="16">
        <f t="shared" si="194"/>
        <v>5000</v>
      </c>
      <c r="BT568" s="17">
        <f t="shared" si="194"/>
        <v>10000</v>
      </c>
      <c r="BU568" s="28">
        <f t="shared" si="181"/>
        <v>10000</v>
      </c>
      <c r="BV568" s="28">
        <f t="shared" si="182"/>
        <v>10000</v>
      </c>
      <c r="BW568" s="28">
        <f t="shared" si="183"/>
        <v>10000</v>
      </c>
    </row>
    <row r="569" spans="1:75" ht="17.399999999999999" x14ac:dyDescent="0.25">
      <c r="A569" s="69">
        <f t="shared" si="192"/>
        <v>568</v>
      </c>
      <c r="B569" s="73" t="s">
        <v>1939</v>
      </c>
      <c r="C569" s="71" t="s">
        <v>243</v>
      </c>
      <c r="D569" s="71" t="s">
        <v>1811</v>
      </c>
      <c r="E569" s="71" t="s">
        <v>978</v>
      </c>
      <c r="F569" s="71" t="s">
        <v>978</v>
      </c>
      <c r="G569" s="71" t="s">
        <v>621</v>
      </c>
      <c r="H569" s="71" t="s">
        <v>1926</v>
      </c>
      <c r="I569" s="71" t="str">
        <f>VLOOKUP(H569,[1]Sheet1!$C:$C,1,0)</f>
        <v>SC2442SO-CR-10CR-2442</v>
      </c>
      <c r="J569" s="71"/>
      <c r="K569" s="71"/>
      <c r="L569" s="73"/>
      <c r="M569" s="80"/>
      <c r="N569" s="72"/>
      <c r="O569" s="73"/>
      <c r="P569" s="71"/>
      <c r="Q569" s="71"/>
      <c r="R569" s="100">
        <v>0.5</v>
      </c>
      <c r="S569" s="75"/>
      <c r="T569" s="91"/>
      <c r="U569" s="76">
        <f t="shared" si="180"/>
        <v>900000</v>
      </c>
      <c r="V569" s="80"/>
      <c r="W569" s="80"/>
      <c r="X569" s="80"/>
      <c r="Y569" s="72"/>
      <c r="Z569" s="72"/>
      <c r="AA569" s="72"/>
      <c r="AB569" s="72"/>
      <c r="AC569" s="72"/>
      <c r="AD569" s="77"/>
      <c r="AE569" s="123">
        <v>300000</v>
      </c>
      <c r="AF569" s="123">
        <v>300000</v>
      </c>
      <c r="AG569" s="123">
        <v>300000</v>
      </c>
      <c r="AH569" s="123">
        <v>300000</v>
      </c>
      <c r="AI569" s="123"/>
      <c r="AJ569" s="123"/>
      <c r="AK569" s="33"/>
      <c r="AL569" s="33"/>
      <c r="AM569" s="33"/>
      <c r="AN569" s="33"/>
      <c r="AO569" s="33"/>
      <c r="AP569" s="33"/>
      <c r="AQ569" s="33"/>
      <c r="AR569" s="33"/>
      <c r="AS569" s="33"/>
      <c r="AT569" s="33"/>
      <c r="AU569" s="33"/>
      <c r="AV569" s="33"/>
      <c r="AW569" s="19"/>
      <c r="AX569" s="19"/>
      <c r="AY569" s="19" t="s">
        <v>261</v>
      </c>
      <c r="AZ569" s="19"/>
      <c r="BA569" s="19"/>
      <c r="BB569" s="19"/>
      <c r="BC569" s="19"/>
      <c r="BD569" s="19"/>
      <c r="BE569" s="19"/>
      <c r="BF569" s="19"/>
      <c r="BG569" s="24"/>
      <c r="BH569" s="19"/>
      <c r="BI569" s="25"/>
      <c r="BJ569" s="25"/>
      <c r="BK569" s="25"/>
      <c r="BL569" s="25"/>
      <c r="BM569" s="25"/>
      <c r="BN569" s="37"/>
      <c r="BO569" s="21"/>
      <c r="BP569" s="27"/>
      <c r="BQ569" s="27"/>
      <c r="BR569" s="27"/>
      <c r="BS569" s="27"/>
      <c r="BT569" s="28"/>
      <c r="BU569" s="28">
        <f t="shared" si="181"/>
        <v>150000</v>
      </c>
      <c r="BV569" s="28">
        <f t="shared" si="182"/>
        <v>150000</v>
      </c>
      <c r="BW569" s="28">
        <f t="shared" si="183"/>
        <v>150000</v>
      </c>
    </row>
    <row r="570" spans="1:75" ht="17.399999999999999" x14ac:dyDescent="0.25">
      <c r="A570" s="69">
        <f t="shared" si="192"/>
        <v>569</v>
      </c>
      <c r="B570" s="71" t="s">
        <v>701</v>
      </c>
      <c r="C570" s="71" t="s">
        <v>243</v>
      </c>
      <c r="D570" s="71"/>
      <c r="E570" s="71" t="s">
        <v>685</v>
      </c>
      <c r="F570" s="71"/>
      <c r="G570" s="71" t="s">
        <v>692</v>
      </c>
      <c r="H570" s="71" t="s">
        <v>693</v>
      </c>
      <c r="I570" s="71" t="str">
        <f>VLOOKUP(H570,[1]Sheet1!$C:$C,1,0)</f>
        <v>TRVE8602A5R-8602</v>
      </c>
      <c r="J570" s="87"/>
      <c r="K570" s="87"/>
      <c r="L570" s="71" t="s">
        <v>698</v>
      </c>
      <c r="M570" s="72"/>
      <c r="N570" s="71" t="s">
        <v>251</v>
      </c>
      <c r="O570" s="71"/>
      <c r="P570" s="71"/>
      <c r="Q570" s="70"/>
      <c r="R570" s="100">
        <v>2.5</v>
      </c>
      <c r="S570" s="75">
        <f>R570*U570</f>
        <v>30000</v>
      </c>
      <c r="T570" s="76">
        <v>145000</v>
      </c>
      <c r="U570" s="76">
        <f t="shared" si="180"/>
        <v>12000</v>
      </c>
      <c r="V570" s="72"/>
      <c r="W570" s="72"/>
      <c r="X570" s="72"/>
      <c r="Y570" s="72">
        <v>0</v>
      </c>
      <c r="Z570" s="72">
        <v>0</v>
      </c>
      <c r="AA570" s="72">
        <v>0</v>
      </c>
      <c r="AB570" s="77">
        <v>1000</v>
      </c>
      <c r="AC570" s="77">
        <v>2000</v>
      </c>
      <c r="AD570" s="77">
        <v>4000</v>
      </c>
      <c r="AE570" s="75">
        <v>4000</v>
      </c>
      <c r="AF570" s="75">
        <v>4000</v>
      </c>
      <c r="AG570" s="75">
        <v>4000</v>
      </c>
      <c r="AH570" s="75">
        <v>4000</v>
      </c>
      <c r="AI570" s="75"/>
      <c r="AJ570" s="75">
        <v>0</v>
      </c>
      <c r="AK570" s="46"/>
      <c r="AL570" s="47"/>
      <c r="AM570" s="47"/>
      <c r="AN570" s="47"/>
      <c r="AO570" s="47"/>
      <c r="AP570" s="47"/>
      <c r="AQ570" s="47"/>
      <c r="AR570" s="47"/>
      <c r="AS570" s="47"/>
      <c r="AT570" s="47"/>
      <c r="AU570" s="47"/>
      <c r="AV570" s="47"/>
      <c r="AW570" s="27"/>
      <c r="AX570" s="27" t="s">
        <v>689</v>
      </c>
      <c r="AY570" s="19" t="s">
        <v>690</v>
      </c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>
        <f>$R570*Z570</f>
        <v>0</v>
      </c>
      <c r="BQ570" s="27">
        <f>$R570*AA570</f>
        <v>0</v>
      </c>
      <c r="BR570" s="27">
        <f>$R570*AB570</f>
        <v>2500</v>
      </c>
      <c r="BS570" s="27">
        <f>$R570*AC570</f>
        <v>5000</v>
      </c>
      <c r="BT570" s="28">
        <f>$R570*AD570</f>
        <v>10000</v>
      </c>
      <c r="BU570" s="28">
        <f t="shared" si="181"/>
        <v>10000</v>
      </c>
      <c r="BV570" s="28">
        <f t="shared" si="182"/>
        <v>10000</v>
      </c>
      <c r="BW570" s="28">
        <f t="shared" si="183"/>
        <v>10000</v>
      </c>
    </row>
    <row r="571" spans="1:75" ht="17.399999999999999" x14ac:dyDescent="0.25">
      <c r="A571" s="69">
        <f t="shared" si="192"/>
        <v>570</v>
      </c>
      <c r="B571" s="73" t="s">
        <v>1941</v>
      </c>
      <c r="C571" s="71" t="s">
        <v>243</v>
      </c>
      <c r="D571" s="71" t="s">
        <v>1811</v>
      </c>
      <c r="E571" s="71" t="s">
        <v>978</v>
      </c>
      <c r="F571" s="71" t="s">
        <v>978</v>
      </c>
      <c r="G571" s="71" t="s">
        <v>1942</v>
      </c>
      <c r="H571" s="71" t="s">
        <v>1943</v>
      </c>
      <c r="I571" s="71" t="str">
        <f>VLOOKUP(H571,[1]Sheet1!$C:$C,1,0)</f>
        <v>SC1645B2-AI-0EHK-4601</v>
      </c>
      <c r="J571" s="71"/>
      <c r="K571" s="71"/>
      <c r="L571" s="73"/>
      <c r="M571" s="80"/>
      <c r="N571" s="72"/>
      <c r="O571" s="73"/>
      <c r="P571" s="71"/>
      <c r="Q571" s="71"/>
      <c r="R571" s="100">
        <v>0.255</v>
      </c>
      <c r="S571" s="75"/>
      <c r="T571" s="91"/>
      <c r="U571" s="76">
        <f t="shared" si="180"/>
        <v>0</v>
      </c>
      <c r="V571" s="80"/>
      <c r="W571" s="80"/>
      <c r="X571" s="80"/>
      <c r="Y571" s="72"/>
      <c r="Z571" s="72"/>
      <c r="AA571" s="72"/>
      <c r="AB571" s="72"/>
      <c r="AC571" s="72"/>
      <c r="AD571" s="77"/>
      <c r="AE571" s="75"/>
      <c r="AF571" s="75"/>
      <c r="AG571" s="75"/>
      <c r="AH571" s="75"/>
      <c r="AI571" s="75"/>
      <c r="AJ571" s="75"/>
      <c r="AK571" s="33"/>
      <c r="AL571" s="33"/>
      <c r="AM571" s="33"/>
      <c r="AN571" s="33"/>
      <c r="AO571" s="33"/>
      <c r="AP571" s="33"/>
      <c r="AQ571" s="33"/>
      <c r="AR571" s="33"/>
      <c r="AS571" s="33"/>
      <c r="AT571" s="33"/>
      <c r="AU571" s="33"/>
      <c r="AV571" s="33"/>
      <c r="AW571" s="19"/>
      <c r="AX571" s="19"/>
      <c r="AY571" s="19" t="s">
        <v>261</v>
      </c>
      <c r="AZ571" s="19"/>
      <c r="BA571" s="19"/>
      <c r="BB571" s="19"/>
      <c r="BC571" s="19"/>
      <c r="BD571" s="19"/>
      <c r="BE571" s="19"/>
      <c r="BF571" s="19"/>
      <c r="BG571" s="24"/>
      <c r="BH571" s="19"/>
      <c r="BI571" s="25"/>
      <c r="BJ571" s="25"/>
      <c r="BK571" s="25"/>
      <c r="BL571" s="25"/>
      <c r="BM571" s="25"/>
      <c r="BN571" s="37"/>
      <c r="BO571" s="21"/>
      <c r="BP571" s="27"/>
      <c r="BQ571" s="27"/>
      <c r="BR571" s="27"/>
      <c r="BS571" s="27"/>
      <c r="BT571" s="28"/>
      <c r="BU571" s="28">
        <f t="shared" si="181"/>
        <v>0</v>
      </c>
      <c r="BV571" s="28">
        <f t="shared" si="182"/>
        <v>0</v>
      </c>
      <c r="BW571" s="28">
        <f t="shared" si="183"/>
        <v>0</v>
      </c>
    </row>
    <row r="572" spans="1:75" ht="17.399999999999999" x14ac:dyDescent="0.25">
      <c r="A572" s="69">
        <f t="shared" si="192"/>
        <v>571</v>
      </c>
      <c r="B572" s="71" t="s">
        <v>702</v>
      </c>
      <c r="C572" s="71" t="s">
        <v>243</v>
      </c>
      <c r="D572" s="71"/>
      <c r="E572" s="71" t="s">
        <v>685</v>
      </c>
      <c r="F572" s="71"/>
      <c r="G572" s="71" t="s">
        <v>692</v>
      </c>
      <c r="H572" s="71" t="s">
        <v>693</v>
      </c>
      <c r="I572" s="71" t="str">
        <f>VLOOKUP(H572,[1]Sheet1!$C:$C,1,0)</f>
        <v>TRVE8602A5R-8602</v>
      </c>
      <c r="J572" s="87"/>
      <c r="K572" s="87"/>
      <c r="L572" s="71" t="s">
        <v>696</v>
      </c>
      <c r="M572" s="72"/>
      <c r="N572" s="71" t="s">
        <v>251</v>
      </c>
      <c r="O572" s="71"/>
      <c r="P572" s="71"/>
      <c r="Q572" s="70"/>
      <c r="R572" s="100">
        <v>2.5</v>
      </c>
      <c r="S572" s="75">
        <f>R572*U572</f>
        <v>0</v>
      </c>
      <c r="T572" s="76">
        <v>120000</v>
      </c>
      <c r="U572" s="76">
        <f t="shared" si="180"/>
        <v>0</v>
      </c>
      <c r="V572" s="72"/>
      <c r="W572" s="72"/>
      <c r="X572" s="72"/>
      <c r="Y572" s="72">
        <v>0</v>
      </c>
      <c r="Z572" s="72">
        <v>0</v>
      </c>
      <c r="AA572" s="72">
        <v>0</v>
      </c>
      <c r="AB572" s="72"/>
      <c r="AC572" s="72"/>
      <c r="AD572" s="77"/>
      <c r="AE572" s="75"/>
      <c r="AF572" s="75"/>
      <c r="AG572" s="75"/>
      <c r="AH572" s="75">
        <v>0</v>
      </c>
      <c r="AI572" s="75"/>
      <c r="AJ572" s="75">
        <v>0</v>
      </c>
      <c r="AK572" s="44"/>
      <c r="AL572" s="45"/>
      <c r="AM572" s="45"/>
      <c r="AN572" s="45"/>
      <c r="AO572" s="45"/>
      <c r="AP572" s="45"/>
      <c r="AQ572" s="45"/>
      <c r="AR572" s="45"/>
      <c r="AS572" s="45"/>
      <c r="AT572" s="45"/>
      <c r="AU572" s="45"/>
      <c r="AV572" s="45"/>
      <c r="AW572" s="16"/>
      <c r="AX572" s="16" t="s">
        <v>689</v>
      </c>
      <c r="AY572" s="19" t="s">
        <v>690</v>
      </c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>
        <f t="shared" ref="BP572:BT573" si="195">$R572*Z572</f>
        <v>0</v>
      </c>
      <c r="BQ572" s="16">
        <f t="shared" si="195"/>
        <v>0</v>
      </c>
      <c r="BR572" s="16">
        <f t="shared" si="195"/>
        <v>0</v>
      </c>
      <c r="BS572" s="16">
        <f t="shared" si="195"/>
        <v>0</v>
      </c>
      <c r="BT572" s="17">
        <f t="shared" si="195"/>
        <v>0</v>
      </c>
      <c r="BU572" s="28">
        <f t="shared" si="181"/>
        <v>0</v>
      </c>
      <c r="BV572" s="28">
        <f t="shared" si="182"/>
        <v>0</v>
      </c>
      <c r="BW572" s="28">
        <f t="shared" si="183"/>
        <v>0</v>
      </c>
    </row>
    <row r="573" spans="1:75" ht="17.399999999999999" x14ac:dyDescent="0.25">
      <c r="A573" s="69">
        <f t="shared" si="192"/>
        <v>572</v>
      </c>
      <c r="B573" s="71" t="s">
        <v>703</v>
      </c>
      <c r="C573" s="71" t="s">
        <v>243</v>
      </c>
      <c r="D573" s="71"/>
      <c r="E573" s="71" t="s">
        <v>685</v>
      </c>
      <c r="F573" s="71"/>
      <c r="G573" s="71" t="s">
        <v>692</v>
      </c>
      <c r="H573" s="71" t="s">
        <v>693</v>
      </c>
      <c r="I573" s="71" t="str">
        <f>VLOOKUP(H573,[1]Sheet1!$C:$C,1,0)</f>
        <v>TRVE8602A5R-8602</v>
      </c>
      <c r="J573" s="87"/>
      <c r="K573" s="87"/>
      <c r="L573" s="71" t="s">
        <v>696</v>
      </c>
      <c r="M573" s="72"/>
      <c r="N573" s="71" t="s">
        <v>251</v>
      </c>
      <c r="O573" s="71"/>
      <c r="P573" s="71"/>
      <c r="Q573" s="70"/>
      <c r="R573" s="100">
        <v>2.5</v>
      </c>
      <c r="S573" s="75">
        <f>R573*U573</f>
        <v>30000</v>
      </c>
      <c r="T573" s="76">
        <v>120000</v>
      </c>
      <c r="U573" s="76">
        <f t="shared" si="180"/>
        <v>12000</v>
      </c>
      <c r="V573" s="72"/>
      <c r="W573" s="72"/>
      <c r="X573" s="72"/>
      <c r="Y573" s="72">
        <v>0</v>
      </c>
      <c r="Z573" s="72">
        <v>0</v>
      </c>
      <c r="AA573" s="72">
        <v>0</v>
      </c>
      <c r="AB573" s="77">
        <v>1000</v>
      </c>
      <c r="AC573" s="77">
        <v>2000</v>
      </c>
      <c r="AD573" s="77">
        <v>4000</v>
      </c>
      <c r="AE573" s="75">
        <v>4000</v>
      </c>
      <c r="AF573" s="75">
        <v>4000</v>
      </c>
      <c r="AG573" s="75">
        <v>4000</v>
      </c>
      <c r="AH573" s="75">
        <v>4000</v>
      </c>
      <c r="AI573" s="75"/>
      <c r="AJ573" s="75">
        <v>0</v>
      </c>
      <c r="AK573" s="46"/>
      <c r="AL573" s="47"/>
      <c r="AM573" s="47"/>
      <c r="AN573" s="47"/>
      <c r="AO573" s="47"/>
      <c r="AP573" s="47"/>
      <c r="AQ573" s="47"/>
      <c r="AR573" s="47"/>
      <c r="AS573" s="47"/>
      <c r="AT573" s="47"/>
      <c r="AU573" s="47"/>
      <c r="AV573" s="47"/>
      <c r="AW573" s="27"/>
      <c r="AX573" s="27" t="s">
        <v>689</v>
      </c>
      <c r="AY573" s="19" t="s">
        <v>690</v>
      </c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>
        <f t="shared" si="195"/>
        <v>0</v>
      </c>
      <c r="BQ573" s="27">
        <f t="shared" si="195"/>
        <v>0</v>
      </c>
      <c r="BR573" s="27">
        <f t="shared" si="195"/>
        <v>2500</v>
      </c>
      <c r="BS573" s="27">
        <f t="shared" si="195"/>
        <v>5000</v>
      </c>
      <c r="BT573" s="28">
        <f t="shared" si="195"/>
        <v>10000</v>
      </c>
      <c r="BU573" s="28">
        <f t="shared" si="181"/>
        <v>10000</v>
      </c>
      <c r="BV573" s="28">
        <f t="shared" si="182"/>
        <v>10000</v>
      </c>
      <c r="BW573" s="28">
        <f t="shared" si="183"/>
        <v>10000</v>
      </c>
    </row>
    <row r="574" spans="1:75" ht="17.399999999999999" x14ac:dyDescent="0.25">
      <c r="A574" s="69">
        <f t="shared" si="192"/>
        <v>573</v>
      </c>
      <c r="B574" s="73" t="s">
        <v>1814</v>
      </c>
      <c r="C574" s="71" t="s">
        <v>243</v>
      </c>
      <c r="D574" s="71" t="s">
        <v>1811</v>
      </c>
      <c r="E574" s="71" t="s">
        <v>978</v>
      </c>
      <c r="F574" s="71" t="s">
        <v>978</v>
      </c>
      <c r="G574" s="71" t="s">
        <v>1815</v>
      </c>
      <c r="H574" s="71" t="s">
        <v>1816</v>
      </c>
      <c r="I574" s="71" t="str">
        <f>VLOOKUP(H574,[1]Sheet1!$C:$C,1,0)</f>
        <v>SC1919UA-CD-90AK-919H</v>
      </c>
      <c r="J574" s="71"/>
      <c r="K574" s="71"/>
      <c r="L574" s="73"/>
      <c r="M574" s="80"/>
      <c r="N574" s="72"/>
      <c r="O574" s="73"/>
      <c r="P574" s="71"/>
      <c r="Q574" s="71"/>
      <c r="R574" s="100">
        <v>0.39</v>
      </c>
      <c r="S574" s="75"/>
      <c r="T574" s="91"/>
      <c r="U574" s="76">
        <f t="shared" si="180"/>
        <v>760000</v>
      </c>
      <c r="V574" s="80"/>
      <c r="W574" s="80"/>
      <c r="X574" s="80"/>
      <c r="Y574" s="72"/>
      <c r="Z574" s="72"/>
      <c r="AA574" s="72"/>
      <c r="AB574" s="72"/>
      <c r="AC574" s="72"/>
      <c r="AD574" s="77"/>
      <c r="AE574" s="123">
        <v>380000</v>
      </c>
      <c r="AF574" s="123"/>
      <c r="AG574" s="123">
        <v>380000</v>
      </c>
      <c r="AH574" s="123"/>
      <c r="AI574" s="123"/>
      <c r="AJ574" s="123">
        <v>380000</v>
      </c>
      <c r="AK574" s="33"/>
      <c r="AL574" s="33"/>
      <c r="AM574" s="33"/>
      <c r="AN574" s="33"/>
      <c r="AO574" s="33"/>
      <c r="AP574" s="33"/>
      <c r="AQ574" s="33"/>
      <c r="AR574" s="33"/>
      <c r="AS574" s="33"/>
      <c r="AT574" s="33"/>
      <c r="AU574" s="33"/>
      <c r="AV574" s="33"/>
      <c r="AW574" s="19"/>
      <c r="AX574" s="19"/>
      <c r="AY574" s="19" t="s">
        <v>261</v>
      </c>
      <c r="AZ574" s="19"/>
      <c r="BA574" s="19"/>
      <c r="BB574" s="19"/>
      <c r="BC574" s="19"/>
      <c r="BD574" s="19"/>
      <c r="BE574" s="19"/>
      <c r="BF574" s="19"/>
      <c r="BG574" s="24"/>
      <c r="BH574" s="19"/>
      <c r="BI574" s="25"/>
      <c r="BJ574" s="25"/>
      <c r="BK574" s="25"/>
      <c r="BL574" s="25"/>
      <c r="BM574" s="25"/>
      <c r="BN574" s="37"/>
      <c r="BO574" s="21"/>
      <c r="BP574" s="27"/>
      <c r="BQ574" s="27"/>
      <c r="BR574" s="27"/>
      <c r="BS574" s="27"/>
      <c r="BT574" s="28"/>
      <c r="BU574" s="28">
        <f t="shared" si="181"/>
        <v>148200</v>
      </c>
      <c r="BV574" s="28">
        <f t="shared" si="182"/>
        <v>0</v>
      </c>
      <c r="BW574" s="28">
        <f t="shared" si="183"/>
        <v>148200</v>
      </c>
    </row>
    <row r="575" spans="1:75" ht="17.399999999999999" x14ac:dyDescent="0.25">
      <c r="A575" s="69">
        <f t="shared" si="192"/>
        <v>574</v>
      </c>
      <c r="B575" s="71" t="s">
        <v>704</v>
      </c>
      <c r="C575" s="71" t="s">
        <v>243</v>
      </c>
      <c r="D575" s="71"/>
      <c r="E575" s="71" t="s">
        <v>685</v>
      </c>
      <c r="F575" s="71"/>
      <c r="G575" s="71" t="s">
        <v>692</v>
      </c>
      <c r="H575" s="71" t="s">
        <v>693</v>
      </c>
      <c r="I575" s="71" t="str">
        <f>VLOOKUP(H575,[1]Sheet1!$C:$C,1,0)</f>
        <v>TRVE8602A5R-8602</v>
      </c>
      <c r="J575" s="87"/>
      <c r="K575" s="87"/>
      <c r="L575" s="71" t="s">
        <v>696</v>
      </c>
      <c r="M575" s="72"/>
      <c r="N575" s="71" t="s">
        <v>251</v>
      </c>
      <c r="O575" s="71"/>
      <c r="P575" s="71"/>
      <c r="Q575" s="70"/>
      <c r="R575" s="100">
        <v>2.5</v>
      </c>
      <c r="S575" s="75">
        <f>R575*U575</f>
        <v>150000</v>
      </c>
      <c r="T575" s="76">
        <v>120000</v>
      </c>
      <c r="U575" s="76">
        <f t="shared" si="180"/>
        <v>60000</v>
      </c>
      <c r="V575" s="72"/>
      <c r="W575" s="72"/>
      <c r="X575" s="72"/>
      <c r="Y575" s="72">
        <v>0</v>
      </c>
      <c r="Z575" s="72">
        <v>0</v>
      </c>
      <c r="AA575" s="72">
        <v>0</v>
      </c>
      <c r="AB575" s="72">
        <v>1000</v>
      </c>
      <c r="AC575" s="72">
        <v>4000</v>
      </c>
      <c r="AD575" s="77">
        <v>10000</v>
      </c>
      <c r="AE575" s="75">
        <v>20000</v>
      </c>
      <c r="AF575" s="75">
        <v>20000</v>
      </c>
      <c r="AG575" s="75">
        <v>20000</v>
      </c>
      <c r="AH575" s="75">
        <v>20000</v>
      </c>
      <c r="AI575" s="75"/>
      <c r="AJ575" s="75">
        <v>0</v>
      </c>
      <c r="AK575" s="44"/>
      <c r="AL575" s="45"/>
      <c r="AM575" s="45"/>
      <c r="AN575" s="45"/>
      <c r="AO575" s="45"/>
      <c r="AP575" s="45"/>
      <c r="AQ575" s="45"/>
      <c r="AR575" s="45"/>
      <c r="AS575" s="45"/>
      <c r="AT575" s="45"/>
      <c r="AU575" s="45"/>
      <c r="AV575" s="45"/>
      <c r="AW575" s="16"/>
      <c r="AX575" s="16" t="s">
        <v>689</v>
      </c>
      <c r="AY575" s="19" t="s">
        <v>690</v>
      </c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>
        <f>$R575*Z575</f>
        <v>0</v>
      </c>
      <c r="BQ575" s="16">
        <f>$R575*AA575</f>
        <v>0</v>
      </c>
      <c r="BR575" s="16">
        <f>$R575*AB575</f>
        <v>2500</v>
      </c>
      <c r="BS575" s="16">
        <f>$R575*AC575</f>
        <v>10000</v>
      </c>
      <c r="BT575" s="17">
        <f>$R575*AD575</f>
        <v>25000</v>
      </c>
      <c r="BU575" s="28">
        <f t="shared" si="181"/>
        <v>50000</v>
      </c>
      <c r="BV575" s="28">
        <f t="shared" si="182"/>
        <v>50000</v>
      </c>
      <c r="BW575" s="28">
        <f t="shared" si="183"/>
        <v>50000</v>
      </c>
    </row>
    <row r="576" spans="1:75" ht="17.399999999999999" x14ac:dyDescent="0.25">
      <c r="A576" s="69">
        <f t="shared" si="192"/>
        <v>575</v>
      </c>
      <c r="B576" s="73" t="s">
        <v>1947</v>
      </c>
      <c r="C576" s="71" t="s">
        <v>149</v>
      </c>
      <c r="D576" s="71" t="s">
        <v>1947</v>
      </c>
      <c r="E576" s="71" t="s">
        <v>1948</v>
      </c>
      <c r="F576" s="71" t="s">
        <v>1948</v>
      </c>
      <c r="G576" s="71" t="s">
        <v>990</v>
      </c>
      <c r="H576" s="71" t="s">
        <v>991</v>
      </c>
      <c r="I576" s="71" t="str">
        <f>VLOOKUP(H576,[1]Sheet1!$C:$C,1,0)</f>
        <v>SC4015SO-N-A-CE-90NR-4015</v>
      </c>
      <c r="J576" s="71"/>
      <c r="K576" s="71"/>
      <c r="L576" s="73"/>
      <c r="M576" s="80"/>
      <c r="N576" s="72"/>
      <c r="O576" s="73"/>
      <c r="P576" s="71"/>
      <c r="Q576" s="71"/>
      <c r="R576" s="100">
        <v>0.04</v>
      </c>
      <c r="S576" s="75"/>
      <c r="T576" s="91"/>
      <c r="U576" s="76">
        <f t="shared" si="180"/>
        <v>9000000</v>
      </c>
      <c r="V576" s="80"/>
      <c r="W576" s="80"/>
      <c r="X576" s="80"/>
      <c r="Y576" s="72"/>
      <c r="Z576" s="72"/>
      <c r="AA576" s="72"/>
      <c r="AB576" s="72"/>
      <c r="AC576" s="72"/>
      <c r="AD576" s="77"/>
      <c r="AE576" s="75">
        <v>3000000</v>
      </c>
      <c r="AF576" s="75">
        <v>3000000</v>
      </c>
      <c r="AG576" s="75">
        <v>3000000</v>
      </c>
      <c r="AH576" s="75">
        <v>3000000</v>
      </c>
      <c r="AI576" s="75">
        <v>3000000</v>
      </c>
      <c r="AJ576" s="75">
        <v>3000000</v>
      </c>
      <c r="AK576" s="33"/>
      <c r="AL576" s="33"/>
      <c r="AM576" s="33"/>
      <c r="AN576" s="33"/>
      <c r="AO576" s="33"/>
      <c r="AP576" s="33"/>
      <c r="AQ576" s="33"/>
      <c r="AR576" s="33"/>
      <c r="AS576" s="33"/>
      <c r="AT576" s="33"/>
      <c r="AU576" s="33"/>
      <c r="AV576" s="33"/>
      <c r="AW576" s="19"/>
      <c r="AX576" s="19"/>
      <c r="AY576" s="19" t="s">
        <v>261</v>
      </c>
      <c r="AZ576" s="19"/>
      <c r="BA576" s="19"/>
      <c r="BB576" s="19"/>
      <c r="BC576" s="19"/>
      <c r="BD576" s="19"/>
      <c r="BE576" s="19"/>
      <c r="BF576" s="19"/>
      <c r="BG576" s="24"/>
      <c r="BH576" s="19"/>
      <c r="BI576" s="25"/>
      <c r="BJ576" s="25"/>
      <c r="BK576" s="25"/>
      <c r="BL576" s="25"/>
      <c r="BM576" s="25"/>
      <c r="BN576" s="37"/>
      <c r="BO576" s="21"/>
      <c r="BP576" s="27"/>
      <c r="BQ576" s="27"/>
      <c r="BR576" s="27"/>
      <c r="BS576" s="27"/>
      <c r="BT576" s="28"/>
      <c r="BU576" s="28">
        <f t="shared" si="181"/>
        <v>120000</v>
      </c>
      <c r="BV576" s="28">
        <f t="shared" si="182"/>
        <v>120000</v>
      </c>
      <c r="BW576" s="28">
        <f t="shared" si="183"/>
        <v>120000</v>
      </c>
    </row>
    <row r="577" spans="1:75" ht="17.399999999999999" x14ac:dyDescent="0.25">
      <c r="A577" s="69">
        <f t="shared" si="192"/>
        <v>576</v>
      </c>
      <c r="B577" s="73" t="s">
        <v>1947</v>
      </c>
      <c r="C577" s="71" t="s">
        <v>149</v>
      </c>
      <c r="D577" s="71" t="s">
        <v>1947</v>
      </c>
      <c r="E577" s="71" t="s">
        <v>1948</v>
      </c>
      <c r="F577" s="71" t="s">
        <v>1948</v>
      </c>
      <c r="G577" s="71" t="s">
        <v>994</v>
      </c>
      <c r="H577" s="71" t="s">
        <v>1981</v>
      </c>
      <c r="I577" s="71" t="str">
        <f>VLOOKUP(H577,[1]Sheet1!$C:$C,1,0)</f>
        <v>SC4015SO-N-CE-90NR-512</v>
      </c>
      <c r="J577" s="71"/>
      <c r="K577" s="71"/>
      <c r="L577" s="73"/>
      <c r="M577" s="80"/>
      <c r="N577" s="72"/>
      <c r="O577" s="73"/>
      <c r="P577" s="71"/>
      <c r="Q577" s="71"/>
      <c r="R577" s="100">
        <v>0.04</v>
      </c>
      <c r="S577" s="75"/>
      <c r="T577" s="91"/>
      <c r="U577" s="76">
        <f t="shared" ref="U577:U614" si="196">SUM(AE577:AG577)</f>
        <v>9000000</v>
      </c>
      <c r="V577" s="80"/>
      <c r="W577" s="80"/>
      <c r="X577" s="80"/>
      <c r="Y577" s="72"/>
      <c r="Z577" s="72"/>
      <c r="AA577" s="72"/>
      <c r="AB577" s="72"/>
      <c r="AC577" s="72"/>
      <c r="AD577" s="77"/>
      <c r="AE577" s="75">
        <v>3000000</v>
      </c>
      <c r="AF577" s="75">
        <v>3000000</v>
      </c>
      <c r="AG577" s="75">
        <v>3000000</v>
      </c>
      <c r="AH577" s="75">
        <v>3000000</v>
      </c>
      <c r="AI577" s="75">
        <v>3000000</v>
      </c>
      <c r="AJ577" s="75">
        <v>3000000</v>
      </c>
      <c r="AK577" s="33"/>
      <c r="AL577" s="33"/>
      <c r="AM577" s="33"/>
      <c r="AN577" s="33"/>
      <c r="AO577" s="33"/>
      <c r="AP577" s="33"/>
      <c r="AQ577" s="33"/>
      <c r="AR577" s="33"/>
      <c r="AS577" s="33"/>
      <c r="AT577" s="33"/>
      <c r="AU577" s="33"/>
      <c r="AV577" s="33"/>
      <c r="AW577" s="19"/>
      <c r="AX577" s="19"/>
      <c r="AY577" s="19" t="s">
        <v>261</v>
      </c>
      <c r="AZ577" s="19"/>
      <c r="BA577" s="19"/>
      <c r="BB577" s="19"/>
      <c r="BC577" s="19"/>
      <c r="BD577" s="19"/>
      <c r="BE577" s="19"/>
      <c r="BF577" s="19"/>
      <c r="BG577" s="24"/>
      <c r="BH577" s="19"/>
      <c r="BI577" s="25"/>
      <c r="BJ577" s="25"/>
      <c r="BK577" s="25"/>
      <c r="BL577" s="25"/>
      <c r="BM577" s="25"/>
      <c r="BN577" s="37"/>
      <c r="BO577" s="21"/>
      <c r="BP577" s="27"/>
      <c r="BQ577" s="27"/>
      <c r="BR577" s="27"/>
      <c r="BS577" s="27"/>
      <c r="BT577" s="28"/>
      <c r="BU577" s="28">
        <f t="shared" si="181"/>
        <v>120000</v>
      </c>
      <c r="BV577" s="28">
        <f t="shared" si="182"/>
        <v>120000</v>
      </c>
      <c r="BW577" s="28">
        <f t="shared" si="183"/>
        <v>120000</v>
      </c>
    </row>
    <row r="578" spans="1:75" ht="17.399999999999999" x14ac:dyDescent="0.25">
      <c r="A578" s="69">
        <f t="shared" si="192"/>
        <v>577</v>
      </c>
      <c r="B578" s="71" t="s">
        <v>705</v>
      </c>
      <c r="C578" s="71" t="s">
        <v>243</v>
      </c>
      <c r="D578" s="71"/>
      <c r="E578" s="71" t="s">
        <v>685</v>
      </c>
      <c r="F578" s="71"/>
      <c r="G578" s="71" t="s">
        <v>692</v>
      </c>
      <c r="H578" s="71" t="s">
        <v>693</v>
      </c>
      <c r="I578" s="71" t="str">
        <f>VLOOKUP(H578,[1]Sheet1!$C:$C,1,0)</f>
        <v>TRVE8602A5R-8602</v>
      </c>
      <c r="J578" s="87"/>
      <c r="K578" s="87"/>
      <c r="L578" s="71" t="s">
        <v>696</v>
      </c>
      <c r="M578" s="72"/>
      <c r="N578" s="71" t="s">
        <v>251</v>
      </c>
      <c r="O578" s="71"/>
      <c r="P578" s="71"/>
      <c r="Q578" s="70"/>
      <c r="R578" s="100">
        <v>2.5</v>
      </c>
      <c r="S578" s="75">
        <f>R578*U578</f>
        <v>75000</v>
      </c>
      <c r="T578" s="76">
        <v>120000</v>
      </c>
      <c r="U578" s="76">
        <f t="shared" si="196"/>
        <v>30000</v>
      </c>
      <c r="V578" s="72"/>
      <c r="W578" s="72"/>
      <c r="X578" s="72"/>
      <c r="Y578" s="72">
        <v>0</v>
      </c>
      <c r="Z578" s="72">
        <v>0</v>
      </c>
      <c r="AA578" s="72">
        <v>0</v>
      </c>
      <c r="AB578" s="77">
        <v>1000</v>
      </c>
      <c r="AC578" s="77">
        <v>2000</v>
      </c>
      <c r="AD578" s="77">
        <v>4000</v>
      </c>
      <c r="AE578" s="75">
        <v>10000</v>
      </c>
      <c r="AF578" s="75">
        <v>10000</v>
      </c>
      <c r="AG578" s="75">
        <v>10000</v>
      </c>
      <c r="AH578" s="75">
        <v>10000</v>
      </c>
      <c r="AI578" s="75"/>
      <c r="AJ578" s="75">
        <v>0</v>
      </c>
      <c r="AK578" s="46"/>
      <c r="AL578" s="47"/>
      <c r="AM578" s="47"/>
      <c r="AN578" s="47"/>
      <c r="AO578" s="47"/>
      <c r="AP578" s="47"/>
      <c r="AQ578" s="47"/>
      <c r="AR578" s="47"/>
      <c r="AS578" s="47"/>
      <c r="AT578" s="47"/>
      <c r="AU578" s="47"/>
      <c r="AV578" s="47"/>
      <c r="AW578" s="27"/>
      <c r="AX578" s="27" t="s">
        <v>689</v>
      </c>
      <c r="AY578" s="19" t="s">
        <v>690</v>
      </c>
      <c r="AZ578" s="27"/>
      <c r="BA578" s="27"/>
      <c r="BB578" s="27"/>
      <c r="BC578" s="27"/>
      <c r="BD578" s="27"/>
      <c r="BE578" s="27"/>
      <c r="BF578" s="27"/>
      <c r="BG578" s="27"/>
      <c r="BH578" s="27"/>
      <c r="BI578" s="27"/>
      <c r="BJ578" s="27"/>
      <c r="BK578" s="27"/>
      <c r="BL578" s="27"/>
      <c r="BM578" s="27"/>
      <c r="BN578" s="27"/>
      <c r="BO578" s="27"/>
      <c r="BP578" s="27">
        <f t="shared" ref="BP578:BT579" si="197">$R578*Z578</f>
        <v>0</v>
      </c>
      <c r="BQ578" s="27">
        <f t="shared" si="197"/>
        <v>0</v>
      </c>
      <c r="BR578" s="27">
        <f t="shared" si="197"/>
        <v>2500</v>
      </c>
      <c r="BS578" s="27">
        <f t="shared" si="197"/>
        <v>5000</v>
      </c>
      <c r="BT578" s="28">
        <f t="shared" si="197"/>
        <v>10000</v>
      </c>
      <c r="BU578" s="28">
        <f t="shared" si="181"/>
        <v>25000</v>
      </c>
      <c r="BV578" s="28">
        <f t="shared" si="182"/>
        <v>25000</v>
      </c>
      <c r="BW578" s="28">
        <f t="shared" si="183"/>
        <v>25000</v>
      </c>
    </row>
    <row r="579" spans="1:75" ht="17.399999999999999" x14ac:dyDescent="0.25">
      <c r="A579" s="69">
        <f t="shared" si="192"/>
        <v>578</v>
      </c>
      <c r="B579" s="71" t="s">
        <v>706</v>
      </c>
      <c r="C579" s="71" t="s">
        <v>243</v>
      </c>
      <c r="D579" s="71"/>
      <c r="E579" s="71" t="s">
        <v>685</v>
      </c>
      <c r="F579" s="71"/>
      <c r="G579" s="71" t="s">
        <v>692</v>
      </c>
      <c r="H579" s="71" t="s">
        <v>693</v>
      </c>
      <c r="I579" s="71" t="str">
        <f>VLOOKUP(H579,[1]Sheet1!$C:$C,1,0)</f>
        <v>TRVE8602A5R-8602</v>
      </c>
      <c r="J579" s="87"/>
      <c r="K579" s="87"/>
      <c r="L579" s="71" t="s">
        <v>696</v>
      </c>
      <c r="M579" s="72"/>
      <c r="N579" s="71" t="s">
        <v>251</v>
      </c>
      <c r="O579" s="71"/>
      <c r="P579" s="71"/>
      <c r="Q579" s="70"/>
      <c r="R579" s="100">
        <v>2.5</v>
      </c>
      <c r="S579" s="75">
        <f>R579*U579</f>
        <v>0</v>
      </c>
      <c r="T579" s="76">
        <v>120000</v>
      </c>
      <c r="U579" s="76">
        <f t="shared" si="196"/>
        <v>0</v>
      </c>
      <c r="V579" s="72"/>
      <c r="W579" s="72"/>
      <c r="X579" s="72"/>
      <c r="Y579" s="72">
        <v>0</v>
      </c>
      <c r="Z579" s="72">
        <v>0</v>
      </c>
      <c r="AA579" s="72">
        <v>0</v>
      </c>
      <c r="AB579" s="72"/>
      <c r="AC579" s="72"/>
      <c r="AD579" s="77"/>
      <c r="AE579" s="75"/>
      <c r="AF579" s="75"/>
      <c r="AG579" s="75"/>
      <c r="AH579" s="75">
        <v>0</v>
      </c>
      <c r="AI579" s="75"/>
      <c r="AJ579" s="75">
        <v>0</v>
      </c>
      <c r="AK579" s="44"/>
      <c r="AL579" s="45"/>
      <c r="AM579" s="45"/>
      <c r="AN579" s="45"/>
      <c r="AO579" s="45"/>
      <c r="AP579" s="45"/>
      <c r="AQ579" s="45"/>
      <c r="AR579" s="45"/>
      <c r="AS579" s="45"/>
      <c r="AT579" s="45"/>
      <c r="AU579" s="45"/>
      <c r="AV579" s="45"/>
      <c r="AW579" s="16"/>
      <c r="AX579" s="16" t="s">
        <v>689</v>
      </c>
      <c r="AY579" s="19" t="s">
        <v>690</v>
      </c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>
        <f t="shared" si="197"/>
        <v>0</v>
      </c>
      <c r="BQ579" s="16">
        <f t="shared" si="197"/>
        <v>0</v>
      </c>
      <c r="BR579" s="16">
        <f t="shared" si="197"/>
        <v>0</v>
      </c>
      <c r="BS579" s="16">
        <f t="shared" si="197"/>
        <v>0</v>
      </c>
      <c r="BT579" s="17">
        <f t="shared" si="197"/>
        <v>0</v>
      </c>
      <c r="BU579" s="28">
        <f t="shared" ref="BU579:BU614" si="198">$R579*AE579</f>
        <v>0</v>
      </c>
      <c r="BV579" s="28">
        <f t="shared" ref="BV579:BV614" si="199">$R579*AF579</f>
        <v>0</v>
      </c>
      <c r="BW579" s="28">
        <f t="shared" ref="BW579:BW614" si="200">$R579*AG579</f>
        <v>0</v>
      </c>
    </row>
    <row r="580" spans="1:75" ht="17.399999999999999" x14ac:dyDescent="0.25">
      <c r="A580" s="69">
        <f t="shared" si="192"/>
        <v>579</v>
      </c>
      <c r="B580" s="73" t="s">
        <v>1947</v>
      </c>
      <c r="C580" s="71" t="s">
        <v>149</v>
      </c>
      <c r="D580" s="71" t="s">
        <v>1947</v>
      </c>
      <c r="E580" s="71" t="s">
        <v>1948</v>
      </c>
      <c r="F580" s="71" t="s">
        <v>1948</v>
      </c>
      <c r="G580" s="71" t="s">
        <v>1949</v>
      </c>
      <c r="H580" s="71" t="s">
        <v>1952</v>
      </c>
      <c r="I580" s="71" t="str">
        <f>VLOOKUP(H580,[1]Sheet1!$C:$C,1,0)</f>
        <v>SC4015SO-N-CE-90NR-4015</v>
      </c>
      <c r="J580" s="71"/>
      <c r="K580" s="71"/>
      <c r="L580" s="73"/>
      <c r="M580" s="80"/>
      <c r="N580" s="72"/>
      <c r="O580" s="73"/>
      <c r="P580" s="71"/>
      <c r="Q580" s="71"/>
      <c r="R580" s="100">
        <v>0.04</v>
      </c>
      <c r="S580" s="75"/>
      <c r="T580" s="91"/>
      <c r="U580" s="76">
        <f t="shared" si="196"/>
        <v>900000</v>
      </c>
      <c r="V580" s="80"/>
      <c r="W580" s="80"/>
      <c r="X580" s="80"/>
      <c r="Y580" s="72"/>
      <c r="Z580" s="72"/>
      <c r="AA580" s="72"/>
      <c r="AB580" s="72"/>
      <c r="AC580" s="72"/>
      <c r="AD580" s="77"/>
      <c r="AE580" s="75">
        <v>200000</v>
      </c>
      <c r="AF580" s="75">
        <v>200000</v>
      </c>
      <c r="AG580" s="75">
        <v>500000</v>
      </c>
      <c r="AH580" s="75">
        <v>500000</v>
      </c>
      <c r="AI580" s="75">
        <v>500000</v>
      </c>
      <c r="AJ580" s="75">
        <v>500000</v>
      </c>
      <c r="AK580" s="33"/>
      <c r="AL580" s="33"/>
      <c r="AM580" s="33"/>
      <c r="AN580" s="33"/>
      <c r="AO580" s="33"/>
      <c r="AP580" s="33"/>
      <c r="AQ580" s="33"/>
      <c r="AR580" s="33"/>
      <c r="AS580" s="33"/>
      <c r="AT580" s="33"/>
      <c r="AU580" s="33"/>
      <c r="AV580" s="33"/>
      <c r="AW580" s="19"/>
      <c r="AX580" s="19"/>
      <c r="AY580" s="19" t="s">
        <v>261</v>
      </c>
      <c r="AZ580" s="19"/>
      <c r="BA580" s="19"/>
      <c r="BB580" s="19"/>
      <c r="BC580" s="19"/>
      <c r="BD580" s="19"/>
      <c r="BE580" s="19"/>
      <c r="BF580" s="19"/>
      <c r="BG580" s="24"/>
      <c r="BH580" s="19"/>
      <c r="BI580" s="25"/>
      <c r="BJ580" s="25"/>
      <c r="BK580" s="25"/>
      <c r="BL580" s="25"/>
      <c r="BM580" s="25"/>
      <c r="BN580" s="37"/>
      <c r="BO580" s="21"/>
      <c r="BP580" s="27"/>
      <c r="BQ580" s="27"/>
      <c r="BR580" s="27"/>
      <c r="BS580" s="27"/>
      <c r="BT580" s="28"/>
      <c r="BU580" s="28">
        <f t="shared" si="198"/>
        <v>8000</v>
      </c>
      <c r="BV580" s="28">
        <f t="shared" si="199"/>
        <v>8000</v>
      </c>
      <c r="BW580" s="28">
        <f t="shared" si="200"/>
        <v>20000</v>
      </c>
    </row>
    <row r="581" spans="1:75" ht="17.399999999999999" x14ac:dyDescent="0.25">
      <c r="A581" s="69">
        <f t="shared" si="192"/>
        <v>580</v>
      </c>
      <c r="B581" s="71" t="s">
        <v>707</v>
      </c>
      <c r="C581" s="71" t="s">
        <v>243</v>
      </c>
      <c r="D581" s="85"/>
      <c r="E581" s="71" t="s">
        <v>685</v>
      </c>
      <c r="F581" s="85"/>
      <c r="G581" s="71" t="s">
        <v>692</v>
      </c>
      <c r="H581" s="71" t="s">
        <v>693</v>
      </c>
      <c r="I581" s="71" t="str">
        <f>VLOOKUP(H581,[1]Sheet1!$C:$C,1,0)</f>
        <v>TRVE8602A5R-8602</v>
      </c>
      <c r="J581" s="87"/>
      <c r="K581" s="85"/>
      <c r="L581" s="71" t="s">
        <v>696</v>
      </c>
      <c r="M581" s="85"/>
      <c r="N581" s="71" t="s">
        <v>251</v>
      </c>
      <c r="O581" s="85"/>
      <c r="P581" s="85"/>
      <c r="Q581" s="85"/>
      <c r="R581" s="100">
        <v>2.5</v>
      </c>
      <c r="S581" s="75">
        <f>R581*U581</f>
        <v>112500</v>
      </c>
      <c r="T581" s="85"/>
      <c r="U581" s="76">
        <f t="shared" si="196"/>
        <v>45000</v>
      </c>
      <c r="V581" s="85"/>
      <c r="W581" s="85"/>
      <c r="X581" s="85"/>
      <c r="Y581" s="85"/>
      <c r="Z581" s="85"/>
      <c r="AA581" s="85"/>
      <c r="AB581" s="77">
        <v>0</v>
      </c>
      <c r="AC581" s="77">
        <v>1000</v>
      </c>
      <c r="AD581" s="77">
        <v>4000</v>
      </c>
      <c r="AE581" s="75">
        <v>15000</v>
      </c>
      <c r="AF581" s="75">
        <v>15000</v>
      </c>
      <c r="AG581" s="75">
        <v>15000</v>
      </c>
      <c r="AH581" s="75">
        <v>15000</v>
      </c>
      <c r="AI581" s="75"/>
      <c r="AJ581" s="75">
        <v>0</v>
      </c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 t="s">
        <v>689</v>
      </c>
      <c r="AY581" s="19" t="s">
        <v>690</v>
      </c>
      <c r="AZ581" s="27"/>
      <c r="BA581" s="27"/>
      <c r="BB581" s="27"/>
      <c r="BC581" s="27"/>
      <c r="BD581" s="27"/>
      <c r="BE581" s="27"/>
      <c r="BF581" s="27"/>
      <c r="BG581" s="27"/>
      <c r="BH581" s="27"/>
      <c r="BI581" s="27"/>
      <c r="BJ581" s="27"/>
      <c r="BK581" s="27"/>
      <c r="BL581" s="27"/>
      <c r="BM581" s="27"/>
      <c r="BN581" s="27"/>
      <c r="BO581" s="27"/>
      <c r="BP581" s="27">
        <f>$R581*Z581</f>
        <v>0</v>
      </c>
      <c r="BQ581" s="27">
        <f>$R581*AA581</f>
        <v>0</v>
      </c>
      <c r="BR581" s="27">
        <f>$R581*AB581</f>
        <v>0</v>
      </c>
      <c r="BS581" s="27">
        <f>$R581*AC581</f>
        <v>2500</v>
      </c>
      <c r="BT581" s="28">
        <f>$R581*AD581</f>
        <v>10000</v>
      </c>
      <c r="BU581" s="28">
        <f t="shared" si="198"/>
        <v>37500</v>
      </c>
      <c r="BV581" s="28">
        <f t="shared" si="199"/>
        <v>37500</v>
      </c>
      <c r="BW581" s="28">
        <f t="shared" si="200"/>
        <v>37500</v>
      </c>
    </row>
    <row r="582" spans="1:75" ht="17.399999999999999" x14ac:dyDescent="0.25">
      <c r="A582" s="69">
        <f t="shared" si="192"/>
        <v>581</v>
      </c>
      <c r="B582" s="73" t="s">
        <v>1947</v>
      </c>
      <c r="C582" s="71" t="s">
        <v>149</v>
      </c>
      <c r="D582" s="71" t="s">
        <v>1947</v>
      </c>
      <c r="E582" s="71" t="s">
        <v>1948</v>
      </c>
      <c r="F582" s="71" t="s">
        <v>1948</v>
      </c>
      <c r="G582" s="71" t="s">
        <v>1949</v>
      </c>
      <c r="H582" s="71" t="s">
        <v>1955</v>
      </c>
      <c r="I582" s="71" t="str">
        <f>VLOOKUP(H582,[1]Sheet1!$C:$C,1,0)</f>
        <v>SC4015SO-N-CE-90NR-NM</v>
      </c>
      <c r="J582" s="71"/>
      <c r="K582" s="71"/>
      <c r="L582" s="73"/>
      <c r="M582" s="80"/>
      <c r="N582" s="72"/>
      <c r="O582" s="73"/>
      <c r="P582" s="71"/>
      <c r="Q582" s="71"/>
      <c r="R582" s="100">
        <v>0.04</v>
      </c>
      <c r="S582" s="75"/>
      <c r="T582" s="91"/>
      <c r="U582" s="76">
        <f t="shared" si="196"/>
        <v>18000</v>
      </c>
      <c r="V582" s="80"/>
      <c r="W582" s="80"/>
      <c r="X582" s="80"/>
      <c r="Y582" s="72"/>
      <c r="Z582" s="72"/>
      <c r="AA582" s="72"/>
      <c r="AB582" s="72"/>
      <c r="AC582" s="72"/>
      <c r="AD582" s="77"/>
      <c r="AE582" s="75">
        <v>6000</v>
      </c>
      <c r="AF582" s="75">
        <v>6000</v>
      </c>
      <c r="AG582" s="75">
        <v>6000</v>
      </c>
      <c r="AH582" s="75">
        <v>6000</v>
      </c>
      <c r="AI582" s="75">
        <v>6000</v>
      </c>
      <c r="AJ582" s="75">
        <v>6000</v>
      </c>
      <c r="AK582" s="33"/>
      <c r="AL582" s="33"/>
      <c r="AM582" s="33"/>
      <c r="AN582" s="33"/>
      <c r="AO582" s="33"/>
      <c r="AP582" s="33"/>
      <c r="AQ582" s="33"/>
      <c r="AR582" s="33"/>
      <c r="AS582" s="33"/>
      <c r="AT582" s="33"/>
      <c r="AU582" s="33"/>
      <c r="AV582" s="33"/>
      <c r="AW582" s="19"/>
      <c r="AX582" s="19"/>
      <c r="AY582" s="19" t="s">
        <v>261</v>
      </c>
      <c r="AZ582" s="19"/>
      <c r="BA582" s="19"/>
      <c r="BB582" s="19"/>
      <c r="BC582" s="19"/>
      <c r="BD582" s="19"/>
      <c r="BE582" s="19"/>
      <c r="BF582" s="19"/>
      <c r="BG582" s="24"/>
      <c r="BH582" s="19"/>
      <c r="BI582" s="25"/>
      <c r="BJ582" s="25"/>
      <c r="BK582" s="25"/>
      <c r="BL582" s="25"/>
      <c r="BM582" s="25"/>
      <c r="BN582" s="37"/>
      <c r="BO582" s="21"/>
      <c r="BP582" s="27"/>
      <c r="BQ582" s="27"/>
      <c r="BR582" s="27"/>
      <c r="BS582" s="27"/>
      <c r="BT582" s="28"/>
      <c r="BU582" s="28">
        <f t="shared" si="198"/>
        <v>240</v>
      </c>
      <c r="BV582" s="28">
        <f t="shared" si="199"/>
        <v>240</v>
      </c>
      <c r="BW582" s="28">
        <f t="shared" si="200"/>
        <v>240</v>
      </c>
    </row>
    <row r="583" spans="1:75" ht="17.399999999999999" x14ac:dyDescent="0.25">
      <c r="A583" s="69">
        <f t="shared" si="192"/>
        <v>582</v>
      </c>
      <c r="B583" s="71" t="s">
        <v>708</v>
      </c>
      <c r="C583" s="71" t="s">
        <v>243</v>
      </c>
      <c r="D583" s="85"/>
      <c r="E583" s="71" t="s">
        <v>685</v>
      </c>
      <c r="F583" s="85"/>
      <c r="G583" s="71" t="s">
        <v>692</v>
      </c>
      <c r="H583" s="71" t="s">
        <v>693</v>
      </c>
      <c r="I583" s="71" t="str">
        <f>VLOOKUP(H583,[1]Sheet1!$C:$C,1,0)</f>
        <v>TRVE8602A5R-8602</v>
      </c>
      <c r="J583" s="87"/>
      <c r="K583" s="85"/>
      <c r="L583" s="71" t="s">
        <v>696</v>
      </c>
      <c r="M583" s="85"/>
      <c r="N583" s="71" t="s">
        <v>251</v>
      </c>
      <c r="O583" s="85"/>
      <c r="P583" s="85"/>
      <c r="Q583" s="85"/>
      <c r="R583" s="100">
        <v>2.5</v>
      </c>
      <c r="S583" s="75">
        <f>R583*U583</f>
        <v>75000</v>
      </c>
      <c r="T583" s="85"/>
      <c r="U583" s="76">
        <f t="shared" si="196"/>
        <v>30000</v>
      </c>
      <c r="V583" s="85"/>
      <c r="W583" s="85"/>
      <c r="X583" s="85"/>
      <c r="Y583" s="85"/>
      <c r="Z583" s="85"/>
      <c r="AA583" s="85"/>
      <c r="AB583" s="77">
        <v>1000</v>
      </c>
      <c r="AC583" s="77">
        <v>4000</v>
      </c>
      <c r="AD583" s="77">
        <v>4000</v>
      </c>
      <c r="AE583" s="75">
        <v>10000</v>
      </c>
      <c r="AF583" s="75">
        <v>10000</v>
      </c>
      <c r="AG583" s="75">
        <v>10000</v>
      </c>
      <c r="AH583" s="75">
        <v>10000</v>
      </c>
      <c r="AI583" s="75"/>
      <c r="AJ583" s="75">
        <v>0</v>
      </c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 t="s">
        <v>689</v>
      </c>
      <c r="AY583" s="19" t="s">
        <v>690</v>
      </c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>
        <f t="shared" ref="BP583:BT584" si="201">$R583*Z583</f>
        <v>0</v>
      </c>
      <c r="BQ583" s="16">
        <f t="shared" si="201"/>
        <v>0</v>
      </c>
      <c r="BR583" s="16">
        <f t="shared" si="201"/>
        <v>2500</v>
      </c>
      <c r="BS583" s="16">
        <f t="shared" si="201"/>
        <v>10000</v>
      </c>
      <c r="BT583" s="17">
        <f t="shared" si="201"/>
        <v>10000</v>
      </c>
      <c r="BU583" s="28">
        <f t="shared" si="198"/>
        <v>25000</v>
      </c>
      <c r="BV583" s="28">
        <f t="shared" si="199"/>
        <v>25000</v>
      </c>
      <c r="BW583" s="28">
        <f t="shared" si="200"/>
        <v>25000</v>
      </c>
    </row>
    <row r="584" spans="1:75" ht="17.399999999999999" x14ac:dyDescent="0.25">
      <c r="A584" s="69">
        <f t="shared" si="192"/>
        <v>583</v>
      </c>
      <c r="B584" s="71" t="s">
        <v>709</v>
      </c>
      <c r="C584" s="71" t="s">
        <v>243</v>
      </c>
      <c r="D584" s="85"/>
      <c r="E584" s="71" t="s">
        <v>685</v>
      </c>
      <c r="F584" s="85"/>
      <c r="G584" s="71" t="s">
        <v>692</v>
      </c>
      <c r="H584" s="71" t="s">
        <v>693</v>
      </c>
      <c r="I584" s="71" t="str">
        <f>VLOOKUP(H584,[1]Sheet1!$C:$C,1,0)</f>
        <v>TRVE8602A5R-8602</v>
      </c>
      <c r="J584" s="87"/>
      <c r="K584" s="85"/>
      <c r="L584" s="71" t="s">
        <v>696</v>
      </c>
      <c r="M584" s="85"/>
      <c r="N584" s="71" t="s">
        <v>251</v>
      </c>
      <c r="O584" s="85"/>
      <c r="P584" s="85"/>
      <c r="Q584" s="85"/>
      <c r="R584" s="100">
        <v>2.5</v>
      </c>
      <c r="S584" s="75">
        <f>R584*U584</f>
        <v>75000</v>
      </c>
      <c r="T584" s="85"/>
      <c r="U584" s="76">
        <f t="shared" si="196"/>
        <v>30000</v>
      </c>
      <c r="V584" s="85"/>
      <c r="W584" s="85"/>
      <c r="X584" s="85"/>
      <c r="Y584" s="85"/>
      <c r="Z584" s="85"/>
      <c r="AA584" s="85"/>
      <c r="AB584" s="77">
        <v>1000</v>
      </c>
      <c r="AC584" s="77">
        <v>2000</v>
      </c>
      <c r="AD584" s="77">
        <v>4000</v>
      </c>
      <c r="AE584" s="75">
        <v>10000</v>
      </c>
      <c r="AF584" s="75">
        <v>10000</v>
      </c>
      <c r="AG584" s="75">
        <v>10000</v>
      </c>
      <c r="AH584" s="75">
        <v>10000</v>
      </c>
      <c r="AI584" s="75"/>
      <c r="AJ584" s="75">
        <v>0</v>
      </c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 t="s">
        <v>689</v>
      </c>
      <c r="AY584" s="19" t="s">
        <v>690</v>
      </c>
      <c r="AZ584" s="27"/>
      <c r="BA584" s="27"/>
      <c r="BB584" s="27"/>
      <c r="BC584" s="27"/>
      <c r="BD584" s="27"/>
      <c r="BE584" s="27"/>
      <c r="BF584" s="27"/>
      <c r="BG584" s="27"/>
      <c r="BH584" s="27"/>
      <c r="BI584" s="27"/>
      <c r="BJ584" s="27"/>
      <c r="BK584" s="27"/>
      <c r="BL584" s="27"/>
      <c r="BM584" s="27"/>
      <c r="BN584" s="27"/>
      <c r="BO584" s="27"/>
      <c r="BP584" s="27">
        <f t="shared" si="201"/>
        <v>0</v>
      </c>
      <c r="BQ584" s="27">
        <f t="shared" si="201"/>
        <v>0</v>
      </c>
      <c r="BR584" s="27">
        <f t="shared" si="201"/>
        <v>2500</v>
      </c>
      <c r="BS584" s="27">
        <f t="shared" si="201"/>
        <v>5000</v>
      </c>
      <c r="BT584" s="28">
        <f t="shared" si="201"/>
        <v>10000</v>
      </c>
      <c r="BU584" s="28">
        <f t="shared" si="198"/>
        <v>25000</v>
      </c>
      <c r="BV584" s="28">
        <f t="shared" si="199"/>
        <v>25000</v>
      </c>
      <c r="BW584" s="28">
        <f t="shared" si="200"/>
        <v>25000</v>
      </c>
    </row>
    <row r="585" spans="1:75" ht="17.399999999999999" x14ac:dyDescent="0.25">
      <c r="A585" s="69">
        <f t="shared" si="192"/>
        <v>584</v>
      </c>
      <c r="B585" s="73" t="s">
        <v>1947</v>
      </c>
      <c r="C585" s="71" t="s">
        <v>149</v>
      </c>
      <c r="D585" s="71" t="s">
        <v>1947</v>
      </c>
      <c r="E585" s="71" t="s">
        <v>1948</v>
      </c>
      <c r="F585" s="71" t="s">
        <v>1948</v>
      </c>
      <c r="G585" s="71" t="s">
        <v>313</v>
      </c>
      <c r="H585" s="71" t="s">
        <v>762</v>
      </c>
      <c r="I585" s="71" t="str">
        <f>VLOOKUP(H585,[1]Sheet1!$C:$C,1,0)</f>
        <v>SC1134UA-CI-00AK-44E</v>
      </c>
      <c r="J585" s="71"/>
      <c r="K585" s="71"/>
      <c r="L585" s="73"/>
      <c r="M585" s="80"/>
      <c r="N585" s="72"/>
      <c r="O585" s="73"/>
      <c r="P585" s="71"/>
      <c r="Q585" s="71"/>
      <c r="R585" s="100">
        <v>0.19</v>
      </c>
      <c r="S585" s="75"/>
      <c r="T585" s="91"/>
      <c r="U585" s="76">
        <f t="shared" si="196"/>
        <v>600000</v>
      </c>
      <c r="V585" s="80"/>
      <c r="W585" s="80"/>
      <c r="X585" s="80"/>
      <c r="Y585" s="72"/>
      <c r="Z585" s="72"/>
      <c r="AA585" s="72"/>
      <c r="AB585" s="72"/>
      <c r="AC585" s="72"/>
      <c r="AD585" s="77"/>
      <c r="AE585" s="75">
        <v>200000</v>
      </c>
      <c r="AF585" s="75">
        <v>200000</v>
      </c>
      <c r="AG585" s="75">
        <v>200000</v>
      </c>
      <c r="AH585" s="75">
        <v>200000</v>
      </c>
      <c r="AI585" s="75">
        <v>200000</v>
      </c>
      <c r="AJ585" s="75">
        <v>200000</v>
      </c>
      <c r="AK585" s="33"/>
      <c r="AL585" s="33"/>
      <c r="AM585" s="33"/>
      <c r="AN585" s="33"/>
      <c r="AO585" s="33"/>
      <c r="AP585" s="33"/>
      <c r="AQ585" s="33"/>
      <c r="AR585" s="33"/>
      <c r="AS585" s="33"/>
      <c r="AT585" s="33"/>
      <c r="AU585" s="33"/>
      <c r="AV585" s="33"/>
      <c r="AW585" s="19"/>
      <c r="AX585" s="19"/>
      <c r="AY585" s="19" t="s">
        <v>261</v>
      </c>
      <c r="AZ585" s="19"/>
      <c r="BA585" s="19"/>
      <c r="BB585" s="19"/>
      <c r="BC585" s="19"/>
      <c r="BD585" s="19"/>
      <c r="BE585" s="19"/>
      <c r="BF585" s="19"/>
      <c r="BG585" s="24"/>
      <c r="BH585" s="19"/>
      <c r="BI585" s="25"/>
      <c r="BJ585" s="25"/>
      <c r="BK585" s="25"/>
      <c r="BL585" s="25"/>
      <c r="BM585" s="25"/>
      <c r="BN585" s="37"/>
      <c r="BO585" s="21"/>
      <c r="BP585" s="27"/>
      <c r="BQ585" s="27"/>
      <c r="BR585" s="27"/>
      <c r="BS585" s="27"/>
      <c r="BT585" s="28"/>
      <c r="BU585" s="28">
        <f t="shared" si="198"/>
        <v>38000</v>
      </c>
      <c r="BV585" s="28">
        <f t="shared" si="199"/>
        <v>38000</v>
      </c>
      <c r="BW585" s="28">
        <f t="shared" si="200"/>
        <v>38000</v>
      </c>
    </row>
    <row r="586" spans="1:75" ht="17.399999999999999" x14ac:dyDescent="0.25">
      <c r="A586" s="69">
        <f t="shared" si="192"/>
        <v>585</v>
      </c>
      <c r="B586" s="73" t="s">
        <v>1947</v>
      </c>
      <c r="C586" s="71" t="s">
        <v>149</v>
      </c>
      <c r="D586" s="71" t="s">
        <v>1947</v>
      </c>
      <c r="E586" s="71" t="s">
        <v>1948</v>
      </c>
      <c r="F586" s="71" t="s">
        <v>1948</v>
      </c>
      <c r="G586" s="71" t="s">
        <v>313</v>
      </c>
      <c r="H586" s="71" t="s">
        <v>760</v>
      </c>
      <c r="I586" s="71" t="str">
        <f>VLOOKUP(H586,[1]Sheet1!$C:$C,1,0)</f>
        <v>SC1134UA-CI-00AK-44L</v>
      </c>
      <c r="J586" s="71"/>
      <c r="K586" s="71"/>
      <c r="L586" s="73"/>
      <c r="M586" s="80"/>
      <c r="N586" s="72"/>
      <c r="O586" s="73"/>
      <c r="P586" s="71"/>
      <c r="Q586" s="71"/>
      <c r="R586" s="100">
        <v>0.19</v>
      </c>
      <c r="S586" s="75"/>
      <c r="T586" s="91"/>
      <c r="U586" s="76">
        <f t="shared" si="196"/>
        <v>270000</v>
      </c>
      <c r="V586" s="80"/>
      <c r="W586" s="80"/>
      <c r="X586" s="80"/>
      <c r="Y586" s="72"/>
      <c r="Z586" s="72"/>
      <c r="AA586" s="72"/>
      <c r="AB586" s="72"/>
      <c r="AC586" s="72"/>
      <c r="AD586" s="77"/>
      <c r="AE586" s="75">
        <v>90000</v>
      </c>
      <c r="AF586" s="75">
        <v>90000</v>
      </c>
      <c r="AG586" s="75">
        <v>90000</v>
      </c>
      <c r="AH586" s="75">
        <v>90000</v>
      </c>
      <c r="AI586" s="75">
        <v>90000</v>
      </c>
      <c r="AJ586" s="75">
        <v>90000</v>
      </c>
      <c r="AK586" s="33"/>
      <c r="AL586" s="33"/>
      <c r="AM586" s="33"/>
      <c r="AN586" s="33"/>
      <c r="AO586" s="33"/>
      <c r="AP586" s="33"/>
      <c r="AQ586" s="33"/>
      <c r="AR586" s="33"/>
      <c r="AS586" s="33"/>
      <c r="AT586" s="33"/>
      <c r="AU586" s="33"/>
      <c r="AV586" s="33"/>
      <c r="AW586" s="19"/>
      <c r="AX586" s="19"/>
      <c r="AY586" s="19" t="s">
        <v>261</v>
      </c>
      <c r="AZ586" s="19"/>
      <c r="BA586" s="19"/>
      <c r="BB586" s="19"/>
      <c r="BC586" s="19"/>
      <c r="BD586" s="19"/>
      <c r="BE586" s="19"/>
      <c r="BF586" s="19"/>
      <c r="BG586" s="24"/>
      <c r="BH586" s="19"/>
      <c r="BI586" s="25"/>
      <c r="BJ586" s="25"/>
      <c r="BK586" s="25"/>
      <c r="BL586" s="25"/>
      <c r="BM586" s="25"/>
      <c r="BN586" s="37"/>
      <c r="BO586" s="21"/>
      <c r="BP586" s="27"/>
      <c r="BQ586" s="27"/>
      <c r="BR586" s="27"/>
      <c r="BS586" s="27"/>
      <c r="BT586" s="28"/>
      <c r="BU586" s="28">
        <f t="shared" si="198"/>
        <v>17100</v>
      </c>
      <c r="BV586" s="28">
        <f t="shared" si="199"/>
        <v>17100</v>
      </c>
      <c r="BW586" s="28">
        <f t="shared" si="200"/>
        <v>17100</v>
      </c>
    </row>
    <row r="587" spans="1:75" ht="17.399999999999999" x14ac:dyDescent="0.25">
      <c r="A587" s="69">
        <f t="shared" si="192"/>
        <v>586</v>
      </c>
      <c r="B587" s="73" t="s">
        <v>1947</v>
      </c>
      <c r="C587" s="71" t="s">
        <v>149</v>
      </c>
      <c r="D587" s="71" t="s">
        <v>1947</v>
      </c>
      <c r="E587" s="71" t="s">
        <v>1948</v>
      </c>
      <c r="F587" s="71" t="s">
        <v>1948</v>
      </c>
      <c r="G587" s="71" t="s">
        <v>1958</v>
      </c>
      <c r="H587" s="71" t="s">
        <v>854</v>
      </c>
      <c r="I587" s="71" t="str">
        <f>VLOOKUP(H587,[1]Sheet1!$C:$C,1,0)</f>
        <v>SC1133UA-CJ-00AK-1133</v>
      </c>
      <c r="J587" s="71"/>
      <c r="K587" s="71"/>
      <c r="L587" s="73"/>
      <c r="M587" s="80"/>
      <c r="N587" s="72"/>
      <c r="O587" s="73"/>
      <c r="P587" s="71"/>
      <c r="Q587" s="71"/>
      <c r="R587" s="100">
        <v>0.18</v>
      </c>
      <c r="S587" s="75"/>
      <c r="T587" s="91"/>
      <c r="U587" s="76">
        <f t="shared" si="196"/>
        <v>18000</v>
      </c>
      <c r="V587" s="80"/>
      <c r="W587" s="80"/>
      <c r="X587" s="80"/>
      <c r="Y587" s="72"/>
      <c r="Z587" s="72"/>
      <c r="AA587" s="72"/>
      <c r="AB587" s="72"/>
      <c r="AC587" s="72"/>
      <c r="AD587" s="77"/>
      <c r="AE587" s="75">
        <v>6000</v>
      </c>
      <c r="AF587" s="75">
        <v>6000</v>
      </c>
      <c r="AG587" s="75">
        <v>6000</v>
      </c>
      <c r="AH587" s="75">
        <v>6000</v>
      </c>
      <c r="AI587" s="75">
        <v>6000</v>
      </c>
      <c r="AJ587" s="75">
        <v>6000</v>
      </c>
      <c r="AK587" s="33"/>
      <c r="AL587" s="33"/>
      <c r="AM587" s="33"/>
      <c r="AN587" s="33"/>
      <c r="AO587" s="33"/>
      <c r="AP587" s="33"/>
      <c r="AQ587" s="33"/>
      <c r="AR587" s="33"/>
      <c r="AS587" s="33"/>
      <c r="AT587" s="33"/>
      <c r="AU587" s="33"/>
      <c r="AV587" s="33"/>
      <c r="AW587" s="19"/>
      <c r="AX587" s="19"/>
      <c r="AY587" s="19" t="s">
        <v>261</v>
      </c>
      <c r="AZ587" s="19"/>
      <c r="BA587" s="19"/>
      <c r="BB587" s="19"/>
      <c r="BC587" s="19"/>
      <c r="BD587" s="19"/>
      <c r="BE587" s="19"/>
      <c r="BF587" s="19"/>
      <c r="BG587" s="24"/>
      <c r="BH587" s="19"/>
      <c r="BI587" s="25"/>
      <c r="BJ587" s="25"/>
      <c r="BK587" s="25"/>
      <c r="BL587" s="25"/>
      <c r="BM587" s="25"/>
      <c r="BN587" s="37"/>
      <c r="BO587" s="21"/>
      <c r="BP587" s="27"/>
      <c r="BQ587" s="27"/>
      <c r="BR587" s="27"/>
      <c r="BS587" s="27"/>
      <c r="BT587" s="28"/>
      <c r="BU587" s="28">
        <f t="shared" si="198"/>
        <v>1080</v>
      </c>
      <c r="BV587" s="28">
        <f t="shared" si="199"/>
        <v>1080</v>
      </c>
      <c r="BW587" s="28">
        <f t="shared" si="200"/>
        <v>1080</v>
      </c>
    </row>
    <row r="588" spans="1:75" ht="17.399999999999999" x14ac:dyDescent="0.25">
      <c r="A588" s="69">
        <f t="shared" si="192"/>
        <v>587</v>
      </c>
      <c r="B588" s="73" t="s">
        <v>1947</v>
      </c>
      <c r="C588" s="71" t="s">
        <v>149</v>
      </c>
      <c r="D588" s="71" t="s">
        <v>1947</v>
      </c>
      <c r="E588" s="71" t="s">
        <v>1948</v>
      </c>
      <c r="F588" s="71" t="s">
        <v>1948</v>
      </c>
      <c r="G588" s="71" t="s">
        <v>838</v>
      </c>
      <c r="H588" s="71" t="s">
        <v>839</v>
      </c>
      <c r="I588" s="71" t="str">
        <f>VLOOKUP(H588,[1]Sheet1!$C:$C,1,0)</f>
        <v>SC1134BU-CI-00CR-1134</v>
      </c>
      <c r="J588" s="71"/>
      <c r="K588" s="71"/>
      <c r="L588" s="73"/>
      <c r="M588" s="80"/>
      <c r="N588" s="72"/>
      <c r="O588" s="73"/>
      <c r="P588" s="71"/>
      <c r="Q588" s="71"/>
      <c r="R588" s="100">
        <v>0.15</v>
      </c>
      <c r="S588" s="75"/>
      <c r="T588" s="91"/>
      <c r="U588" s="76">
        <f t="shared" si="196"/>
        <v>36000</v>
      </c>
      <c r="V588" s="80"/>
      <c r="W588" s="80"/>
      <c r="X588" s="80"/>
      <c r="Y588" s="72"/>
      <c r="Z588" s="72"/>
      <c r="AA588" s="72"/>
      <c r="AB588" s="72"/>
      <c r="AC588" s="72"/>
      <c r="AD588" s="77"/>
      <c r="AE588" s="75">
        <v>12000</v>
      </c>
      <c r="AF588" s="75">
        <v>12000</v>
      </c>
      <c r="AG588" s="75">
        <v>12000</v>
      </c>
      <c r="AH588" s="75">
        <v>12000</v>
      </c>
      <c r="AI588" s="75">
        <v>12000</v>
      </c>
      <c r="AJ588" s="75">
        <v>12000</v>
      </c>
      <c r="AK588" s="33"/>
      <c r="AL588" s="33"/>
      <c r="AM588" s="33"/>
      <c r="AN588" s="33"/>
      <c r="AO588" s="33"/>
      <c r="AP588" s="33"/>
      <c r="AQ588" s="33"/>
      <c r="AR588" s="33"/>
      <c r="AS588" s="33"/>
      <c r="AT588" s="33"/>
      <c r="AU588" s="33"/>
      <c r="AV588" s="33"/>
      <c r="AW588" s="19"/>
      <c r="AX588" s="19"/>
      <c r="AY588" s="19" t="s">
        <v>261</v>
      </c>
      <c r="AZ588" s="19"/>
      <c r="BA588" s="19"/>
      <c r="BB588" s="19"/>
      <c r="BC588" s="19"/>
      <c r="BD588" s="19"/>
      <c r="BE588" s="19"/>
      <c r="BF588" s="19"/>
      <c r="BG588" s="24"/>
      <c r="BH588" s="19"/>
      <c r="BI588" s="25"/>
      <c r="BJ588" s="25"/>
      <c r="BK588" s="25"/>
      <c r="BL588" s="25"/>
      <c r="BM588" s="25"/>
      <c r="BN588" s="37"/>
      <c r="BO588" s="21"/>
      <c r="BP588" s="27"/>
      <c r="BQ588" s="27"/>
      <c r="BR588" s="27"/>
      <c r="BS588" s="27"/>
      <c r="BT588" s="28"/>
      <c r="BU588" s="28">
        <f t="shared" si="198"/>
        <v>1800</v>
      </c>
      <c r="BV588" s="28">
        <f t="shared" si="199"/>
        <v>1800</v>
      </c>
      <c r="BW588" s="28">
        <f t="shared" si="200"/>
        <v>1800</v>
      </c>
    </row>
    <row r="589" spans="1:75" ht="17.399999999999999" x14ac:dyDescent="0.25">
      <c r="A589" s="69">
        <f t="shared" si="192"/>
        <v>588</v>
      </c>
      <c r="B589" s="73" t="s">
        <v>1947</v>
      </c>
      <c r="C589" s="71" t="s">
        <v>149</v>
      </c>
      <c r="D589" s="71" t="s">
        <v>1947</v>
      </c>
      <c r="E589" s="71" t="s">
        <v>1948</v>
      </c>
      <c r="F589" s="71" t="s">
        <v>1948</v>
      </c>
      <c r="G589" s="71" t="s">
        <v>1959</v>
      </c>
      <c r="H589" s="71" t="s">
        <v>306</v>
      </c>
      <c r="I589" s="71" t="str">
        <f>VLOOKUP(H589,[1]Sheet1!$C:$C,1,0)</f>
        <v>SC1134SO-N-CF-00LR-1134</v>
      </c>
      <c r="J589" s="71"/>
      <c r="K589" s="71"/>
      <c r="L589" s="73"/>
      <c r="M589" s="80"/>
      <c r="N589" s="72"/>
      <c r="O589" s="73"/>
      <c r="P589" s="71"/>
      <c r="Q589" s="71"/>
      <c r="R589" s="100">
        <v>0.11</v>
      </c>
      <c r="S589" s="75"/>
      <c r="T589" s="91"/>
      <c r="U589" s="76">
        <f t="shared" si="196"/>
        <v>270000</v>
      </c>
      <c r="V589" s="80"/>
      <c r="W589" s="80"/>
      <c r="X589" s="80"/>
      <c r="Y589" s="72"/>
      <c r="Z589" s="72"/>
      <c r="AA589" s="72"/>
      <c r="AB589" s="72"/>
      <c r="AC589" s="72"/>
      <c r="AD589" s="77"/>
      <c r="AE589" s="75">
        <v>90000</v>
      </c>
      <c r="AF589" s="75">
        <v>90000</v>
      </c>
      <c r="AG589" s="75">
        <v>90000</v>
      </c>
      <c r="AH589" s="75">
        <v>90000</v>
      </c>
      <c r="AI589" s="75">
        <v>90000</v>
      </c>
      <c r="AJ589" s="75">
        <v>90000</v>
      </c>
      <c r="AK589" s="33"/>
      <c r="AL589" s="33"/>
      <c r="AM589" s="33"/>
      <c r="AN589" s="33"/>
      <c r="AO589" s="33"/>
      <c r="AP589" s="33"/>
      <c r="AQ589" s="33"/>
      <c r="AR589" s="33"/>
      <c r="AS589" s="33"/>
      <c r="AT589" s="33"/>
      <c r="AU589" s="33"/>
      <c r="AV589" s="33"/>
      <c r="AW589" s="19"/>
      <c r="AX589" s="19"/>
      <c r="AY589" s="19" t="s">
        <v>261</v>
      </c>
      <c r="AZ589" s="19"/>
      <c r="BA589" s="19"/>
      <c r="BB589" s="19"/>
      <c r="BC589" s="19"/>
      <c r="BD589" s="19"/>
      <c r="BE589" s="19"/>
      <c r="BF589" s="19"/>
      <c r="BG589" s="24"/>
      <c r="BH589" s="19"/>
      <c r="BI589" s="25"/>
      <c r="BJ589" s="25"/>
      <c r="BK589" s="25"/>
      <c r="BL589" s="25"/>
      <c r="BM589" s="25"/>
      <c r="BN589" s="37"/>
      <c r="BO589" s="21"/>
      <c r="BP589" s="27"/>
      <c r="BQ589" s="27"/>
      <c r="BR589" s="27"/>
      <c r="BS589" s="27"/>
      <c r="BT589" s="28"/>
      <c r="BU589" s="28">
        <f t="shared" si="198"/>
        <v>9900</v>
      </c>
      <c r="BV589" s="28">
        <f t="shared" si="199"/>
        <v>9900</v>
      </c>
      <c r="BW589" s="28">
        <f t="shared" si="200"/>
        <v>9900</v>
      </c>
    </row>
    <row r="590" spans="1:75" ht="17.399999999999999" x14ac:dyDescent="0.25">
      <c r="A590" s="69">
        <f t="shared" si="192"/>
        <v>589</v>
      </c>
      <c r="B590" s="73" t="s">
        <v>1947</v>
      </c>
      <c r="C590" s="71" t="s">
        <v>149</v>
      </c>
      <c r="D590" s="71" t="s">
        <v>1947</v>
      </c>
      <c r="E590" s="71" t="s">
        <v>1948</v>
      </c>
      <c r="F590" s="71" t="s">
        <v>1948</v>
      </c>
      <c r="G590" s="71" t="s">
        <v>1960</v>
      </c>
      <c r="H590" s="71" t="s">
        <v>626</v>
      </c>
      <c r="I590" s="71" t="str">
        <f>VLOOKUP(H590,[1]Sheet1!$C:$C,1,0)</f>
        <v>SC2402SO-N-GA-00NR-2402</v>
      </c>
      <c r="J590" s="71"/>
      <c r="K590" s="71"/>
      <c r="L590" s="73"/>
      <c r="M590" s="80"/>
      <c r="N590" s="72"/>
      <c r="O590" s="73"/>
      <c r="P590" s="71"/>
      <c r="Q590" s="71"/>
      <c r="R590" s="100">
        <v>0.1</v>
      </c>
      <c r="S590" s="75"/>
      <c r="T590" s="91"/>
      <c r="U590" s="76">
        <f t="shared" si="196"/>
        <v>7500000</v>
      </c>
      <c r="V590" s="80"/>
      <c r="W590" s="80"/>
      <c r="X590" s="80"/>
      <c r="Y590" s="72"/>
      <c r="Z590" s="72"/>
      <c r="AA590" s="72"/>
      <c r="AB590" s="72"/>
      <c r="AC590" s="72"/>
      <c r="AD590" s="77"/>
      <c r="AE590" s="75">
        <v>2500000</v>
      </c>
      <c r="AF590" s="75">
        <v>2500000</v>
      </c>
      <c r="AG590" s="75">
        <v>2500000</v>
      </c>
      <c r="AH590" s="75">
        <v>2500000</v>
      </c>
      <c r="AI590" s="75">
        <v>2500000</v>
      </c>
      <c r="AJ590" s="75">
        <v>2500000</v>
      </c>
      <c r="AK590" s="33"/>
      <c r="AL590" s="33"/>
      <c r="AM590" s="33"/>
      <c r="AN590" s="33"/>
      <c r="AO590" s="33"/>
      <c r="AP590" s="33"/>
      <c r="AQ590" s="33"/>
      <c r="AR590" s="33"/>
      <c r="AS590" s="33"/>
      <c r="AT590" s="33"/>
      <c r="AU590" s="33"/>
      <c r="AV590" s="33"/>
      <c r="AW590" s="19"/>
      <c r="AX590" s="19"/>
      <c r="AY590" s="19" t="s">
        <v>261</v>
      </c>
      <c r="AZ590" s="19"/>
      <c r="BA590" s="19"/>
      <c r="BB590" s="19"/>
      <c r="BC590" s="19"/>
      <c r="BD590" s="19"/>
      <c r="BE590" s="19"/>
      <c r="BF590" s="19"/>
      <c r="BG590" s="24"/>
      <c r="BH590" s="19"/>
      <c r="BI590" s="25"/>
      <c r="BJ590" s="25"/>
      <c r="BK590" s="25"/>
      <c r="BL590" s="25"/>
      <c r="BM590" s="25"/>
      <c r="BN590" s="37"/>
      <c r="BO590" s="21"/>
      <c r="BP590" s="27"/>
      <c r="BQ590" s="27"/>
      <c r="BR590" s="27"/>
      <c r="BS590" s="27"/>
      <c r="BT590" s="28"/>
      <c r="BU590" s="28">
        <f t="shared" si="198"/>
        <v>250000</v>
      </c>
      <c r="BV590" s="28">
        <f t="shared" si="199"/>
        <v>250000</v>
      </c>
      <c r="BW590" s="28">
        <f t="shared" si="200"/>
        <v>250000</v>
      </c>
    </row>
    <row r="591" spans="1:75" ht="17.399999999999999" x14ac:dyDescent="0.25">
      <c r="A591" s="69">
        <f t="shared" si="192"/>
        <v>590</v>
      </c>
      <c r="B591" s="71" t="s">
        <v>684</v>
      </c>
      <c r="C591" s="71" t="s">
        <v>243</v>
      </c>
      <c r="D591" s="71"/>
      <c r="E591" s="71" t="s">
        <v>685</v>
      </c>
      <c r="F591" s="71"/>
      <c r="G591" s="71" t="s">
        <v>686</v>
      </c>
      <c r="H591" s="71" t="s">
        <v>687</v>
      </c>
      <c r="I591" s="71" t="str">
        <f>VLOOKUP(H591,[1]Sheet1!$C:$C,1,0)</f>
        <v>VE8602AKR-8602</v>
      </c>
      <c r="J591" s="87"/>
      <c r="K591" s="87"/>
      <c r="L591" s="71" t="s">
        <v>688</v>
      </c>
      <c r="M591" s="72"/>
      <c r="N591" s="71" t="s">
        <v>367</v>
      </c>
      <c r="O591" s="71"/>
      <c r="P591" s="71"/>
      <c r="Q591" s="70"/>
      <c r="R591" s="100">
        <v>3</v>
      </c>
      <c r="S591" s="75">
        <f>R591*U591</f>
        <v>180000</v>
      </c>
      <c r="T591" s="76">
        <v>528000</v>
      </c>
      <c r="U591" s="76">
        <f t="shared" si="196"/>
        <v>60000</v>
      </c>
      <c r="V591" s="72"/>
      <c r="W591" s="72"/>
      <c r="X591" s="72"/>
      <c r="Y591" s="72">
        <v>0</v>
      </c>
      <c r="Z591" s="72">
        <v>0</v>
      </c>
      <c r="AA591" s="72">
        <v>2000</v>
      </c>
      <c r="AB591" s="72">
        <v>4000</v>
      </c>
      <c r="AC591" s="72">
        <v>4000</v>
      </c>
      <c r="AD591" s="77">
        <v>10000</v>
      </c>
      <c r="AE591" s="75">
        <v>20000</v>
      </c>
      <c r="AF591" s="75">
        <v>20000</v>
      </c>
      <c r="AG591" s="75">
        <v>20000</v>
      </c>
      <c r="AH591" s="75">
        <v>20000</v>
      </c>
      <c r="AI591" s="75"/>
      <c r="AJ591" s="75">
        <v>0</v>
      </c>
      <c r="AK591" s="44"/>
      <c r="AL591" s="45"/>
      <c r="AM591" s="45"/>
      <c r="AN591" s="45"/>
      <c r="AO591" s="45"/>
      <c r="AP591" s="45"/>
      <c r="AQ591" s="45"/>
      <c r="AR591" s="45"/>
      <c r="AS591" s="45"/>
      <c r="AT591" s="45"/>
      <c r="AU591" s="45"/>
      <c r="AV591" s="45"/>
      <c r="AW591" s="16"/>
      <c r="AX591" s="16" t="s">
        <v>689</v>
      </c>
      <c r="AY591" s="19" t="s">
        <v>690</v>
      </c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>
        <f>$R591*Z591</f>
        <v>0</v>
      </c>
      <c r="BQ591" s="16">
        <f>$R591*AA591</f>
        <v>6000</v>
      </c>
      <c r="BR591" s="16">
        <f>$R591*AB591</f>
        <v>12000</v>
      </c>
      <c r="BS591" s="16">
        <f>$R591*AC591</f>
        <v>12000</v>
      </c>
      <c r="BT591" s="17">
        <f>$R591*AD591</f>
        <v>30000</v>
      </c>
      <c r="BU591" s="28">
        <f t="shared" si="198"/>
        <v>60000</v>
      </c>
      <c r="BV591" s="28">
        <f t="shared" si="199"/>
        <v>60000</v>
      </c>
      <c r="BW591" s="28">
        <f t="shared" si="200"/>
        <v>60000</v>
      </c>
    </row>
    <row r="592" spans="1:75" ht="17.399999999999999" x14ac:dyDescent="0.25">
      <c r="A592" s="69">
        <f t="shared" si="192"/>
        <v>591</v>
      </c>
      <c r="B592" s="73" t="s">
        <v>1947</v>
      </c>
      <c r="C592" s="71" t="s">
        <v>149</v>
      </c>
      <c r="D592" s="71" t="s">
        <v>1947</v>
      </c>
      <c r="E592" s="71" t="s">
        <v>1948</v>
      </c>
      <c r="F592" s="71" t="s">
        <v>1948</v>
      </c>
      <c r="G592" s="71" t="s">
        <v>1962</v>
      </c>
      <c r="H592" s="71" t="s">
        <v>304</v>
      </c>
      <c r="I592" s="71" t="str">
        <f>VLOOKUP(H592,[1]Sheet1!$C:$C,1,0)</f>
        <v>SC2432SO-N-CI-10CR-2432</v>
      </c>
      <c r="J592" s="71"/>
      <c r="K592" s="71"/>
      <c r="L592" s="73"/>
      <c r="M592" s="80"/>
      <c r="N592" s="72"/>
      <c r="O592" s="73"/>
      <c r="P592" s="71"/>
      <c r="Q592" s="71"/>
      <c r="R592" s="100">
        <v>0.21</v>
      </c>
      <c r="S592" s="75"/>
      <c r="T592" s="91"/>
      <c r="U592" s="76">
        <f t="shared" si="196"/>
        <v>360000</v>
      </c>
      <c r="V592" s="80"/>
      <c r="W592" s="80"/>
      <c r="X592" s="80"/>
      <c r="Y592" s="72"/>
      <c r="Z592" s="72"/>
      <c r="AA592" s="72"/>
      <c r="AB592" s="72"/>
      <c r="AC592" s="72"/>
      <c r="AD592" s="77"/>
      <c r="AE592" s="75">
        <v>120000</v>
      </c>
      <c r="AF592" s="75">
        <v>120000</v>
      </c>
      <c r="AG592" s="75">
        <v>120000</v>
      </c>
      <c r="AH592" s="75">
        <v>120000</v>
      </c>
      <c r="AI592" s="75">
        <v>120000</v>
      </c>
      <c r="AJ592" s="75">
        <v>120000</v>
      </c>
      <c r="AK592" s="33"/>
      <c r="AL592" s="33"/>
      <c r="AM592" s="33"/>
      <c r="AN592" s="33"/>
      <c r="AO592" s="33"/>
      <c r="AP592" s="33"/>
      <c r="AQ592" s="33"/>
      <c r="AR592" s="33"/>
      <c r="AS592" s="33"/>
      <c r="AT592" s="33"/>
      <c r="AU592" s="33"/>
      <c r="AV592" s="33"/>
      <c r="AW592" s="19"/>
      <c r="AX592" s="19"/>
      <c r="AY592" s="19" t="s">
        <v>261</v>
      </c>
      <c r="AZ592" s="19"/>
      <c r="BA592" s="19"/>
      <c r="BB592" s="19"/>
      <c r="BC592" s="19"/>
      <c r="BD592" s="19"/>
      <c r="BE592" s="19"/>
      <c r="BF592" s="19"/>
      <c r="BG592" s="24"/>
      <c r="BH592" s="19"/>
      <c r="BI592" s="25"/>
      <c r="BJ592" s="25"/>
      <c r="BK592" s="25"/>
      <c r="BL592" s="25"/>
      <c r="BM592" s="25"/>
      <c r="BN592" s="37"/>
      <c r="BO592" s="21"/>
      <c r="BP592" s="27"/>
      <c r="BQ592" s="27"/>
      <c r="BR592" s="27"/>
      <c r="BS592" s="27"/>
      <c r="BT592" s="28"/>
      <c r="BU592" s="28">
        <f t="shared" si="198"/>
        <v>25200</v>
      </c>
      <c r="BV592" s="28">
        <f t="shared" si="199"/>
        <v>25200</v>
      </c>
      <c r="BW592" s="28">
        <f t="shared" si="200"/>
        <v>25200</v>
      </c>
    </row>
    <row r="593" spans="1:75" ht="17.399999999999999" x14ac:dyDescent="0.25">
      <c r="A593" s="69">
        <f t="shared" si="192"/>
        <v>592</v>
      </c>
      <c r="B593" s="73" t="s">
        <v>1947</v>
      </c>
      <c r="C593" s="71" t="s">
        <v>149</v>
      </c>
      <c r="D593" s="71" t="s">
        <v>1947</v>
      </c>
      <c r="E593" s="71" t="s">
        <v>1948</v>
      </c>
      <c r="F593" s="71" t="s">
        <v>1948</v>
      </c>
      <c r="G593" s="71" t="s">
        <v>339</v>
      </c>
      <c r="H593" s="71" t="s">
        <v>1659</v>
      </c>
      <c r="I593" s="71" t="str">
        <f>VLOOKUP(H593,[1]Sheet1!$C:$C,1,0)</f>
        <v>SC1245SO-N-CD-00NR-1245</v>
      </c>
      <c r="J593" s="71"/>
      <c r="K593" s="71"/>
      <c r="L593" s="73"/>
      <c r="M593" s="80"/>
      <c r="N593" s="72"/>
      <c r="O593" s="73"/>
      <c r="P593" s="71"/>
      <c r="Q593" s="71"/>
      <c r="R593" s="100">
        <v>0.15</v>
      </c>
      <c r="S593" s="75"/>
      <c r="T593" s="91"/>
      <c r="U593" s="76">
        <f t="shared" si="196"/>
        <v>36000</v>
      </c>
      <c r="V593" s="80"/>
      <c r="W593" s="80"/>
      <c r="X593" s="80"/>
      <c r="Y593" s="72"/>
      <c r="Z593" s="72"/>
      <c r="AA593" s="72"/>
      <c r="AB593" s="72"/>
      <c r="AC593" s="72"/>
      <c r="AD593" s="77"/>
      <c r="AE593" s="75">
        <v>12000</v>
      </c>
      <c r="AF593" s="75">
        <v>12000</v>
      </c>
      <c r="AG593" s="75">
        <v>12000</v>
      </c>
      <c r="AH593" s="75">
        <v>12000</v>
      </c>
      <c r="AI593" s="75">
        <v>12000</v>
      </c>
      <c r="AJ593" s="75">
        <v>12000</v>
      </c>
      <c r="AK593" s="33"/>
      <c r="AL593" s="33"/>
      <c r="AM593" s="33"/>
      <c r="AN593" s="33"/>
      <c r="AO593" s="33"/>
      <c r="AP593" s="33"/>
      <c r="AQ593" s="33"/>
      <c r="AR593" s="33"/>
      <c r="AS593" s="33"/>
      <c r="AT593" s="33"/>
      <c r="AU593" s="33"/>
      <c r="AV593" s="33"/>
      <c r="AW593" s="19"/>
      <c r="AX593" s="19"/>
      <c r="AY593" s="19" t="s">
        <v>261</v>
      </c>
      <c r="AZ593" s="19"/>
      <c r="BA593" s="19"/>
      <c r="BB593" s="19"/>
      <c r="BC593" s="19"/>
      <c r="BD593" s="19"/>
      <c r="BE593" s="19"/>
      <c r="BF593" s="19"/>
      <c r="BG593" s="24"/>
      <c r="BH593" s="19"/>
      <c r="BI593" s="25"/>
      <c r="BJ593" s="25"/>
      <c r="BK593" s="25"/>
      <c r="BL593" s="25"/>
      <c r="BM593" s="25"/>
      <c r="BN593" s="37"/>
      <c r="BO593" s="21"/>
      <c r="BP593" s="27"/>
      <c r="BQ593" s="27"/>
      <c r="BR593" s="27"/>
      <c r="BS593" s="27"/>
      <c r="BT593" s="28"/>
      <c r="BU593" s="28">
        <f t="shared" si="198"/>
        <v>1800</v>
      </c>
      <c r="BV593" s="28">
        <f t="shared" si="199"/>
        <v>1800</v>
      </c>
      <c r="BW593" s="28">
        <f t="shared" si="200"/>
        <v>1800</v>
      </c>
    </row>
    <row r="594" spans="1:75" ht="17.399999999999999" x14ac:dyDescent="0.25">
      <c r="A594" s="69">
        <f t="shared" si="192"/>
        <v>593</v>
      </c>
      <c r="B594" s="73" t="s">
        <v>1947</v>
      </c>
      <c r="C594" s="71" t="s">
        <v>149</v>
      </c>
      <c r="D594" s="71" t="s">
        <v>1947</v>
      </c>
      <c r="E594" s="71" t="s">
        <v>1948</v>
      </c>
      <c r="F594" s="71" t="s">
        <v>1948</v>
      </c>
      <c r="G594" s="71" t="s">
        <v>1006</v>
      </c>
      <c r="H594" s="71" t="s">
        <v>1803</v>
      </c>
      <c r="I594" s="71" t="str">
        <f>VLOOKUP(H594,[1]Sheet1!$C:$C,1,0)</f>
        <v>SC1245A3-CD-00CK-41F</v>
      </c>
      <c r="J594" s="71"/>
      <c r="K594" s="71"/>
      <c r="L594" s="73"/>
      <c r="M594" s="80"/>
      <c r="N594" s="72"/>
      <c r="O594" s="73"/>
      <c r="P594" s="71"/>
      <c r="Q594" s="71"/>
      <c r="R594" s="100">
        <v>0.17</v>
      </c>
      <c r="S594" s="75"/>
      <c r="T594" s="91"/>
      <c r="U594" s="76">
        <f t="shared" si="196"/>
        <v>27000</v>
      </c>
      <c r="V594" s="80"/>
      <c r="W594" s="80"/>
      <c r="X594" s="80"/>
      <c r="Y594" s="72"/>
      <c r="Z594" s="72"/>
      <c r="AA594" s="72"/>
      <c r="AB594" s="72"/>
      <c r="AC594" s="72"/>
      <c r="AD594" s="77"/>
      <c r="AE594" s="75">
        <v>9000</v>
      </c>
      <c r="AF594" s="75">
        <v>9000</v>
      </c>
      <c r="AG594" s="75">
        <v>9000</v>
      </c>
      <c r="AH594" s="75">
        <v>9000</v>
      </c>
      <c r="AI594" s="75">
        <v>9000</v>
      </c>
      <c r="AJ594" s="75">
        <v>9000</v>
      </c>
      <c r="AK594" s="33"/>
      <c r="AL594" s="33"/>
      <c r="AM594" s="33"/>
      <c r="AN594" s="33"/>
      <c r="AO594" s="33"/>
      <c r="AP594" s="33"/>
      <c r="AQ594" s="33"/>
      <c r="AR594" s="33"/>
      <c r="AS594" s="33"/>
      <c r="AT594" s="33"/>
      <c r="AU594" s="33"/>
      <c r="AV594" s="33"/>
      <c r="AW594" s="19"/>
      <c r="AX594" s="19"/>
      <c r="AY594" s="19" t="s">
        <v>261</v>
      </c>
      <c r="AZ594" s="19"/>
      <c r="BA594" s="19"/>
      <c r="BB594" s="19"/>
      <c r="BC594" s="19"/>
      <c r="BD594" s="19"/>
      <c r="BE594" s="19"/>
      <c r="BF594" s="19"/>
      <c r="BG594" s="24"/>
      <c r="BH594" s="19"/>
      <c r="BI594" s="25"/>
      <c r="BJ594" s="25"/>
      <c r="BK594" s="25"/>
      <c r="BL594" s="25"/>
      <c r="BM594" s="25"/>
      <c r="BN594" s="37"/>
      <c r="BO594" s="21"/>
      <c r="BP594" s="27"/>
      <c r="BQ594" s="27"/>
      <c r="BR594" s="27"/>
      <c r="BS594" s="27"/>
      <c r="BT594" s="28"/>
      <c r="BU594" s="28">
        <f t="shared" si="198"/>
        <v>1530</v>
      </c>
      <c r="BV594" s="28">
        <f t="shared" si="199"/>
        <v>1530</v>
      </c>
      <c r="BW594" s="28">
        <f t="shared" si="200"/>
        <v>1530</v>
      </c>
    </row>
    <row r="595" spans="1:75" ht="17.399999999999999" x14ac:dyDescent="0.25">
      <c r="A595" s="69">
        <f t="shared" si="192"/>
        <v>594</v>
      </c>
      <c r="B595" s="73" t="s">
        <v>1947</v>
      </c>
      <c r="C595" s="71" t="s">
        <v>149</v>
      </c>
      <c r="D595" s="71" t="s">
        <v>1947</v>
      </c>
      <c r="E595" s="71" t="s">
        <v>1948</v>
      </c>
      <c r="F595" s="71" t="s">
        <v>1948</v>
      </c>
      <c r="G595" s="71" t="s">
        <v>1963</v>
      </c>
      <c r="H595" s="71" t="s">
        <v>1964</v>
      </c>
      <c r="I595" s="71" t="str">
        <f>VLOOKUP(H595,[1]Sheet1!$C:$C,1,0)</f>
        <v>SC2033SO-N-GD-00NR-2033</v>
      </c>
      <c r="J595" s="71"/>
      <c r="K595" s="71"/>
      <c r="L595" s="73"/>
      <c r="M595" s="80"/>
      <c r="N595" s="72"/>
      <c r="O595" s="73"/>
      <c r="P595" s="71"/>
      <c r="Q595" s="71"/>
      <c r="R595" s="100">
        <v>0.1</v>
      </c>
      <c r="S595" s="75"/>
      <c r="T595" s="91"/>
      <c r="U595" s="76">
        <f t="shared" si="196"/>
        <v>54000</v>
      </c>
      <c r="V595" s="80"/>
      <c r="W595" s="80"/>
      <c r="X595" s="80"/>
      <c r="Y595" s="72"/>
      <c r="Z595" s="72"/>
      <c r="AA595" s="72"/>
      <c r="AB595" s="72"/>
      <c r="AC595" s="72"/>
      <c r="AD595" s="77"/>
      <c r="AE595" s="75">
        <v>18000</v>
      </c>
      <c r="AF595" s="75">
        <v>18000</v>
      </c>
      <c r="AG595" s="75">
        <v>18000</v>
      </c>
      <c r="AH595" s="75">
        <v>18000</v>
      </c>
      <c r="AI595" s="75">
        <v>18000</v>
      </c>
      <c r="AJ595" s="75">
        <v>18000</v>
      </c>
      <c r="AK595" s="33"/>
      <c r="AL595" s="33"/>
      <c r="AM595" s="33"/>
      <c r="AN595" s="33"/>
      <c r="AO595" s="33"/>
      <c r="AP595" s="33"/>
      <c r="AQ595" s="33"/>
      <c r="AR595" s="33"/>
      <c r="AS595" s="33"/>
      <c r="AT595" s="33"/>
      <c r="AU595" s="33"/>
      <c r="AV595" s="33"/>
      <c r="AW595" s="19"/>
      <c r="AX595" s="19"/>
      <c r="AY595" s="19" t="s">
        <v>261</v>
      </c>
      <c r="AZ595" s="19"/>
      <c r="BA595" s="19"/>
      <c r="BB595" s="19"/>
      <c r="BC595" s="19"/>
      <c r="BD595" s="19"/>
      <c r="BE595" s="19"/>
      <c r="BF595" s="19"/>
      <c r="BG595" s="24"/>
      <c r="BH595" s="19"/>
      <c r="BI595" s="25"/>
      <c r="BJ595" s="25"/>
      <c r="BK595" s="25"/>
      <c r="BL595" s="25"/>
      <c r="BM595" s="25"/>
      <c r="BN595" s="37"/>
      <c r="BO595" s="21"/>
      <c r="BP595" s="27"/>
      <c r="BQ595" s="27"/>
      <c r="BR595" s="27"/>
      <c r="BS595" s="27"/>
      <c r="BT595" s="28"/>
      <c r="BU595" s="28">
        <f t="shared" si="198"/>
        <v>1800</v>
      </c>
      <c r="BV595" s="28">
        <f t="shared" si="199"/>
        <v>1800</v>
      </c>
      <c r="BW595" s="28">
        <f t="shared" si="200"/>
        <v>1800</v>
      </c>
    </row>
    <row r="596" spans="1:75" ht="17.399999999999999" x14ac:dyDescent="0.25">
      <c r="A596" s="69">
        <f t="shared" si="192"/>
        <v>595</v>
      </c>
      <c r="B596" s="73" t="s">
        <v>1947</v>
      </c>
      <c r="C596" s="71" t="s">
        <v>149</v>
      </c>
      <c r="D596" s="71" t="s">
        <v>1947</v>
      </c>
      <c r="E596" s="71" t="s">
        <v>1948</v>
      </c>
      <c r="F596" s="71" t="s">
        <v>1948</v>
      </c>
      <c r="G596" s="71" t="s">
        <v>1965</v>
      </c>
      <c r="H596" s="71" t="s">
        <v>287</v>
      </c>
      <c r="I596" s="71" t="str">
        <f>VLOOKUP(H596,[1]Sheet1!$C:$C,1,0)</f>
        <v>SC2063SO-GC-00NR-2063</v>
      </c>
      <c r="J596" s="71"/>
      <c r="K596" s="71"/>
      <c r="L596" s="73"/>
      <c r="M596" s="80"/>
      <c r="N596" s="72"/>
      <c r="O596" s="73"/>
      <c r="P596" s="71"/>
      <c r="Q596" s="71"/>
      <c r="R596" s="100">
        <v>0.06</v>
      </c>
      <c r="S596" s="75"/>
      <c r="T596" s="91"/>
      <c r="U596" s="76">
        <f t="shared" si="196"/>
        <v>360000</v>
      </c>
      <c r="V596" s="80"/>
      <c r="W596" s="80"/>
      <c r="X596" s="80"/>
      <c r="Y596" s="72"/>
      <c r="Z596" s="72"/>
      <c r="AA596" s="72"/>
      <c r="AB596" s="72"/>
      <c r="AC596" s="72"/>
      <c r="AD596" s="77"/>
      <c r="AE596" s="75">
        <v>120000</v>
      </c>
      <c r="AF596" s="75">
        <v>120000</v>
      </c>
      <c r="AG596" s="75">
        <v>120000</v>
      </c>
      <c r="AH596" s="75">
        <v>120000</v>
      </c>
      <c r="AI596" s="75">
        <v>120000</v>
      </c>
      <c r="AJ596" s="75">
        <v>120000</v>
      </c>
      <c r="AK596" s="33"/>
      <c r="AL596" s="33"/>
      <c r="AM596" s="33"/>
      <c r="AN596" s="33"/>
      <c r="AO596" s="33"/>
      <c r="AP596" s="33"/>
      <c r="AQ596" s="33"/>
      <c r="AR596" s="33"/>
      <c r="AS596" s="33"/>
      <c r="AT596" s="33"/>
      <c r="AU596" s="33"/>
      <c r="AV596" s="33"/>
      <c r="AW596" s="19"/>
      <c r="AX596" s="19"/>
      <c r="AY596" s="19" t="s">
        <v>261</v>
      </c>
      <c r="AZ596" s="19"/>
      <c r="BA596" s="19"/>
      <c r="BB596" s="19"/>
      <c r="BC596" s="19"/>
      <c r="BD596" s="19"/>
      <c r="BE596" s="19"/>
      <c r="BF596" s="19"/>
      <c r="BG596" s="24"/>
      <c r="BH596" s="19"/>
      <c r="BI596" s="25"/>
      <c r="BJ596" s="25"/>
      <c r="BK596" s="25"/>
      <c r="BL596" s="25"/>
      <c r="BM596" s="25"/>
      <c r="BN596" s="37"/>
      <c r="BO596" s="21"/>
      <c r="BP596" s="27"/>
      <c r="BQ596" s="27"/>
      <c r="BR596" s="27"/>
      <c r="BS596" s="27"/>
      <c r="BT596" s="28"/>
      <c r="BU596" s="28">
        <f t="shared" si="198"/>
        <v>7200</v>
      </c>
      <c r="BV596" s="28">
        <f t="shared" si="199"/>
        <v>7200</v>
      </c>
      <c r="BW596" s="28">
        <f t="shared" si="200"/>
        <v>7200</v>
      </c>
    </row>
    <row r="597" spans="1:75" ht="17.399999999999999" x14ac:dyDescent="0.25">
      <c r="A597" s="69">
        <f t="shared" si="192"/>
        <v>596</v>
      </c>
      <c r="B597" s="73" t="s">
        <v>1947</v>
      </c>
      <c r="C597" s="71" t="s">
        <v>149</v>
      </c>
      <c r="D597" s="71" t="s">
        <v>1947</v>
      </c>
      <c r="E597" s="71" t="s">
        <v>1948</v>
      </c>
      <c r="F597" s="71" t="s">
        <v>1948</v>
      </c>
      <c r="G597" s="71" t="s">
        <v>1966</v>
      </c>
      <c r="H597" s="71" t="s">
        <v>1204</v>
      </c>
      <c r="I597" s="71" t="str">
        <f>VLOOKUP(H597,[1]Sheet1!$C:$C,1,0)</f>
        <v>SC2063UA-GC-00AK-2063</v>
      </c>
      <c r="J597" s="71"/>
      <c r="K597" s="71"/>
      <c r="L597" s="73"/>
      <c r="M597" s="80"/>
      <c r="N597" s="72"/>
      <c r="O597" s="73"/>
      <c r="P597" s="71"/>
      <c r="Q597" s="71"/>
      <c r="R597" s="100">
        <v>0.13</v>
      </c>
      <c r="S597" s="75"/>
      <c r="T597" s="91"/>
      <c r="U597" s="76">
        <f t="shared" si="196"/>
        <v>360000</v>
      </c>
      <c r="V597" s="80"/>
      <c r="W597" s="80"/>
      <c r="X597" s="80"/>
      <c r="Y597" s="72"/>
      <c r="Z597" s="72"/>
      <c r="AA597" s="72"/>
      <c r="AB597" s="72"/>
      <c r="AC597" s="72"/>
      <c r="AD597" s="77"/>
      <c r="AE597" s="75">
        <v>120000</v>
      </c>
      <c r="AF597" s="75">
        <v>120000</v>
      </c>
      <c r="AG597" s="75">
        <v>120000</v>
      </c>
      <c r="AH597" s="75">
        <v>120000</v>
      </c>
      <c r="AI597" s="75">
        <v>120000</v>
      </c>
      <c r="AJ597" s="75">
        <v>120000</v>
      </c>
      <c r="AK597" s="33"/>
      <c r="AL597" s="33"/>
      <c r="AM597" s="33"/>
      <c r="AN597" s="33"/>
      <c r="AO597" s="33"/>
      <c r="AP597" s="33"/>
      <c r="AQ597" s="33"/>
      <c r="AR597" s="33"/>
      <c r="AS597" s="33"/>
      <c r="AT597" s="33"/>
      <c r="AU597" s="33"/>
      <c r="AV597" s="33"/>
      <c r="AW597" s="19"/>
      <c r="AX597" s="19"/>
      <c r="AY597" s="19" t="s">
        <v>261</v>
      </c>
      <c r="AZ597" s="19"/>
      <c r="BA597" s="19"/>
      <c r="BB597" s="19"/>
      <c r="BC597" s="19"/>
      <c r="BD597" s="19"/>
      <c r="BE597" s="19"/>
      <c r="BF597" s="19"/>
      <c r="BG597" s="24"/>
      <c r="BH597" s="19"/>
      <c r="BI597" s="25"/>
      <c r="BJ597" s="25"/>
      <c r="BK597" s="25"/>
      <c r="BL597" s="25"/>
      <c r="BM597" s="25"/>
      <c r="BN597" s="37"/>
      <c r="BO597" s="21"/>
      <c r="BP597" s="27"/>
      <c r="BQ597" s="27"/>
      <c r="BR597" s="27"/>
      <c r="BS597" s="27"/>
      <c r="BT597" s="28"/>
      <c r="BU597" s="28">
        <f t="shared" si="198"/>
        <v>15600</v>
      </c>
      <c r="BV597" s="28">
        <f t="shared" si="199"/>
        <v>15600</v>
      </c>
      <c r="BW597" s="28">
        <f t="shared" si="200"/>
        <v>15600</v>
      </c>
    </row>
    <row r="598" spans="1:75" ht="17.399999999999999" x14ac:dyDescent="0.25">
      <c r="A598" s="69">
        <f t="shared" si="192"/>
        <v>597</v>
      </c>
      <c r="B598" s="73" t="s">
        <v>1947</v>
      </c>
      <c r="C598" s="71" t="s">
        <v>149</v>
      </c>
      <c r="D598" s="71" t="s">
        <v>1947</v>
      </c>
      <c r="E598" s="71" t="s">
        <v>1948</v>
      </c>
      <c r="F598" s="71" t="s">
        <v>1948</v>
      </c>
      <c r="G598" s="71" t="s">
        <v>1967</v>
      </c>
      <c r="H598" s="71" t="s">
        <v>276</v>
      </c>
      <c r="I598" s="71" t="str">
        <f>VLOOKUP(H598,[1]Sheet1!$C:$C,1,0)</f>
        <v>SC2064SO-GC-00NR-2064</v>
      </c>
      <c r="J598" s="71"/>
      <c r="K598" s="71"/>
      <c r="L598" s="73"/>
      <c r="M598" s="80"/>
      <c r="N598" s="72"/>
      <c r="O598" s="73"/>
      <c r="P598" s="71"/>
      <c r="Q598" s="71"/>
      <c r="R598" s="100">
        <v>0.09</v>
      </c>
      <c r="S598" s="75"/>
      <c r="T598" s="91"/>
      <c r="U598" s="76">
        <f t="shared" si="196"/>
        <v>72000</v>
      </c>
      <c r="V598" s="80"/>
      <c r="W598" s="80"/>
      <c r="X598" s="80"/>
      <c r="Y598" s="72"/>
      <c r="Z598" s="72"/>
      <c r="AA598" s="72"/>
      <c r="AB598" s="72"/>
      <c r="AC598" s="72"/>
      <c r="AD598" s="77"/>
      <c r="AE598" s="75">
        <v>24000</v>
      </c>
      <c r="AF598" s="75">
        <v>24000</v>
      </c>
      <c r="AG598" s="75">
        <v>24000</v>
      </c>
      <c r="AH598" s="75">
        <v>24000</v>
      </c>
      <c r="AI598" s="75">
        <v>24000</v>
      </c>
      <c r="AJ598" s="75">
        <v>24000</v>
      </c>
      <c r="AK598" s="33"/>
      <c r="AL598" s="33"/>
      <c r="AM598" s="33"/>
      <c r="AN598" s="33"/>
      <c r="AO598" s="33"/>
      <c r="AP598" s="33"/>
      <c r="AQ598" s="33"/>
      <c r="AR598" s="33"/>
      <c r="AS598" s="33"/>
      <c r="AT598" s="33"/>
      <c r="AU598" s="33"/>
      <c r="AV598" s="33"/>
      <c r="AW598" s="19"/>
      <c r="AX598" s="19"/>
      <c r="AY598" s="19" t="s">
        <v>261</v>
      </c>
      <c r="AZ598" s="19"/>
      <c r="BA598" s="19"/>
      <c r="BB598" s="19"/>
      <c r="BC598" s="19"/>
      <c r="BD598" s="19"/>
      <c r="BE598" s="19"/>
      <c r="BF598" s="19"/>
      <c r="BG598" s="24"/>
      <c r="BH598" s="19"/>
      <c r="BI598" s="25"/>
      <c r="BJ598" s="25"/>
      <c r="BK598" s="25"/>
      <c r="BL598" s="25"/>
      <c r="BM598" s="25"/>
      <c r="BN598" s="37"/>
      <c r="BO598" s="21"/>
      <c r="BP598" s="27"/>
      <c r="BQ598" s="27"/>
      <c r="BR598" s="27"/>
      <c r="BS598" s="27"/>
      <c r="BT598" s="28"/>
      <c r="BU598" s="28">
        <f t="shared" si="198"/>
        <v>2160</v>
      </c>
      <c r="BV598" s="28">
        <f t="shared" si="199"/>
        <v>2160</v>
      </c>
      <c r="BW598" s="28">
        <f t="shared" si="200"/>
        <v>2160</v>
      </c>
    </row>
    <row r="599" spans="1:75" ht="17.399999999999999" x14ac:dyDescent="0.25">
      <c r="A599" s="69">
        <f t="shared" si="192"/>
        <v>598</v>
      </c>
      <c r="B599" s="73" t="s">
        <v>1947</v>
      </c>
      <c r="C599" s="71" t="s">
        <v>149</v>
      </c>
      <c r="D599" s="71" t="s">
        <v>1947</v>
      </c>
      <c r="E599" s="71" t="s">
        <v>1948</v>
      </c>
      <c r="F599" s="71" t="s">
        <v>1948</v>
      </c>
      <c r="G599" s="71" t="s">
        <v>1968</v>
      </c>
      <c r="H599" s="71" t="s">
        <v>861</v>
      </c>
      <c r="I599" s="71" t="str">
        <f>VLOOKUP(H599,[1]Sheet1!$C:$C,1,0)</f>
        <v>SC2202SO-N-CE-00NR-2202</v>
      </c>
      <c r="J599" s="71"/>
      <c r="K599" s="71"/>
      <c r="L599" s="73"/>
      <c r="M599" s="80"/>
      <c r="N599" s="72"/>
      <c r="O599" s="73"/>
      <c r="P599" s="71"/>
      <c r="Q599" s="71"/>
      <c r="R599" s="100">
        <v>0.16</v>
      </c>
      <c r="S599" s="75"/>
      <c r="T599" s="91"/>
      <c r="U599" s="76">
        <f t="shared" si="196"/>
        <v>270000</v>
      </c>
      <c r="V599" s="80"/>
      <c r="W599" s="80"/>
      <c r="X599" s="80"/>
      <c r="Y599" s="72"/>
      <c r="Z599" s="72"/>
      <c r="AA599" s="72"/>
      <c r="AB599" s="72"/>
      <c r="AC599" s="72"/>
      <c r="AD599" s="77"/>
      <c r="AE599" s="75">
        <v>90000</v>
      </c>
      <c r="AF599" s="75">
        <v>90000</v>
      </c>
      <c r="AG599" s="75">
        <v>90000</v>
      </c>
      <c r="AH599" s="75">
        <v>90000</v>
      </c>
      <c r="AI599" s="75">
        <v>90000</v>
      </c>
      <c r="AJ599" s="75">
        <v>90000</v>
      </c>
      <c r="AK599" s="33"/>
      <c r="AL599" s="33"/>
      <c r="AM599" s="33"/>
      <c r="AN599" s="33"/>
      <c r="AO599" s="33"/>
      <c r="AP599" s="33"/>
      <c r="AQ599" s="33"/>
      <c r="AR599" s="33"/>
      <c r="AS599" s="33"/>
      <c r="AT599" s="33"/>
      <c r="AU599" s="33"/>
      <c r="AV599" s="33"/>
      <c r="AW599" s="19"/>
      <c r="AX599" s="19"/>
      <c r="AY599" s="19" t="s">
        <v>261</v>
      </c>
      <c r="AZ599" s="19"/>
      <c r="BA599" s="19"/>
      <c r="BB599" s="19"/>
      <c r="BC599" s="19"/>
      <c r="BD599" s="19"/>
      <c r="BE599" s="19"/>
      <c r="BF599" s="19"/>
      <c r="BG599" s="24"/>
      <c r="BH599" s="19"/>
      <c r="BI599" s="25"/>
      <c r="BJ599" s="25"/>
      <c r="BK599" s="25"/>
      <c r="BL599" s="25"/>
      <c r="BM599" s="25"/>
      <c r="BN599" s="37"/>
      <c r="BO599" s="21"/>
      <c r="BP599" s="27"/>
      <c r="BQ599" s="27"/>
      <c r="BR599" s="27"/>
      <c r="BS599" s="27"/>
      <c r="BT599" s="28"/>
      <c r="BU599" s="28">
        <f t="shared" si="198"/>
        <v>14400</v>
      </c>
      <c r="BV599" s="28">
        <f t="shared" si="199"/>
        <v>14400</v>
      </c>
      <c r="BW599" s="28">
        <f t="shared" si="200"/>
        <v>14400</v>
      </c>
    </row>
    <row r="600" spans="1:75" ht="17.399999999999999" x14ac:dyDescent="0.25">
      <c r="A600" s="69">
        <f t="shared" si="192"/>
        <v>599</v>
      </c>
      <c r="B600" s="69" t="s">
        <v>1443</v>
      </c>
      <c r="C600" s="71" t="s">
        <v>1444</v>
      </c>
      <c r="D600" s="71" t="s">
        <v>1353</v>
      </c>
      <c r="E600" s="71" t="s">
        <v>1302</v>
      </c>
      <c r="F600" s="73" t="s">
        <v>1354</v>
      </c>
      <c r="G600" s="69" t="s">
        <v>1445</v>
      </c>
      <c r="H600" s="69"/>
      <c r="I600" s="71" t="e">
        <f>VLOOKUP(H600,[1]Sheet1!$C:$C,1,0)</f>
        <v>#N/A</v>
      </c>
      <c r="J600" s="69"/>
      <c r="K600" s="69"/>
      <c r="L600" s="69" t="s">
        <v>1446</v>
      </c>
      <c r="M600" s="69"/>
      <c r="N600" s="72" t="s">
        <v>382</v>
      </c>
      <c r="O600" s="69" t="s">
        <v>1447</v>
      </c>
      <c r="P600" s="69"/>
      <c r="Q600" s="69"/>
      <c r="R600" s="100">
        <v>6</v>
      </c>
      <c r="S600" s="75">
        <f>R600*U600</f>
        <v>0</v>
      </c>
      <c r="T600" s="88">
        <f>R600*SUM(AH600:AN600)</f>
        <v>0</v>
      </c>
      <c r="U600" s="76">
        <f t="shared" si="196"/>
        <v>0</v>
      </c>
      <c r="V600" s="80">
        <v>0</v>
      </c>
      <c r="W600" s="80">
        <v>0</v>
      </c>
      <c r="X600" s="80">
        <v>0</v>
      </c>
      <c r="Y600" s="72">
        <v>0</v>
      </c>
      <c r="Z600" s="80">
        <v>0</v>
      </c>
      <c r="AA600" s="72">
        <v>0</v>
      </c>
      <c r="AB600" s="72">
        <v>0</v>
      </c>
      <c r="AC600" s="72">
        <v>0</v>
      </c>
      <c r="AD600" s="77">
        <v>0</v>
      </c>
      <c r="AE600" s="75">
        <v>0</v>
      </c>
      <c r="AF600" s="75">
        <v>0</v>
      </c>
      <c r="AG600" s="75">
        <v>0</v>
      </c>
      <c r="AH600" s="75">
        <v>0</v>
      </c>
      <c r="AI600" s="75">
        <v>0</v>
      </c>
      <c r="AJ600" s="75">
        <v>0</v>
      </c>
      <c r="AK600" s="31">
        <v>0</v>
      </c>
      <c r="AL600" s="31">
        <v>0</v>
      </c>
      <c r="AM600" s="31">
        <v>0</v>
      </c>
      <c r="AN600" s="31">
        <v>0</v>
      </c>
      <c r="AO600" s="31">
        <v>0</v>
      </c>
      <c r="AP600" s="31">
        <v>0</v>
      </c>
      <c r="AQ600" s="31">
        <v>0</v>
      </c>
      <c r="AR600" s="31">
        <v>0</v>
      </c>
      <c r="AS600" s="31">
        <v>0</v>
      </c>
      <c r="AT600" s="31">
        <v>0</v>
      </c>
      <c r="AU600" s="31" t="s">
        <v>1432</v>
      </c>
      <c r="AV600" s="31" t="s">
        <v>85</v>
      </c>
      <c r="AW600" s="12" t="s">
        <v>1448</v>
      </c>
      <c r="AX600" s="10" t="s">
        <v>1449</v>
      </c>
      <c r="AY600" s="19" t="s">
        <v>690</v>
      </c>
      <c r="AZ600" s="10" t="s">
        <v>1433</v>
      </c>
      <c r="BA600" s="10" t="s">
        <v>1433</v>
      </c>
      <c r="BB600" s="10" t="s">
        <v>1434</v>
      </c>
      <c r="BC600" s="12" t="s">
        <v>1435</v>
      </c>
      <c r="BD600" s="12" t="s">
        <v>1436</v>
      </c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6"/>
      <c r="BQ600" s="16"/>
      <c r="BR600" s="16"/>
      <c r="BS600" s="16"/>
      <c r="BT600" s="17">
        <f>$R600*AD600</f>
        <v>0</v>
      </c>
      <c r="BU600" s="28">
        <f t="shared" si="198"/>
        <v>0</v>
      </c>
      <c r="BV600" s="28">
        <f t="shared" si="199"/>
        <v>0</v>
      </c>
      <c r="BW600" s="28">
        <f t="shared" si="200"/>
        <v>0</v>
      </c>
    </row>
    <row r="601" spans="1:75" ht="17.399999999999999" x14ac:dyDescent="0.25">
      <c r="A601" s="69">
        <f t="shared" si="192"/>
        <v>600</v>
      </c>
      <c r="B601" s="70" t="s">
        <v>1295</v>
      </c>
      <c r="C601" s="71" t="s">
        <v>243</v>
      </c>
      <c r="D601" s="71" t="s">
        <v>1176</v>
      </c>
      <c r="E601" s="71" t="s">
        <v>1160</v>
      </c>
      <c r="F601" s="71"/>
      <c r="G601" s="71" t="s">
        <v>1296</v>
      </c>
      <c r="H601" s="71"/>
      <c r="I601" s="71" t="e">
        <f>VLOOKUP(H601,[1]Sheet1!$C:$C,1,0)</f>
        <v>#N/A</v>
      </c>
      <c r="J601" s="71"/>
      <c r="K601" s="71"/>
      <c r="L601" s="71" t="s">
        <v>1222</v>
      </c>
      <c r="M601" s="72"/>
      <c r="N601" s="71" t="s">
        <v>382</v>
      </c>
      <c r="O601" s="73"/>
      <c r="P601" s="71"/>
      <c r="Q601" s="74"/>
      <c r="R601" s="100"/>
      <c r="S601" s="75">
        <f>R601*U601</f>
        <v>0</v>
      </c>
      <c r="T601" s="92"/>
      <c r="U601" s="76">
        <f t="shared" si="196"/>
        <v>0</v>
      </c>
      <c r="V601" s="72"/>
      <c r="W601" s="72"/>
      <c r="X601" s="72"/>
      <c r="Y601" s="72"/>
      <c r="Z601" s="72"/>
      <c r="AA601" s="72"/>
      <c r="AB601" s="72"/>
      <c r="AC601" s="72"/>
      <c r="AD601" s="77"/>
      <c r="AE601" s="75"/>
      <c r="AF601" s="75"/>
      <c r="AG601" s="75"/>
      <c r="AH601" s="75">
        <v>0</v>
      </c>
      <c r="AI601" s="75"/>
      <c r="AJ601" s="75">
        <v>0</v>
      </c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0"/>
      <c r="AX601" s="10" t="s">
        <v>689</v>
      </c>
      <c r="AY601" s="19" t="s">
        <v>299</v>
      </c>
      <c r="AZ601" s="10"/>
      <c r="BA601" s="10"/>
      <c r="BB601" s="10"/>
      <c r="BC601" s="10"/>
      <c r="BD601" s="10"/>
      <c r="BE601" s="10"/>
      <c r="BF601" s="10"/>
      <c r="BG601" s="13"/>
      <c r="BH601" s="10"/>
      <c r="BI601" s="14"/>
      <c r="BJ601" s="14"/>
      <c r="BK601" s="14"/>
      <c r="BL601" s="14"/>
      <c r="BM601" s="14"/>
      <c r="BN601" s="15"/>
      <c r="BO601" s="11"/>
      <c r="BP601" s="16">
        <f>$R601*Z601</f>
        <v>0</v>
      </c>
      <c r="BQ601" s="16">
        <f>$R601*AA601</f>
        <v>0</v>
      </c>
      <c r="BR601" s="16">
        <f>$R601*AB601</f>
        <v>0</v>
      </c>
      <c r="BS601" s="16">
        <f>$R601*AC601</f>
        <v>0</v>
      </c>
      <c r="BT601" s="17">
        <f>$R601*AD601</f>
        <v>0</v>
      </c>
      <c r="BU601" s="28">
        <f t="shared" si="198"/>
        <v>0</v>
      </c>
      <c r="BV601" s="28">
        <f t="shared" si="199"/>
        <v>0</v>
      </c>
      <c r="BW601" s="28">
        <f t="shared" si="200"/>
        <v>0</v>
      </c>
    </row>
    <row r="602" spans="1:75" ht="17.399999999999999" x14ac:dyDescent="0.25">
      <c r="A602" s="69">
        <f t="shared" si="192"/>
        <v>601</v>
      </c>
      <c r="B602" s="73" t="s">
        <v>1947</v>
      </c>
      <c r="C602" s="71" t="s">
        <v>149</v>
      </c>
      <c r="D602" s="71" t="s">
        <v>1947</v>
      </c>
      <c r="E602" s="71" t="s">
        <v>1948</v>
      </c>
      <c r="F602" s="71" t="s">
        <v>1948</v>
      </c>
      <c r="G602" s="71" t="s">
        <v>1971</v>
      </c>
      <c r="H602" s="71" t="s">
        <v>1972</v>
      </c>
      <c r="I602" s="71" t="str">
        <f>VLOOKUP(H602,[1]Sheet1!$C:$C,1,0)</f>
        <v>SC2434UA-CI-10AK-2434</v>
      </c>
      <c r="J602" s="71"/>
      <c r="K602" s="71"/>
      <c r="L602" s="73"/>
      <c r="M602" s="80"/>
      <c r="N602" s="72"/>
      <c r="O602" s="73"/>
      <c r="P602" s="71"/>
      <c r="Q602" s="71"/>
      <c r="R602" s="100">
        <v>0.3</v>
      </c>
      <c r="S602" s="75"/>
      <c r="T602" s="91"/>
      <c r="U602" s="76">
        <f t="shared" si="196"/>
        <v>9000</v>
      </c>
      <c r="V602" s="80"/>
      <c r="W602" s="80"/>
      <c r="X602" s="80"/>
      <c r="Y602" s="72"/>
      <c r="Z602" s="72"/>
      <c r="AA602" s="72"/>
      <c r="AB602" s="72"/>
      <c r="AC602" s="72"/>
      <c r="AD602" s="77"/>
      <c r="AE602" s="75">
        <v>3000</v>
      </c>
      <c r="AF602" s="75">
        <v>3000</v>
      </c>
      <c r="AG602" s="75">
        <v>3000</v>
      </c>
      <c r="AH602" s="75">
        <v>3000</v>
      </c>
      <c r="AI602" s="75">
        <v>3000</v>
      </c>
      <c r="AJ602" s="75">
        <v>3000</v>
      </c>
      <c r="AK602" s="33"/>
      <c r="AL602" s="33"/>
      <c r="AM602" s="33"/>
      <c r="AN602" s="33"/>
      <c r="AO602" s="33"/>
      <c r="AP602" s="33"/>
      <c r="AQ602" s="33"/>
      <c r="AR602" s="33"/>
      <c r="AS602" s="33"/>
      <c r="AT602" s="33"/>
      <c r="AU602" s="33"/>
      <c r="AV602" s="33"/>
      <c r="AW602" s="19"/>
      <c r="AX602" s="19"/>
      <c r="AY602" s="19" t="s">
        <v>261</v>
      </c>
      <c r="AZ602" s="19"/>
      <c r="BA602" s="19"/>
      <c r="BB602" s="19"/>
      <c r="BC602" s="19"/>
      <c r="BD602" s="19"/>
      <c r="BE602" s="19"/>
      <c r="BF602" s="19"/>
      <c r="BG602" s="24"/>
      <c r="BH602" s="19"/>
      <c r="BI602" s="25"/>
      <c r="BJ602" s="25"/>
      <c r="BK602" s="25"/>
      <c r="BL602" s="25"/>
      <c r="BM602" s="25"/>
      <c r="BN602" s="37"/>
      <c r="BO602" s="21"/>
      <c r="BP602" s="27"/>
      <c r="BQ602" s="27"/>
      <c r="BR602" s="27"/>
      <c r="BS602" s="27"/>
      <c r="BT602" s="28"/>
      <c r="BU602" s="28">
        <f t="shared" si="198"/>
        <v>900</v>
      </c>
      <c r="BV602" s="28">
        <f t="shared" si="199"/>
        <v>900</v>
      </c>
      <c r="BW602" s="28">
        <f t="shared" si="200"/>
        <v>900</v>
      </c>
    </row>
    <row r="603" spans="1:75" ht="17.399999999999999" x14ac:dyDescent="0.25">
      <c r="A603" s="69">
        <f t="shared" si="192"/>
        <v>602</v>
      </c>
      <c r="B603" s="73" t="s">
        <v>1947</v>
      </c>
      <c r="C603" s="71" t="s">
        <v>149</v>
      </c>
      <c r="D603" s="71" t="s">
        <v>1947</v>
      </c>
      <c r="E603" s="71" t="s">
        <v>1948</v>
      </c>
      <c r="F603" s="71" t="s">
        <v>1948</v>
      </c>
      <c r="G603" s="71" t="s">
        <v>1973</v>
      </c>
      <c r="H603" s="71" t="s">
        <v>912</v>
      </c>
      <c r="I603" s="71" t="str">
        <f>VLOOKUP(H603,[1]Sheet1!$C:$C,1,0)</f>
        <v>SC2464SO-CJ-10CR-2464</v>
      </c>
      <c r="J603" s="71"/>
      <c r="K603" s="71"/>
      <c r="L603" s="73"/>
      <c r="M603" s="80"/>
      <c r="N603" s="72"/>
      <c r="O603" s="73"/>
      <c r="P603" s="71"/>
      <c r="Q603" s="71"/>
      <c r="R603" s="100">
        <v>0.19</v>
      </c>
      <c r="S603" s="75"/>
      <c r="T603" s="91"/>
      <c r="U603" s="76">
        <f t="shared" si="196"/>
        <v>90000</v>
      </c>
      <c r="V603" s="80"/>
      <c r="W603" s="80"/>
      <c r="X603" s="80"/>
      <c r="Y603" s="72"/>
      <c r="Z603" s="72"/>
      <c r="AA603" s="72"/>
      <c r="AB603" s="72"/>
      <c r="AC603" s="72"/>
      <c r="AD603" s="77"/>
      <c r="AE603" s="75">
        <v>30000</v>
      </c>
      <c r="AF603" s="75">
        <v>30000</v>
      </c>
      <c r="AG603" s="75">
        <v>30000</v>
      </c>
      <c r="AH603" s="75">
        <v>30000</v>
      </c>
      <c r="AI603" s="75">
        <v>30000</v>
      </c>
      <c r="AJ603" s="75">
        <v>30000</v>
      </c>
      <c r="AK603" s="33"/>
      <c r="AL603" s="33"/>
      <c r="AM603" s="33"/>
      <c r="AN603" s="33"/>
      <c r="AO603" s="33"/>
      <c r="AP603" s="33"/>
      <c r="AQ603" s="33"/>
      <c r="AR603" s="33"/>
      <c r="AS603" s="33"/>
      <c r="AT603" s="33"/>
      <c r="AU603" s="33"/>
      <c r="AV603" s="33"/>
      <c r="AW603" s="19"/>
      <c r="AX603" s="19"/>
      <c r="AY603" s="19" t="s">
        <v>261</v>
      </c>
      <c r="AZ603" s="19"/>
      <c r="BA603" s="19"/>
      <c r="BB603" s="19"/>
      <c r="BC603" s="19"/>
      <c r="BD603" s="19"/>
      <c r="BE603" s="19"/>
      <c r="BF603" s="19"/>
      <c r="BG603" s="24"/>
      <c r="BH603" s="19"/>
      <c r="BI603" s="25"/>
      <c r="BJ603" s="25"/>
      <c r="BK603" s="25"/>
      <c r="BL603" s="25"/>
      <c r="BM603" s="25"/>
      <c r="BN603" s="37"/>
      <c r="BO603" s="21"/>
      <c r="BP603" s="27"/>
      <c r="BQ603" s="27"/>
      <c r="BR603" s="27"/>
      <c r="BS603" s="27"/>
      <c r="BT603" s="28"/>
      <c r="BU603" s="28">
        <f t="shared" si="198"/>
        <v>5700</v>
      </c>
      <c r="BV603" s="28">
        <f t="shared" si="199"/>
        <v>5700</v>
      </c>
      <c r="BW603" s="28">
        <f t="shared" si="200"/>
        <v>5700</v>
      </c>
    </row>
    <row r="604" spans="1:75" ht="17.399999999999999" x14ac:dyDescent="0.25">
      <c r="A604" s="69">
        <f t="shared" si="192"/>
        <v>603</v>
      </c>
      <c r="B604" s="73" t="s">
        <v>1947</v>
      </c>
      <c r="C604" s="71" t="s">
        <v>149</v>
      </c>
      <c r="D604" s="71" t="s">
        <v>1947</v>
      </c>
      <c r="E604" s="71" t="s">
        <v>1948</v>
      </c>
      <c r="F604" s="71" t="s">
        <v>1948</v>
      </c>
      <c r="G604" s="71" t="s">
        <v>1974</v>
      </c>
      <c r="H604" s="71" t="s">
        <v>401</v>
      </c>
      <c r="I604" s="71" t="str">
        <f>VLOOKUP(H604,[1]Sheet1!$C:$C,1,0)</f>
        <v>SC1134SO-N-Q-CI-00LR-1134</v>
      </c>
      <c r="J604" s="71"/>
      <c r="K604" s="71"/>
      <c r="L604" s="73"/>
      <c r="M604" s="80"/>
      <c r="N604" s="72"/>
      <c r="O604" s="73"/>
      <c r="P604" s="71"/>
      <c r="Q604" s="71"/>
      <c r="R604" s="100">
        <v>0.15</v>
      </c>
      <c r="S604" s="75"/>
      <c r="T604" s="91"/>
      <c r="U604" s="76">
        <f t="shared" si="196"/>
        <v>270000</v>
      </c>
      <c r="V604" s="80"/>
      <c r="W604" s="80"/>
      <c r="X604" s="80"/>
      <c r="Y604" s="72"/>
      <c r="Z604" s="72"/>
      <c r="AA604" s="72"/>
      <c r="AB604" s="72"/>
      <c r="AC604" s="72"/>
      <c r="AD604" s="77"/>
      <c r="AE604" s="75">
        <v>90000</v>
      </c>
      <c r="AF604" s="75">
        <v>90000</v>
      </c>
      <c r="AG604" s="75">
        <v>90000</v>
      </c>
      <c r="AH604" s="75">
        <v>90000</v>
      </c>
      <c r="AI604" s="75">
        <v>90000</v>
      </c>
      <c r="AJ604" s="75">
        <v>90000</v>
      </c>
      <c r="AK604" s="33"/>
      <c r="AL604" s="33"/>
      <c r="AM604" s="33"/>
      <c r="AN604" s="33"/>
      <c r="AO604" s="33"/>
      <c r="AP604" s="33"/>
      <c r="AQ604" s="33"/>
      <c r="AR604" s="33"/>
      <c r="AS604" s="33"/>
      <c r="AT604" s="33"/>
      <c r="AU604" s="33"/>
      <c r="AV604" s="33"/>
      <c r="AW604" s="19"/>
      <c r="AX604" s="19"/>
      <c r="AY604" s="19" t="s">
        <v>261</v>
      </c>
      <c r="AZ604" s="19"/>
      <c r="BA604" s="19"/>
      <c r="BB604" s="19"/>
      <c r="BC604" s="19"/>
      <c r="BD604" s="19"/>
      <c r="BE604" s="19"/>
      <c r="BF604" s="19"/>
      <c r="BG604" s="24"/>
      <c r="BH604" s="19"/>
      <c r="BI604" s="25"/>
      <c r="BJ604" s="25"/>
      <c r="BK604" s="25"/>
      <c r="BL604" s="25"/>
      <c r="BM604" s="25"/>
      <c r="BN604" s="37"/>
      <c r="BO604" s="21"/>
      <c r="BP604" s="27"/>
      <c r="BQ604" s="27"/>
      <c r="BR604" s="27"/>
      <c r="BS604" s="27"/>
      <c r="BT604" s="28"/>
      <c r="BU604" s="28">
        <f t="shared" si="198"/>
        <v>13500</v>
      </c>
      <c r="BV604" s="28">
        <f t="shared" si="199"/>
        <v>13500</v>
      </c>
      <c r="BW604" s="28">
        <f t="shared" si="200"/>
        <v>13500</v>
      </c>
    </row>
    <row r="605" spans="1:75" ht="17.399999999999999" x14ac:dyDescent="0.25">
      <c r="A605" s="69">
        <f t="shared" si="192"/>
        <v>604</v>
      </c>
      <c r="B605" s="73" t="s">
        <v>1947</v>
      </c>
      <c r="C605" s="71" t="s">
        <v>149</v>
      </c>
      <c r="D605" s="71" t="s">
        <v>1947</v>
      </c>
      <c r="E605" s="71" t="s">
        <v>1948</v>
      </c>
      <c r="F605" s="71" t="s">
        <v>1948</v>
      </c>
      <c r="G605" s="71" t="s">
        <v>1974</v>
      </c>
      <c r="H605" s="71" t="s">
        <v>401</v>
      </c>
      <c r="I605" s="71" t="str">
        <f>VLOOKUP(H605,[1]Sheet1!$C:$C,1,0)</f>
        <v>SC1134SO-N-Q-CI-00LR-1134</v>
      </c>
      <c r="J605" s="71"/>
      <c r="K605" s="71"/>
      <c r="L605" s="73"/>
      <c r="M605" s="80"/>
      <c r="N605" s="72"/>
      <c r="O605" s="73"/>
      <c r="P605" s="71"/>
      <c r="Q605" s="71"/>
      <c r="R605" s="100">
        <v>0.15</v>
      </c>
      <c r="S605" s="75"/>
      <c r="T605" s="91"/>
      <c r="U605" s="76">
        <f t="shared" si="196"/>
        <v>300000</v>
      </c>
      <c r="V605" s="80"/>
      <c r="W605" s="80"/>
      <c r="X605" s="80"/>
      <c r="Y605" s="72"/>
      <c r="Z605" s="72"/>
      <c r="AA605" s="72"/>
      <c r="AB605" s="72"/>
      <c r="AC605" s="72"/>
      <c r="AD605" s="77"/>
      <c r="AE605" s="75">
        <v>100000</v>
      </c>
      <c r="AF605" s="75">
        <v>100000</v>
      </c>
      <c r="AG605" s="75">
        <v>100000</v>
      </c>
      <c r="AH605" s="75">
        <v>100000</v>
      </c>
      <c r="AI605" s="75">
        <v>100000</v>
      </c>
      <c r="AJ605" s="75">
        <v>100000</v>
      </c>
      <c r="AK605" s="33"/>
      <c r="AL605" s="33"/>
      <c r="AM605" s="33"/>
      <c r="AN605" s="33"/>
      <c r="AO605" s="33"/>
      <c r="AP605" s="33"/>
      <c r="AQ605" s="33"/>
      <c r="AR605" s="33"/>
      <c r="AS605" s="33"/>
      <c r="AT605" s="33"/>
      <c r="AU605" s="33"/>
      <c r="AV605" s="33"/>
      <c r="AW605" s="19"/>
      <c r="AX605" s="19"/>
      <c r="AY605" s="19" t="s">
        <v>261</v>
      </c>
      <c r="AZ605" s="19"/>
      <c r="BA605" s="19"/>
      <c r="BB605" s="19"/>
      <c r="BC605" s="19"/>
      <c r="BD605" s="19"/>
      <c r="BE605" s="19"/>
      <c r="BF605" s="19"/>
      <c r="BG605" s="24"/>
      <c r="BH605" s="19"/>
      <c r="BI605" s="25"/>
      <c r="BJ605" s="25"/>
      <c r="BK605" s="25"/>
      <c r="BL605" s="25"/>
      <c r="BM605" s="25"/>
      <c r="BN605" s="37"/>
      <c r="BO605" s="21"/>
      <c r="BP605" s="27"/>
      <c r="BQ605" s="27"/>
      <c r="BR605" s="27"/>
      <c r="BS605" s="27"/>
      <c r="BT605" s="28"/>
      <c r="BU605" s="28">
        <f t="shared" si="198"/>
        <v>15000</v>
      </c>
      <c r="BV605" s="28">
        <f t="shared" si="199"/>
        <v>15000</v>
      </c>
      <c r="BW605" s="28">
        <f t="shared" si="200"/>
        <v>15000</v>
      </c>
    </row>
    <row r="606" spans="1:75" ht="17.399999999999999" x14ac:dyDescent="0.25">
      <c r="A606" s="69">
        <f t="shared" si="192"/>
        <v>605</v>
      </c>
      <c r="B606" s="73" t="s">
        <v>1947</v>
      </c>
      <c r="C606" s="71" t="s">
        <v>149</v>
      </c>
      <c r="D606" s="71" t="s">
        <v>1947</v>
      </c>
      <c r="E606" s="71" t="s">
        <v>1948</v>
      </c>
      <c r="F606" s="71" t="s">
        <v>1948</v>
      </c>
      <c r="G606" s="71" t="s">
        <v>1975</v>
      </c>
      <c r="H606" s="71" t="s">
        <v>264</v>
      </c>
      <c r="I606" s="71" t="str">
        <f>VLOOKUP(H606,[1]Sheet1!$C:$C,1,0)</f>
        <v>SC2442SO-Q-DB-60CR-2442</v>
      </c>
      <c r="J606" s="71"/>
      <c r="K606" s="71"/>
      <c r="L606" s="73"/>
      <c r="M606" s="80"/>
      <c r="N606" s="72"/>
      <c r="O606" s="73"/>
      <c r="P606" s="71"/>
      <c r="Q606" s="71"/>
      <c r="R606" s="100">
        <v>0.28000000000000003</v>
      </c>
      <c r="S606" s="75"/>
      <c r="T606" s="91"/>
      <c r="U606" s="76">
        <f t="shared" si="196"/>
        <v>600000</v>
      </c>
      <c r="V606" s="80"/>
      <c r="W606" s="80"/>
      <c r="X606" s="80"/>
      <c r="Y606" s="72"/>
      <c r="Z606" s="72"/>
      <c r="AA606" s="72"/>
      <c r="AB606" s="72"/>
      <c r="AC606" s="72"/>
      <c r="AD606" s="77"/>
      <c r="AE606" s="75">
        <v>200000</v>
      </c>
      <c r="AF606" s="75">
        <v>200000</v>
      </c>
      <c r="AG606" s="75">
        <v>200000</v>
      </c>
      <c r="AH606" s="75">
        <v>200000</v>
      </c>
      <c r="AI606" s="75">
        <v>200000</v>
      </c>
      <c r="AJ606" s="75">
        <v>200000</v>
      </c>
      <c r="AK606" s="33"/>
      <c r="AL606" s="33"/>
      <c r="AM606" s="33"/>
      <c r="AN606" s="33"/>
      <c r="AO606" s="33"/>
      <c r="AP606" s="33"/>
      <c r="AQ606" s="33"/>
      <c r="AR606" s="33"/>
      <c r="AS606" s="33"/>
      <c r="AT606" s="33"/>
      <c r="AU606" s="33"/>
      <c r="AV606" s="33"/>
      <c r="AW606" s="19"/>
      <c r="AX606" s="19"/>
      <c r="AY606" s="19" t="s">
        <v>261</v>
      </c>
      <c r="AZ606" s="19"/>
      <c r="BA606" s="19"/>
      <c r="BB606" s="19"/>
      <c r="BC606" s="19"/>
      <c r="BD606" s="19"/>
      <c r="BE606" s="19"/>
      <c r="BF606" s="19"/>
      <c r="BG606" s="24"/>
      <c r="BH606" s="19"/>
      <c r="BI606" s="25"/>
      <c r="BJ606" s="25"/>
      <c r="BK606" s="25"/>
      <c r="BL606" s="25"/>
      <c r="BM606" s="25"/>
      <c r="BN606" s="37"/>
      <c r="BO606" s="21"/>
      <c r="BP606" s="27"/>
      <c r="BQ606" s="27"/>
      <c r="BR606" s="27"/>
      <c r="BS606" s="27"/>
      <c r="BT606" s="28"/>
      <c r="BU606" s="28">
        <f t="shared" si="198"/>
        <v>56000.000000000007</v>
      </c>
      <c r="BV606" s="28">
        <f t="shared" si="199"/>
        <v>56000.000000000007</v>
      </c>
      <c r="BW606" s="28">
        <f t="shared" si="200"/>
        <v>56000.000000000007</v>
      </c>
    </row>
    <row r="607" spans="1:75" ht="17.399999999999999" x14ac:dyDescent="0.25">
      <c r="A607" s="69">
        <f t="shared" si="192"/>
        <v>606</v>
      </c>
      <c r="B607" s="70" t="s">
        <v>1295</v>
      </c>
      <c r="C607" s="71" t="s">
        <v>243</v>
      </c>
      <c r="D607" s="71" t="s">
        <v>1176</v>
      </c>
      <c r="E607" s="71" t="s">
        <v>1160</v>
      </c>
      <c r="F607" s="71"/>
      <c r="G607" s="71" t="s">
        <v>1296</v>
      </c>
      <c r="H607" s="71"/>
      <c r="I607" s="71" t="e">
        <f>VLOOKUP(H607,[1]Sheet1!$C:$C,1,0)</f>
        <v>#N/A</v>
      </c>
      <c r="J607" s="71"/>
      <c r="K607" s="71"/>
      <c r="L607" s="71" t="s">
        <v>1201</v>
      </c>
      <c r="M607" s="72"/>
      <c r="N607" s="71" t="s">
        <v>382</v>
      </c>
      <c r="O607" s="73"/>
      <c r="P607" s="71"/>
      <c r="Q607" s="74"/>
      <c r="R607" s="100"/>
      <c r="S607" s="75">
        <f>R607*U607</f>
        <v>0</v>
      </c>
      <c r="T607" s="92"/>
      <c r="U607" s="76">
        <f t="shared" si="196"/>
        <v>0</v>
      </c>
      <c r="V607" s="72"/>
      <c r="W607" s="72"/>
      <c r="X607" s="72"/>
      <c r="Y607" s="72"/>
      <c r="Z607" s="72"/>
      <c r="AA607" s="72"/>
      <c r="AB607" s="72"/>
      <c r="AC607" s="72"/>
      <c r="AD607" s="77"/>
      <c r="AE607" s="75"/>
      <c r="AF607" s="75"/>
      <c r="AG607" s="75"/>
      <c r="AH607" s="75">
        <v>0</v>
      </c>
      <c r="AI607" s="75"/>
      <c r="AJ607" s="75">
        <v>0</v>
      </c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19"/>
      <c r="AX607" s="19" t="s">
        <v>689</v>
      </c>
      <c r="AY607" s="19" t="s">
        <v>299</v>
      </c>
      <c r="AZ607" s="19"/>
      <c r="BA607" s="19"/>
      <c r="BB607" s="19"/>
      <c r="BC607" s="19"/>
      <c r="BD607" s="19"/>
      <c r="BE607" s="19"/>
      <c r="BF607" s="19"/>
      <c r="BG607" s="24"/>
      <c r="BH607" s="19"/>
      <c r="BI607" s="25"/>
      <c r="BJ607" s="25"/>
      <c r="BK607" s="25"/>
      <c r="BL607" s="25"/>
      <c r="BM607" s="25"/>
      <c r="BN607" s="26"/>
      <c r="BO607" s="21"/>
      <c r="BP607" s="27">
        <f>$R607*Z607</f>
        <v>0</v>
      </c>
      <c r="BQ607" s="27">
        <f>$R607*AA607</f>
        <v>0</v>
      </c>
      <c r="BR607" s="27">
        <f>$R607*AB607</f>
        <v>0</v>
      </c>
      <c r="BS607" s="27">
        <f>$R607*AC607</f>
        <v>0</v>
      </c>
      <c r="BT607" s="28">
        <f>$R607*AD607</f>
        <v>0</v>
      </c>
      <c r="BU607" s="28">
        <f t="shared" si="198"/>
        <v>0</v>
      </c>
      <c r="BV607" s="28">
        <f t="shared" si="199"/>
        <v>0</v>
      </c>
      <c r="BW607" s="28">
        <f t="shared" si="200"/>
        <v>0</v>
      </c>
    </row>
    <row r="608" spans="1:75" ht="17.399999999999999" x14ac:dyDescent="0.25">
      <c r="A608" s="69">
        <f t="shared" si="192"/>
        <v>607</v>
      </c>
      <c r="B608" s="73" t="s">
        <v>1947</v>
      </c>
      <c r="C608" s="71" t="s">
        <v>149</v>
      </c>
      <c r="D608" s="71" t="s">
        <v>1947</v>
      </c>
      <c r="E608" s="71" t="s">
        <v>1948</v>
      </c>
      <c r="F608" s="71" t="s">
        <v>1948</v>
      </c>
      <c r="G608" s="71" t="s">
        <v>1977</v>
      </c>
      <c r="H608" s="71" t="s">
        <v>737</v>
      </c>
      <c r="I608" s="71" t="str">
        <f>VLOOKUP(H608,[1]Sheet1!$C:$C,1,0)</f>
        <v>SC2242SO-Q-CH-10CR-2242</v>
      </c>
      <c r="J608" s="71"/>
      <c r="K608" s="71"/>
      <c r="L608" s="73"/>
      <c r="M608" s="80"/>
      <c r="N608" s="72"/>
      <c r="O608" s="73"/>
      <c r="P608" s="71"/>
      <c r="Q608" s="71"/>
      <c r="R608" s="100">
        <v>0.32</v>
      </c>
      <c r="S608" s="75"/>
      <c r="T608" s="91"/>
      <c r="U608" s="76">
        <f t="shared" si="196"/>
        <v>720000</v>
      </c>
      <c r="V608" s="80"/>
      <c r="W608" s="80"/>
      <c r="X608" s="80"/>
      <c r="Y608" s="72"/>
      <c r="Z608" s="72"/>
      <c r="AA608" s="72"/>
      <c r="AB608" s="72"/>
      <c r="AC608" s="72"/>
      <c r="AD608" s="77"/>
      <c r="AE608" s="75">
        <v>240000</v>
      </c>
      <c r="AF608" s="75">
        <v>240000</v>
      </c>
      <c r="AG608" s="75">
        <v>240000</v>
      </c>
      <c r="AH608" s="75">
        <v>240000</v>
      </c>
      <c r="AI608" s="75">
        <v>240000</v>
      </c>
      <c r="AJ608" s="75">
        <v>240000</v>
      </c>
      <c r="AK608" s="33"/>
      <c r="AL608" s="33"/>
      <c r="AM608" s="33"/>
      <c r="AN608" s="33"/>
      <c r="AO608" s="33"/>
      <c r="AP608" s="33"/>
      <c r="AQ608" s="33"/>
      <c r="AR608" s="33"/>
      <c r="AS608" s="33"/>
      <c r="AT608" s="33"/>
      <c r="AU608" s="33"/>
      <c r="AV608" s="33"/>
      <c r="AW608" s="19"/>
      <c r="AX608" s="19"/>
      <c r="AY608" s="19" t="s">
        <v>261</v>
      </c>
      <c r="AZ608" s="19"/>
      <c r="BA608" s="19"/>
      <c r="BB608" s="19"/>
      <c r="BC608" s="19"/>
      <c r="BD608" s="19"/>
      <c r="BE608" s="19"/>
      <c r="BF608" s="19"/>
      <c r="BG608" s="24"/>
      <c r="BH608" s="19"/>
      <c r="BI608" s="25"/>
      <c r="BJ608" s="25"/>
      <c r="BK608" s="25"/>
      <c r="BL608" s="25"/>
      <c r="BM608" s="25"/>
      <c r="BN608" s="37"/>
      <c r="BO608" s="21"/>
      <c r="BP608" s="27"/>
      <c r="BQ608" s="27"/>
      <c r="BR608" s="27"/>
      <c r="BS608" s="27"/>
      <c r="BT608" s="28"/>
      <c r="BU608" s="28">
        <f t="shared" si="198"/>
        <v>76800</v>
      </c>
      <c r="BV608" s="28">
        <f t="shared" si="199"/>
        <v>76800</v>
      </c>
      <c r="BW608" s="28">
        <f t="shared" si="200"/>
        <v>76800</v>
      </c>
    </row>
    <row r="609" spans="1:75" ht="17.399999999999999" x14ac:dyDescent="0.25">
      <c r="A609" s="69">
        <f t="shared" si="192"/>
        <v>608</v>
      </c>
      <c r="B609" s="73" t="s">
        <v>1947</v>
      </c>
      <c r="C609" s="71" t="s">
        <v>149</v>
      </c>
      <c r="D609" s="71" t="s">
        <v>1947</v>
      </c>
      <c r="E609" s="71" t="s">
        <v>1948</v>
      </c>
      <c r="F609" s="71" t="s">
        <v>1948</v>
      </c>
      <c r="G609" s="71" t="s">
        <v>840</v>
      </c>
      <c r="H609" s="71" t="s">
        <v>394</v>
      </c>
      <c r="I609" s="71" t="str">
        <f>VLOOKUP(H609,[1]Sheet1!$C:$C,1,0)</f>
        <v>SC2462SO-Q-CJ-10CR-2462</v>
      </c>
      <c r="J609" s="71"/>
      <c r="K609" s="71"/>
      <c r="L609" s="73"/>
      <c r="M609" s="80"/>
      <c r="N609" s="72"/>
      <c r="O609" s="73"/>
      <c r="P609" s="71"/>
      <c r="Q609" s="71"/>
      <c r="R609" s="100">
        <v>0.19</v>
      </c>
      <c r="S609" s="75"/>
      <c r="T609" s="91"/>
      <c r="U609" s="76">
        <f t="shared" si="196"/>
        <v>81000</v>
      </c>
      <c r="V609" s="80"/>
      <c r="W609" s="80"/>
      <c r="X609" s="80"/>
      <c r="Y609" s="72"/>
      <c r="Z609" s="72"/>
      <c r="AA609" s="72"/>
      <c r="AB609" s="72"/>
      <c r="AC609" s="72"/>
      <c r="AD609" s="77"/>
      <c r="AE609" s="75">
        <v>27000</v>
      </c>
      <c r="AF609" s="75">
        <v>27000</v>
      </c>
      <c r="AG609" s="75">
        <v>27000</v>
      </c>
      <c r="AH609" s="75">
        <v>27000</v>
      </c>
      <c r="AI609" s="75">
        <v>27000</v>
      </c>
      <c r="AJ609" s="75">
        <v>27000</v>
      </c>
      <c r="AK609" s="33"/>
      <c r="AL609" s="33"/>
      <c r="AM609" s="33"/>
      <c r="AN609" s="33"/>
      <c r="AO609" s="33"/>
      <c r="AP609" s="33"/>
      <c r="AQ609" s="33"/>
      <c r="AR609" s="33"/>
      <c r="AS609" s="33"/>
      <c r="AT609" s="33"/>
      <c r="AU609" s="33"/>
      <c r="AV609" s="33"/>
      <c r="AW609" s="19"/>
      <c r="AX609" s="19"/>
      <c r="AY609" s="19" t="s">
        <v>261</v>
      </c>
      <c r="AZ609" s="19"/>
      <c r="BA609" s="19"/>
      <c r="BB609" s="19"/>
      <c r="BC609" s="19"/>
      <c r="BD609" s="19"/>
      <c r="BE609" s="19"/>
      <c r="BF609" s="19"/>
      <c r="BG609" s="24"/>
      <c r="BH609" s="19"/>
      <c r="BI609" s="25"/>
      <c r="BJ609" s="25"/>
      <c r="BK609" s="25"/>
      <c r="BL609" s="25"/>
      <c r="BM609" s="25"/>
      <c r="BN609" s="37"/>
      <c r="BO609" s="21"/>
      <c r="BP609" s="27"/>
      <c r="BQ609" s="27"/>
      <c r="BR609" s="27"/>
      <c r="BS609" s="27"/>
      <c r="BT609" s="28"/>
      <c r="BU609" s="28">
        <f t="shared" si="198"/>
        <v>5130</v>
      </c>
      <c r="BV609" s="28">
        <f t="shared" si="199"/>
        <v>5130</v>
      </c>
      <c r="BW609" s="28">
        <f t="shared" si="200"/>
        <v>5130</v>
      </c>
    </row>
    <row r="610" spans="1:75" ht="17.399999999999999" x14ac:dyDescent="0.25">
      <c r="A610" s="69">
        <f t="shared" si="192"/>
        <v>609</v>
      </c>
      <c r="B610" s="70" t="s">
        <v>1263</v>
      </c>
      <c r="C610" s="71" t="s">
        <v>243</v>
      </c>
      <c r="D610" s="71" t="s">
        <v>1176</v>
      </c>
      <c r="E610" s="71" t="s">
        <v>1160</v>
      </c>
      <c r="F610" s="71"/>
      <c r="G610" s="71" t="s">
        <v>1264</v>
      </c>
      <c r="H610" s="71" t="s">
        <v>1264</v>
      </c>
      <c r="I610" s="71" t="str">
        <f>VLOOKUP(H610,[1]Sheet1!$C:$C,1,0)</f>
        <v>ZH6338</v>
      </c>
      <c r="J610" s="71"/>
      <c r="K610" s="71"/>
      <c r="L610" s="71" t="s">
        <v>1201</v>
      </c>
      <c r="M610" s="72">
        <v>1000000</v>
      </c>
      <c r="N610" s="71" t="s">
        <v>251</v>
      </c>
      <c r="O610" s="73"/>
      <c r="P610" s="71"/>
      <c r="Q610" s="74"/>
      <c r="R610" s="100">
        <v>0.55000000000000004</v>
      </c>
      <c r="S610" s="75">
        <f>R610*U610</f>
        <v>0</v>
      </c>
      <c r="T610" s="92"/>
      <c r="U610" s="76">
        <f t="shared" si="196"/>
        <v>0</v>
      </c>
      <c r="V610" s="72"/>
      <c r="W610" s="72">
        <v>3000</v>
      </c>
      <c r="X610" s="72">
        <v>3000</v>
      </c>
      <c r="Y610" s="72">
        <v>10000</v>
      </c>
      <c r="Z610" s="72">
        <v>10000</v>
      </c>
      <c r="AA610" s="72">
        <v>12000</v>
      </c>
      <c r="AB610" s="72">
        <v>12000</v>
      </c>
      <c r="AC610" s="72">
        <v>12000</v>
      </c>
      <c r="AD610" s="77"/>
      <c r="AE610" s="75"/>
      <c r="AF610" s="75"/>
      <c r="AG610" s="75"/>
      <c r="AH610" s="75"/>
      <c r="AI610" s="75"/>
      <c r="AJ610" s="75">
        <v>0</v>
      </c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0" t="s">
        <v>155</v>
      </c>
      <c r="AX610" s="10" t="s">
        <v>120</v>
      </c>
      <c r="AY610" s="19" t="s">
        <v>299</v>
      </c>
      <c r="AZ610" s="10" t="s">
        <v>1265</v>
      </c>
      <c r="BA610" s="10" t="s">
        <v>1266</v>
      </c>
      <c r="BB610" s="10" t="s">
        <v>1267</v>
      </c>
      <c r="BC610" s="10" t="s">
        <v>217</v>
      </c>
      <c r="BD610" s="10"/>
      <c r="BE610" s="10"/>
      <c r="BF610" s="10"/>
      <c r="BG610" s="13"/>
      <c r="BH610" s="10"/>
      <c r="BI610" s="14"/>
      <c r="BJ610" s="14"/>
      <c r="BK610" s="14"/>
      <c r="BL610" s="14"/>
      <c r="BM610" s="14"/>
      <c r="BN610" s="15"/>
      <c r="BO610" s="11"/>
      <c r="BP610" s="16">
        <f t="shared" ref="BP610:BT614" si="202">$R610*Z610</f>
        <v>5500</v>
      </c>
      <c r="BQ610" s="16">
        <f t="shared" si="202"/>
        <v>6600.0000000000009</v>
      </c>
      <c r="BR610" s="16">
        <f t="shared" si="202"/>
        <v>6600.0000000000009</v>
      </c>
      <c r="BS610" s="16">
        <f t="shared" si="202"/>
        <v>6600.0000000000009</v>
      </c>
      <c r="BT610" s="17">
        <f t="shared" si="202"/>
        <v>0</v>
      </c>
      <c r="BU610" s="28">
        <f t="shared" si="198"/>
        <v>0</v>
      </c>
      <c r="BV610" s="28">
        <f t="shared" si="199"/>
        <v>0</v>
      </c>
      <c r="BW610" s="28">
        <f t="shared" si="200"/>
        <v>0</v>
      </c>
    </row>
    <row r="611" spans="1:75" ht="17.399999999999999" x14ac:dyDescent="0.25">
      <c r="A611" s="69">
        <f t="shared" si="192"/>
        <v>610</v>
      </c>
      <c r="B611" s="70" t="s">
        <v>1268</v>
      </c>
      <c r="C611" s="71" t="s">
        <v>243</v>
      </c>
      <c r="D611" s="71" t="s">
        <v>1176</v>
      </c>
      <c r="E611" s="71" t="s">
        <v>1160</v>
      </c>
      <c r="F611" s="71"/>
      <c r="G611" s="71" t="s">
        <v>1264</v>
      </c>
      <c r="H611" s="71" t="s">
        <v>1264</v>
      </c>
      <c r="I611" s="71" t="str">
        <f>VLOOKUP(H611,[1]Sheet1!$C:$C,1,0)</f>
        <v>ZH6338</v>
      </c>
      <c r="J611" s="71"/>
      <c r="K611" s="71"/>
      <c r="L611" s="71" t="s">
        <v>1222</v>
      </c>
      <c r="M611" s="72">
        <v>1000000</v>
      </c>
      <c r="N611" s="71" t="s">
        <v>382</v>
      </c>
      <c r="O611" s="73"/>
      <c r="P611" s="71"/>
      <c r="Q611" s="74"/>
      <c r="R611" s="100">
        <v>0.53</v>
      </c>
      <c r="S611" s="75">
        <f>R611*U611</f>
        <v>0</v>
      </c>
      <c r="T611" s="92"/>
      <c r="U611" s="76">
        <f t="shared" si="196"/>
        <v>0</v>
      </c>
      <c r="V611" s="72"/>
      <c r="W611" s="72"/>
      <c r="X611" s="72"/>
      <c r="Y611" s="72"/>
      <c r="Z611" s="72"/>
      <c r="AA611" s="72"/>
      <c r="AB611" s="72"/>
      <c r="AC611" s="72"/>
      <c r="AD611" s="77"/>
      <c r="AE611" s="75"/>
      <c r="AF611" s="75"/>
      <c r="AG611" s="75"/>
      <c r="AH611" s="75">
        <v>0</v>
      </c>
      <c r="AI611" s="75"/>
      <c r="AJ611" s="75">
        <v>0</v>
      </c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19" t="s">
        <v>155</v>
      </c>
      <c r="AX611" s="19" t="s">
        <v>120</v>
      </c>
      <c r="AY611" s="19" t="s">
        <v>299</v>
      </c>
      <c r="AZ611" s="19" t="s">
        <v>167</v>
      </c>
      <c r="BA611" s="19" t="s">
        <v>346</v>
      </c>
      <c r="BB611" s="19" t="s">
        <v>326</v>
      </c>
      <c r="BC611" s="19" t="s">
        <v>1262</v>
      </c>
      <c r="BD611" s="19"/>
      <c r="BE611" s="19"/>
      <c r="BF611" s="19"/>
      <c r="BG611" s="24"/>
      <c r="BH611" s="19"/>
      <c r="BI611" s="25"/>
      <c r="BJ611" s="25"/>
      <c r="BK611" s="25"/>
      <c r="BL611" s="25"/>
      <c r="BM611" s="25"/>
      <c r="BN611" s="26"/>
      <c r="BO611" s="21"/>
      <c r="BP611" s="27">
        <f t="shared" si="202"/>
        <v>0</v>
      </c>
      <c r="BQ611" s="27">
        <f t="shared" si="202"/>
        <v>0</v>
      </c>
      <c r="BR611" s="27">
        <f t="shared" si="202"/>
        <v>0</v>
      </c>
      <c r="BS611" s="27">
        <f t="shared" si="202"/>
        <v>0</v>
      </c>
      <c r="BT611" s="28">
        <f t="shared" si="202"/>
        <v>0</v>
      </c>
      <c r="BU611" s="28">
        <f t="shared" si="198"/>
        <v>0</v>
      </c>
      <c r="BV611" s="28">
        <f t="shared" si="199"/>
        <v>0</v>
      </c>
      <c r="BW611" s="28">
        <f t="shared" si="200"/>
        <v>0</v>
      </c>
    </row>
    <row r="612" spans="1:75" ht="17.399999999999999" x14ac:dyDescent="0.25">
      <c r="A612" s="69">
        <f t="shared" si="192"/>
        <v>611</v>
      </c>
      <c r="B612" s="70" t="s">
        <v>99</v>
      </c>
      <c r="C612" s="71" t="s">
        <v>243</v>
      </c>
      <c r="D612" s="71" t="s">
        <v>262</v>
      </c>
      <c r="E612" s="71" t="s">
        <v>69</v>
      </c>
      <c r="F612" s="71" t="s">
        <v>100</v>
      </c>
      <c r="G612" s="71" t="s">
        <v>265</v>
      </c>
      <c r="H612" s="71" t="s">
        <v>265</v>
      </c>
      <c r="I612" s="71" t="str">
        <f>VLOOKUP(H612,[1]Sheet1!$C:$C,1,0)</f>
        <v>ZH6338</v>
      </c>
      <c r="J612" s="71"/>
      <c r="K612" s="71"/>
      <c r="L612" s="71" t="s">
        <v>101</v>
      </c>
      <c r="M612" s="72">
        <v>10000000</v>
      </c>
      <c r="N612" s="71" t="s">
        <v>266</v>
      </c>
      <c r="O612" s="73" t="s">
        <v>267</v>
      </c>
      <c r="P612" s="71" t="s">
        <v>268</v>
      </c>
      <c r="Q612" s="74"/>
      <c r="R612" s="100">
        <v>0</v>
      </c>
      <c r="S612" s="75">
        <f>R612*U612</f>
        <v>0</v>
      </c>
      <c r="T612" s="76">
        <v>0</v>
      </c>
      <c r="U612" s="76">
        <f t="shared" si="196"/>
        <v>0</v>
      </c>
      <c r="V612" s="72"/>
      <c r="W612" s="72"/>
      <c r="X612" s="72"/>
      <c r="Y612" s="72"/>
      <c r="Z612" s="72"/>
      <c r="AA612" s="72"/>
      <c r="AB612" s="72"/>
      <c r="AC612" s="72"/>
      <c r="AD612" s="77"/>
      <c r="AE612" s="75"/>
      <c r="AF612" s="75"/>
      <c r="AG612" s="75"/>
      <c r="AH612" s="75">
        <v>0</v>
      </c>
      <c r="AI612" s="75"/>
      <c r="AJ612" s="75">
        <v>0</v>
      </c>
      <c r="AK612" s="11">
        <v>0</v>
      </c>
      <c r="AL612" s="11">
        <v>0</v>
      </c>
      <c r="AM612" s="11">
        <v>0</v>
      </c>
      <c r="AN612" s="11">
        <v>0</v>
      </c>
      <c r="AO612" s="11">
        <v>0</v>
      </c>
      <c r="AP612" s="11">
        <v>0</v>
      </c>
      <c r="AQ612" s="11">
        <v>0</v>
      </c>
      <c r="AR612" s="11"/>
      <c r="AS612" s="11"/>
      <c r="AT612" s="11"/>
      <c r="AU612" s="11"/>
      <c r="AV612" s="11"/>
      <c r="AW612" s="10" t="s">
        <v>122</v>
      </c>
      <c r="AX612" s="10" t="s">
        <v>61</v>
      </c>
      <c r="AY612" s="19" t="s">
        <v>299</v>
      </c>
      <c r="AZ612" s="9" t="s">
        <v>62</v>
      </c>
      <c r="BA612" s="10" t="s">
        <v>86</v>
      </c>
      <c r="BB612" s="10" t="s">
        <v>87</v>
      </c>
      <c r="BC612" s="10" t="s">
        <v>104</v>
      </c>
      <c r="BD612" s="10"/>
      <c r="BE612" s="10"/>
      <c r="BF612" s="10"/>
      <c r="BG612" s="13">
        <v>0</v>
      </c>
      <c r="BH612" s="14"/>
      <c r="BI612" s="14"/>
      <c r="BJ612" s="14"/>
      <c r="BK612" s="14"/>
      <c r="BL612" s="14"/>
      <c r="BM612" s="14"/>
      <c r="BN612" s="15"/>
      <c r="BO612" s="11"/>
      <c r="BP612" s="16">
        <f t="shared" si="202"/>
        <v>0</v>
      </c>
      <c r="BQ612" s="16">
        <f t="shared" si="202"/>
        <v>0</v>
      </c>
      <c r="BR612" s="16">
        <f t="shared" si="202"/>
        <v>0</v>
      </c>
      <c r="BS612" s="16">
        <f t="shared" si="202"/>
        <v>0</v>
      </c>
      <c r="BT612" s="17">
        <f t="shared" si="202"/>
        <v>0</v>
      </c>
      <c r="BU612" s="28">
        <f t="shared" si="198"/>
        <v>0</v>
      </c>
      <c r="BV612" s="28">
        <f t="shared" si="199"/>
        <v>0</v>
      </c>
      <c r="BW612" s="28">
        <f t="shared" si="200"/>
        <v>0</v>
      </c>
    </row>
    <row r="613" spans="1:75" ht="17.399999999999999" x14ac:dyDescent="0.25">
      <c r="A613" s="69">
        <f t="shared" si="192"/>
        <v>612</v>
      </c>
      <c r="B613" s="73" t="s">
        <v>1563</v>
      </c>
      <c r="C613" s="71" t="s">
        <v>235</v>
      </c>
      <c r="D613" s="71" t="s">
        <v>1531</v>
      </c>
      <c r="E613" s="71" t="s">
        <v>1532</v>
      </c>
      <c r="F613" s="71" t="s">
        <v>1551</v>
      </c>
      <c r="G613" s="71" t="s">
        <v>1578</v>
      </c>
      <c r="H613" s="71"/>
      <c r="I613" s="71" t="e">
        <f>VLOOKUP(H613,[1]Sheet1!$C:$C,1,0)</f>
        <v>#N/A</v>
      </c>
      <c r="J613" s="71"/>
      <c r="K613" s="71"/>
      <c r="L613" s="73" t="s">
        <v>1555</v>
      </c>
      <c r="M613" s="80">
        <v>100000</v>
      </c>
      <c r="N613" s="72" t="s">
        <v>382</v>
      </c>
      <c r="O613" s="73"/>
      <c r="P613" s="71" t="s">
        <v>504</v>
      </c>
      <c r="Q613" s="71"/>
      <c r="R613" s="100">
        <v>0.52</v>
      </c>
      <c r="S613" s="75">
        <f>R613*U613</f>
        <v>7800</v>
      </c>
      <c r="T613" s="91">
        <v>0</v>
      </c>
      <c r="U613" s="76">
        <f t="shared" si="196"/>
        <v>15000</v>
      </c>
      <c r="V613" s="80"/>
      <c r="W613" s="80"/>
      <c r="X613" s="80"/>
      <c r="Y613" s="72"/>
      <c r="Z613" s="72"/>
      <c r="AA613" s="72"/>
      <c r="AB613" s="72"/>
      <c r="AC613" s="72"/>
      <c r="AD613" s="77"/>
      <c r="AE613" s="75">
        <v>5000</v>
      </c>
      <c r="AF613" s="75">
        <v>5000</v>
      </c>
      <c r="AG613" s="75">
        <v>5000</v>
      </c>
      <c r="AH613" s="75">
        <v>5000</v>
      </c>
      <c r="AI613" s="75">
        <v>5000</v>
      </c>
      <c r="AJ613" s="75">
        <v>5000</v>
      </c>
      <c r="AK613" s="33"/>
      <c r="AL613" s="33"/>
      <c r="AM613" s="33"/>
      <c r="AN613" s="33"/>
      <c r="AO613" s="33"/>
      <c r="AP613" s="33"/>
      <c r="AQ613" s="33"/>
      <c r="AR613" s="33"/>
      <c r="AS613" s="33"/>
      <c r="AT613" s="33"/>
      <c r="AU613" s="33"/>
      <c r="AV613" s="33"/>
      <c r="AW613" s="19" t="s">
        <v>978</v>
      </c>
      <c r="AX613" s="19" t="s">
        <v>85</v>
      </c>
      <c r="AY613" s="19" t="s">
        <v>258</v>
      </c>
      <c r="AZ613" s="19" t="s">
        <v>62</v>
      </c>
      <c r="BA613" s="19" t="s">
        <v>96</v>
      </c>
      <c r="BB613" s="19" t="s">
        <v>1547</v>
      </c>
      <c r="BC613" s="19" t="s">
        <v>1561</v>
      </c>
      <c r="BD613" s="19" t="s">
        <v>1576</v>
      </c>
      <c r="BE613" s="19" t="s">
        <v>1577</v>
      </c>
      <c r="BF613" s="19"/>
      <c r="BG613" s="24">
        <v>1</v>
      </c>
      <c r="BH613" s="19">
        <v>45899</v>
      </c>
      <c r="BI613" s="25">
        <v>45593</v>
      </c>
      <c r="BJ613" s="25">
        <v>45616</v>
      </c>
      <c r="BK613" s="25">
        <v>45646</v>
      </c>
      <c r="BL613" s="25">
        <v>45708</v>
      </c>
      <c r="BM613" s="25">
        <v>45807</v>
      </c>
      <c r="BN613" s="37">
        <v>1</v>
      </c>
      <c r="BO613" s="21">
        <v>5</v>
      </c>
      <c r="BP613" s="27">
        <f t="shared" si="202"/>
        <v>0</v>
      </c>
      <c r="BQ613" s="27">
        <f t="shared" si="202"/>
        <v>0</v>
      </c>
      <c r="BR613" s="27">
        <f t="shared" si="202"/>
        <v>0</v>
      </c>
      <c r="BS613" s="27">
        <f t="shared" si="202"/>
        <v>0</v>
      </c>
      <c r="BT613" s="28">
        <f t="shared" si="202"/>
        <v>0</v>
      </c>
      <c r="BU613" s="28">
        <f t="shared" si="198"/>
        <v>2600</v>
      </c>
      <c r="BV613" s="28">
        <f t="shared" si="199"/>
        <v>2600</v>
      </c>
      <c r="BW613" s="28">
        <f t="shared" si="200"/>
        <v>2600</v>
      </c>
    </row>
    <row r="614" spans="1:75" ht="17.399999999999999" x14ac:dyDescent="0.25">
      <c r="A614" s="69">
        <f t="shared" si="192"/>
        <v>613</v>
      </c>
      <c r="B614" s="73" t="s">
        <v>1068</v>
      </c>
      <c r="C614" s="73" t="s">
        <v>243</v>
      </c>
      <c r="D614" s="73" t="s">
        <v>1068</v>
      </c>
      <c r="E614" s="73" t="s">
        <v>978</v>
      </c>
      <c r="F614" s="73" t="s">
        <v>978</v>
      </c>
      <c r="G614" s="71"/>
      <c r="H614" s="71"/>
      <c r="I614" s="71" t="e">
        <f>VLOOKUP(H614,[1]Sheet1!$C:$C,1,0)</f>
        <v>#N/A</v>
      </c>
      <c r="J614" s="87"/>
      <c r="K614" s="85"/>
      <c r="L614" s="85"/>
      <c r="M614" s="85"/>
      <c r="N614" s="85"/>
      <c r="O614" s="85"/>
      <c r="P614" s="85"/>
      <c r="Q614" s="85"/>
      <c r="R614" s="100"/>
      <c r="S614" s="75">
        <f>R614*U614</f>
        <v>0</v>
      </c>
      <c r="T614" s="76">
        <v>0</v>
      </c>
      <c r="U614" s="76">
        <f t="shared" si="196"/>
        <v>0</v>
      </c>
      <c r="V614" s="85"/>
      <c r="W614" s="85"/>
      <c r="X614" s="85"/>
      <c r="Y614" s="85"/>
      <c r="Z614" s="76"/>
      <c r="AA614" s="76"/>
      <c r="AB614" s="76"/>
      <c r="AC614" s="76"/>
      <c r="AD614" s="77"/>
      <c r="AE614" s="75"/>
      <c r="AF614" s="75"/>
      <c r="AG614" s="75"/>
      <c r="AH614" s="75">
        <v>0</v>
      </c>
      <c r="AI614" s="75"/>
      <c r="AJ614" s="75">
        <v>0</v>
      </c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 t="s">
        <v>689</v>
      </c>
      <c r="AY614" s="19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>
        <f t="shared" si="202"/>
        <v>0</v>
      </c>
      <c r="BQ614" s="16">
        <f t="shared" si="202"/>
        <v>0</v>
      </c>
      <c r="BR614" s="16">
        <f t="shared" si="202"/>
        <v>0</v>
      </c>
      <c r="BS614" s="16">
        <f t="shared" si="202"/>
        <v>0</v>
      </c>
      <c r="BT614" s="17">
        <f t="shared" si="202"/>
        <v>0</v>
      </c>
      <c r="BU614" s="28">
        <f t="shared" si="198"/>
        <v>0</v>
      </c>
      <c r="BV614" s="28">
        <f t="shared" si="199"/>
        <v>0</v>
      </c>
      <c r="BW614" s="28">
        <f t="shared" si="200"/>
        <v>0</v>
      </c>
    </row>
  </sheetData>
  <protectedRanges>
    <protectedRange sqref="AF12:AG12" name="区域1_13_7_1_1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3" name="区域1_16_4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4" name="区域1_9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5" name="区域1_10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7" name="区域1_15_2_3_1_1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G14" name="区域1_9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G16" name="区域1_10_1_4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G17" name="区域1_15_2_3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7" name="区域1_13_5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8:AW10" name="区域1_13_6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11:AW12" name="区域1_13_7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13" name="区域1_3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14" name="区域1_2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15" name="区域1_10_1_3_1_20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16" name="区域1_10_1_4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17" name="区域1_15_2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18:AW24" name="区域1_1_1_20_1_1"/>
    <protectedRange sqref="N10 N16:N17" name="区域1_25_1"/>
    <protectedRange sqref="C522:E522 N522" name="区域1_1_3_2"/>
    <protectedRange sqref="J16:K16 G16" name="区域1_16_1_1_1_2_1_3_1"/>
    <protectedRange sqref="R280 R284:R285 R287:R291 R293:R299 R302:R306 R308:R309 R313:R314 R316 R319:R322 R325 R328 R331:R333 R335:R337 R341:R345 R351 R356 R360 R274:R278 R366 R370:R374 R377 R384 R387:R388 R390:R392 R396 R418:R419 R423 R438 R451 R457 R461 R464:R470 R472 R474:R477 R480:R495 R497:R508 R510:R518 R520:R522 R525:R532 R534 R26:R30 R46 R48 R50 R52 R66 R68:R71 R75 R78:R81 R83 R85:R92 R94 R107:R108 R113 R131:R132 R135:R138 R141:R142 R145:R148 R150:R154 R536 R538:R539 R548 R551:R554 R556:R557 R97:R105 R163:R165 R167 R177 R182:R188 R192:R193 R195 R202 R208:R209 R212:R213 R222:R224 R226:R229 R233:R238 R241:R242 R244 R246:R247 R251 R253 R257:R259 R262:R263 R268 R270 R363 R459 R4 R10 R32:R40 R42:R43 R54:R56 R58:R64 R560 R569 R128:R129 R156:R159" name="区域1_2_2"/>
    <protectedRange sqref="C522:E522 N522" name="区域1_1_2_2"/>
    <protectedRange sqref="B3" name="区域1_10_1_4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3" name="区域1_10_1_4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:F3" name="区域1_10_1_4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3" name="区域1_9_1_3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 J2:K2 G18:G19 J18:K19" name="区域1_9_1_3_1_4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3 G75 G86 G94 G99 G105 G108" name="区域1_3_4_2_2_1"/>
    <protectedRange sqref="J57 J73 J82 J93 J95" name="区域1_16_1_3_1_2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49:F54 G106:H106 J108:K108 J99:K99 J94:K94 J86:K86 E526 B64:B65 E25:E38 E56:F58 E66:E114 C25 C39:C42 C44 J32:L32 C46:C114 H109 H61 G49:H49 G64:G65 J64:L65 J75:K76 J105:K106 G32 J84:K84 G55:H56 H80 J44:K44 G76:H76 H211 G34:H42 C461 E461:F461 G464:H464 E465 C465 H28 C480 J480:L480 H364 G526:H526 C27:C36 E459 H33 E260 E480 E483 G25:H26 G69:H69 J49:K50 G46:H46 G112:H113 G72:H72 G67:H67 J53:K56 G30:H31 J33:K42 E40:E55 E60:F65 E59 J25:K26 J69:K69 J46:K46 J112:K113 J72:K72 J67:K67 J30:K31" name="区域1_3_4_1"/>
    <protectedRange sqref="B79:B90" name="区域1_3_4_2_1"/>
    <protectedRange sqref="B91:B92" name="区域1_1_1_2"/>
    <protectedRange sqref="AI487 AI112 AI114 AI462:AI463 AI480:AI481 AI484:AI485 AJ466:AJ530 AI48:AJ110 Z25:AD32 AE25:AJ28 AE31:AI31 AE32:AG32 AE34:AJ34 AE35:AG35 AE36:AJ36 AE37:AG38 Z34:AD47 AE40:AJ42 AE43:AG43 AE44:AJ44 AE45:AG45 AE46:AJ46 AE47:AG47 Z64:AG65 Z480:AH480 AE29:AI29 AI465:AJ465" name="区域1_3_4_5"/>
    <protectedRange sqref="Z52:AH53" name="区域1_3_4_5_2_1"/>
    <protectedRange sqref="Z48:AH48" name="区域1_3_4_2_16_1"/>
    <protectedRange sqref="C115:C128" name="区域1_3_4_1_1"/>
    <protectedRange sqref="BB139:BC139" name="区域1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47:B148" name="区域1_2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49:C149 C152" name="区域1_27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4" name="区域1_16_1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7:F148" name="区域1_2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9" name="区域1_27_3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50:F151" name="区域1_27_3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44:H144 J144:K144" name="区域1_16_1_3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47:H148 J147:K148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49:H149 J149:K149" name="区域1_27_3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50:H151 J150:K151" name="区域1_27_3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44" name="区域1_16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47:L148" name="区域1_27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49" name="区域1_27_3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50:L151" name="区域1_27_3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44" name="区域1_16_1_3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47:M148" name="区域1_27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49" name="区域1_27_3_1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50:M151" name="区域1_27_3_1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N141:N144" name="区域1_10_1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N145:N146" name="区域1_10_1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N148" name="区域1_10_1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N149" name="区域1_10_1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N150:N151" name="区域1_10_1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44" name="区域1_16_1_3_1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47:P148" name="区域1_27_2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49" name="区域1_27_3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50:P151" name="区域1_27_3_2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144" name="区域1_16_1_3_1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149" name="区域1_27_3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V144:AG144" name="区域1_16_1_3_1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V147:AG148" name="区域1_27_2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V150:AJ150 V151:AI151" name="区域1_27_3_3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181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H314 H165 H181 H266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J182:K182 G182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H488 H160 H204 H342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H218:H220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80:F183 F558 F613:F614 F561:F575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80:F183 F558 D180:D182 G515:H515 F613:F614 F561:F575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15:H515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60 D160 F160:G160 J160:M160" name="区域1_15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60 D160 H358 F160:G160 J160:M160" name="区域1_2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61:B162 F161:H162 J161:M162" name="区域1_15_2_1_1_2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161:D162" name="区域1_1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64 D164 F164 H167 H177 H209 H164 J164:M164" name="区域1_18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65 D165 F165:G165 J165:M165" name="区域1_10_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167 F167 J167:K167" name="区域1_13_5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67 L167:M167" name="区域1_1_13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N181:N182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N160" name="区域1_10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N161:N162" name="区域1_15_2_1_1_2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60:Q160" name="区域1_15_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60:Q160" name="区域1_27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61:Q162" name="区域1_15_2_1_1_2_1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64:Q164" name="区域1_18_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65:Q165" name="区域1_10_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67:Q167" name="区域1_1_14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180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180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160" name="区域1_15_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160" name="区域1_27_3_2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161:R162" name="区域1_15_2_1_1_2_1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246:C262 H251 H246 C264:C265" name="区域1_3_4_1_2"/>
    <protectedRange sqref="B246 D246:G246 P246:Q246 L246:N246 AI256 AZ246:BN246 AX246:AX265 AX367:AX369 AX328:AX354 AI247:AJ255 AI494:AI499 V246:AW246 AI257:AJ263 AX356:AX365" name="区域1_3_4_1_3_1_1"/>
    <protectedRange sqref="O246" name="区域1_3_4_2_3_1_2"/>
    <protectedRange sqref="B247 D247:G247 P247:Q247 L247:N247 AZ247:BN247 AK247:AW247 V247:AG247" name="区域1_3_4_5_1_1"/>
    <protectedRange sqref="O247" name="区域1_3_4_2_3_1_3"/>
    <protectedRange sqref="L248:R250 B248:B251 AZ248:BN251 AK248:AW251 V248:AD251 AE248:AG250 AE251:AH251 L251:Q251" name="区域1_3_4_4_1_1"/>
    <protectedRange sqref="D251 G253 E251:E253 D248:E250" name="区域1_3_4_2_2_2_2"/>
    <protectedRange sqref="P252:Q253 G252 M252:M253" name="区域1_3_4_3_2_1_1"/>
    <protectedRange sqref="N252:O253" name="区域1_3_1_3_1_1_1_1"/>
    <protectedRange sqref="F252:F253" name="区域1_1_17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V252:AG253" name="区域1_3_4_1_1_1_1_1"/>
    <protectedRange sqref="AQ255:AS256 AK254:AO256 AQ254:AW254 AU255:AW256 AZ254:BA256" name="区域1_3_4_6"/>
    <protectedRange sqref="E255:E256 M254:M256 P254:Q256 D254:F254 V254:AG254" name="区域1_3_4_1_4"/>
    <protectedRange sqref="AQ257:AS257 AK257:AO259 AQ258:AW259 AU257:AW257 AZ257:BA259" name="区域1_3_4_7"/>
    <protectedRange sqref="M257:M259 P257:Q259 E257:E259 V258:AG259" name="区域1_3_4_1_5"/>
    <protectedRange sqref="AQ260:AS261 AK260:AO261 AU260:AW261 AZ260:BA261" name="区域1_3_4_8"/>
    <protectedRange sqref="E261 M260:M261" name="区域1_3_4_1_6"/>
    <protectedRange sqref="P261:Q261" name="区域1_3_4_8_1_1"/>
    <protectedRange sqref="P260:Q260" name="区域1_3_4_1_1_2_2_1_1"/>
    <protectedRange sqref="R261" name="区域1_3_4_9_1_1"/>
    <protectedRange sqref="R260" name="区域1_3_4_1_7_1_1"/>
    <protectedRange sqref="G338:H338 G340 J338:K340" name="区域1_1_1_22_1"/>
    <protectedRange sqref="R414 P439:P443 R439:R442" name="区域1_1_5_3_1"/>
    <protectedRange sqref="Q420:R420 M422:O422 D432:H433 D439:F439 L439:O439 BD433:BF433 BH433:BO433 BN424:BO424 D434:F435 M416:O416 L415:M415 N414:O414 L406:L407 BB406:BC407 D419:H424 B408 B401:B402 D408:F408 P414:Q415 P438 BE413:BO415 L427:O430 P416:R417 BH438:BI440 D401:E402 AZ424:BG424 AZ402:BG402 AZ416:BO423 D417:F418 L408:R408 AZ401:BO401 AZ408:BO408 AX431:AX432 AW431:AW433 E414:F415 L410 BH443:BI443 BB412:BC412 AZ410:BC410 AZ425:BO432 L434:O435 P421:R422 Q438:Q443 AZ438:BA443 B425:B443 L417:O418 AZ434:BO437 G401:H401 AZ403:BC405 V454:W454 AZ413:BC415 AK405:AX405 AW438:AX443 AX410 AX408 AW403:AX404 D444 AX401:AX402 AW434:AX436 J414:L414 E441:H442 AZ450:BC453 AK450:AX453 G402 E440:G440 E443:G443 D426:H426 D425:G425 D446:D453 AK401:AV404 AK438:AT443 AK431:AV436 AK437:AX437 AK408:AV408 AK413:AX430 G519 H524 B413:B423 AE401:AG401 V401:AD405 V408:AG408 V413:AG443 V450:AD453 P418:Q419 P424:R437 P423:Q423 D427:F431 J422:K422 J431:O433 G444:H444 J419:O421 D413:H413 E416:H416 D436:H438 J401:R402 J440:O443 J423:O426 J444:K444 J413:R413 J416:K416 J436:O438" name="区域1_3_4_5_1"/>
    <protectedRange sqref="R399:R400 P420 P399:P400 R415 R403:R405" name="区域1_1_5_1_3_1"/>
    <protectedRange sqref="BG399:BI400 V394:W395 L422 Q399:Q400 G408 BH402:BO402 BH424:BM424 BJ406:BO407 N415:O415 M414 D416 B394 B397:B400 AW401 L397 L398:Q398 D399:E400 P394:R395 E397 G410 AZ399:BA400 R443 AZ397:BM397 D394:H396 D398:F398 L444:R444 E444:F444 E403:E404 AZ449:BC449 F399:F404 AZ444:BM444 AZ394:BO396 B403:B405 AE402:AG405 L403:Q405 E405:F405 R454 AX395:AX396 AW397:AX397 AW400:AX400 AX399 J408:K408 J410:K410 B444 L453:R453 L446:R450 E446:F453 AZ446:BM448 B446:B453 AK400:AS400 AK399:AT399 AK395:AV397 AK444:AX444 AK446:AX449 AK394:AX394 AD394:AD395 V396:AD397 AE394:AG397 V399:AG400 V444:AG444 V446:AD449 AE446:AG453 N397:R397 P396:Q396 L451:Q452 J394:O394 J395:M396 G415:H415 G417:H417 G399:H400 J415:K415 J417:K417 J399:O400" name="区域1_3_4_1_3_1"/>
    <protectedRange sqref="D380:E381 F381 R398 D397 L416 T408 F397:H397 AZ433:BC433 B378:C381 M397 BB400 T375:T386 AW395:AW396 AW399 AW402 AW408 B375:B377 N395:O396 AW410 D386:F386 G380:H381 B384:E385 AZ375:BO386 T413:T444 G398:H398 AZ391:BC393 B386 P375:R376 AX433 D375:H379 G384:H386 G403:H405 G406:G407 H354 B382:H382 C397:C444 R452 T446:T454 C446:C453 T388:T405 B388:B393 AZ388:BO390 H347 G84:H84 G462:H463 B383:G383 AK375:AX386 AK388:AX393 C520 V375:AG386 V388:AG393 P378:R383 P377:Q377 P385:R386 P384:Q384 R458 D388:H393 G411:H412 G427:H431 G418:H418 G434:H435 G439:H439 J397:K398 J403:K407 J427:K430 J375:O386 J389:R389 J388:Q388 J393:R393 J390:Q392 G446:H453 J418:K418 J434:K435 J439:K439 J446:K453" name="区域1_3_4_2_3_1"/>
    <protectedRange sqref="D406:D407" name="区域1_3_4_3_1_1"/>
    <protectedRange sqref="P406:R407 M406:M407 BD406:BI407 B406:B407 E406:F407 AZ406:BA407 AK406:AX407 V406:AG407" name="区域1_3_4_1_1_2_1"/>
    <protectedRange sqref="N406:O407 T406:T407 N411:O411" name="区域1_3_4_2_1_2_1"/>
    <protectedRange sqref="D403:D405" name="区域1_3_4_1_2_1_1"/>
    <protectedRange sqref="BD413:BD415 D414:D415 M410:O410 L409:O409 AZ409:BO409 BD410:BO410 AZ412:BA412 BD412:BO412 L412:O412 D409:F412 P409:R412 B409:B412 L411:M411 D440:D443 AZ411:BO411 AK410:AV410 AK409:AX409 AK411:AX412 V409:AG412" name="区域1_3_4_4_1_1_1"/>
    <protectedRange sqref="J411:K412 G414:H414 G409:H409 J409:K409" name="区域1_3_4_1_1_1_1_1_1"/>
    <protectedRange sqref="T409:T412" name="区域1_3_4_2_1_1_1_1"/>
    <protectedRange sqref="C375:C377 C454 C386 C388:C396" name="区域1_3_4_2_3_1_43"/>
    <protectedRange sqref="P454" name="区域1_1_1_7_1_1_1"/>
    <protectedRange sqref="AW454" name="区域1_1_1_20_1_1_2"/>
    <protectedRange sqref="BA455:BA456 H383 V455:AD456 G456:H456 J456:K456" name="区域1_3_4_5_1_1_1"/>
    <protectedRange sqref="P456 R455:R456 AE455:AG456" name="区域1_3_4_1_3_1_1_1"/>
    <protectedRange sqref="C455:C456 T455:T456 G455:H455 J455:K455" name="区域1_3_4_2_3_1_1"/>
    <protectedRange sqref="D455:D456" name="区域1_3_4_1_2_1_1_1"/>
    <protectedRange sqref="P455" name="区域1_1_1_7_1_1_1_1"/>
    <protectedRange sqref="AW455:AW456" name="区域1_1_1_20_1_1_1_1"/>
    <protectedRange sqref="G457 G491" name="区域1_13_6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458 C458" name="区域1_3_4"/>
    <protectedRange sqref="C459 G459" name="区域1_3_4_9"/>
    <protectedRange sqref="E460 C460" name="区域1_3_4_10"/>
    <protectedRange sqref="E466:F466 E263" name="区域1_2_5_1_1_1"/>
    <protectedRange sqref="BO366:BR366" name="区域1_1_5_1"/>
    <protectedRange sqref="O445 Q445:R445 AK445:AX445 AZ445:BB445 V445:AG445" name="区域1_3_4_1_3_1_2"/>
    <protectedRange sqref="T445" name="区域1_3_4_2_3_1_4"/>
    <protectedRange sqref="D445" name="区域1_3_4_5_1_3"/>
    <protectedRange sqref="E445:F445 B445 L445:N445" name="区域1_3_4_1_3_1_5"/>
    <protectedRange sqref="C445 G517:H517 G445:H445 J445:K445" name="区域1_3_4_2_3_1_5"/>
    <protectedRange sqref="P445" name="区域1_3_4_1_3_1_6"/>
    <protectedRange sqref="B387 T387 AK387:AO387 V387:AG387 D387:H387 J387:Q387" name="区域1_3_4_2_3_1_6"/>
    <protectedRange sqref="C387" name="区域1_3_4_2_3_1_43_1"/>
    <protectedRange sqref="O478:Q478 AK478:AO478 V478:AG478" name="区域1_3_4_1_3_1_3"/>
    <protectedRange sqref="T478" name="区域1_3_4_2_3_1_7"/>
    <protectedRange sqref="B478 L478 N478 E478:F478" name="区域1_3_4_1_3_1_2_1"/>
    <protectedRange sqref="M478 C478:D478 G478:H478 J478:K478" name="区域1_3_4_2_3_1_2_1"/>
    <protectedRange sqref="R478" name="区域1_3_4_1_3_1_4"/>
    <protectedRange sqref="AK479:AO479 V479:AG479" name="区域1_3_4_5_1_2"/>
    <protectedRange sqref="R479" name="区域1_1_5_1_3_1_3"/>
    <protectedRange sqref="O479:Q479" name="区域1_3_4_1_3_1_7"/>
    <protectedRange sqref="T479" name="区域1_3_4_2_3_1_8"/>
    <protectedRange sqref="B479 E479:F479 L479:N479" name="区域1_3_4_1_3_1_3_1"/>
    <protectedRange sqref="C479 G479:H479 J479:K479" name="区域1_3_4_2_3_1_3_1"/>
    <protectedRange sqref="D479" name="区域1_3_4_1_2_1_1_2"/>
    <protectedRange sqref="E482 C482" name="区域1_3_4_11"/>
    <protectedRange sqref="G482" name="区域1_3_4_12"/>
    <protectedRange sqref="AC482" name="区域1_3_4_13"/>
    <protectedRange sqref="C483" name="区域1_3_4_14"/>
    <protectedRange sqref="G483" name="区域1_3_4_15"/>
    <protectedRange sqref="AC483" name="区域1_3_4_16"/>
    <protectedRange sqref="E484:E490 C484:C490" name="区域1_3_4_17"/>
    <protectedRange sqref="AA492" name="区域1_1_1_9_1_6"/>
    <protectedRange sqref="D493" name="区域1_27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S327" name="区域1_1_5"/>
    <protectedRange sqref="BN327:BS327" name="区域1_1_5_1_1"/>
    <protectedRange sqref="S355" name="区域1_1_5_1_2"/>
    <protectedRange sqref="S523:S524" name="区域1_1_5_1_3"/>
    <protectedRange sqref="D535" name="区域1_10_1_3_1_2_1"/>
    <protectedRange sqref="E537:F537 C537" name="区域1_3_4_18"/>
    <protectedRange sqref="G538" name="区域1_13_6_1_3_1_1_1"/>
    <protectedRange sqref="G539" name="区域1_13_6_1_3_1_1_2"/>
    <protectedRange sqref="G540" name="区域1_3_4_3_2_2"/>
    <protectedRange sqref="G541 G543" name="区域1_3_4_19"/>
    <protectedRange sqref="G542 G544" name="区域1_3_4_20"/>
    <protectedRange sqref="AE542:AG542" name="区域1_3_4_21"/>
    <protectedRange sqref="AE543:AG543" name="区域1_3_4_23"/>
    <protectedRange sqref="AE544:AG544" name="区域1_3_4_25"/>
    <protectedRange sqref="G545" name="区域1_3_4_26"/>
    <protectedRange sqref="AE546:AG546" name="区域1_3_4_27"/>
    <protectedRange sqref="G547:G548" name="区域1_3_4_28"/>
    <protectedRange sqref="AE547:AG548" name="区域1_3_4_29"/>
    <protectedRange sqref="G549" name="区域1_3_4_30"/>
    <protectedRange sqref="G550" name="区域1_3_4_31"/>
    <protectedRange sqref="AE550:AG550" name="区域1_3_4_32"/>
    <protectedRange sqref="G551" name="区域1_3_4_33"/>
    <protectedRange sqref="AE551:AG551" name="区域1_3_4_34"/>
    <protectedRange sqref="G552" name="区域1_3_4_35"/>
    <protectedRange sqref="AE552:AG552" name="区域1_3_4_36"/>
    <protectedRange sqref="G553" name="区域1_3_4_37"/>
    <protectedRange sqref="AE553:AG553" name="区域1_3_4_38"/>
    <protectedRange sqref="G554" name="区域1_3_4_39"/>
    <protectedRange sqref="AE554:AG554" name="区域1_3_4_40"/>
    <protectedRange sqref="G555" name="区域1_3_4_41"/>
    <protectedRange sqref="AE555:AI555" name="区域1_3_4_3_3"/>
    <protectedRange sqref="AE555:AG555" name="区域1_3_4_42"/>
    <protectedRange sqref="G556" name="区域1_3_4_43"/>
    <protectedRange sqref="AE556:AG556" name="区域1_3_4_44"/>
    <protectedRange sqref="G557" name="区域1_3_4_45"/>
    <protectedRange sqref="AE557:AG557" name="区域1_3_4_46"/>
    <protectedRange sqref="AE39:AF39" name="区域1_3_4_47"/>
    <protectedRange sqref="G33" name="区域1_3_4_48"/>
    <protectedRange sqref="AE33:AG33" name="区域1_3_4_49"/>
    <protectedRange sqref="AE30:AG30" name="区域1_3_4_50"/>
  </protectedRanges>
  <autoFilter ref="A1:BW614" xr:uid="{3477E3C7-C936-43E3-AECA-BAF65509F08B}"/>
  <phoneticPr fontId="2" type="noConversion"/>
  <dataValidations count="31">
    <dataValidation type="list" allowBlank="1" showInputMessage="1" showErrorMessage="1" sqref="AM254:AM261" xr:uid="{2B262654-66A4-46B5-841A-B283F1B247DB}">
      <formula1>INDIRECT($AL254)</formula1>
    </dataValidation>
    <dataValidation type="date" allowBlank="1" showInputMessage="1" showErrorMessage="1" errorTitle="提示" error="请输入正确日期格式_x000a_如: 2024-3-1" promptTitle="提示" prompt="请输入正确日期格式_x000a_如: 2024-3-1" sqref="BI140:BM156 BI328:BM329 BI362:BM362 BI337:BM337 BI333:BM334 BI356:BM358 BI365:BM365 BI367:BM369 BH366:BL366 BI131:BM134 BG327:BK327 BG523:BK524" xr:uid="{C6B53579-2A97-46C0-9DC6-EA071414000D}">
      <formula1>44927</formula1>
      <formula2>54789</formula2>
    </dataValidation>
    <dataValidation type="list" allowBlank="1" showInputMessage="1" showErrorMessage="1" sqref="AW167 AW175:AW186 AW493 AW129:AW165" xr:uid="{61CFD222-4841-4A0D-BF19-A48F52518414}">
      <formula1>"Alex,Axel,Harry,Josh,Pedro,Rubin,Serge,Tom,Torres,Bill"</formula1>
    </dataValidation>
    <dataValidation type="list" allowBlank="1" showInputMessage="1" showErrorMessage="1" sqref="AX175:AX186 AX167 AX493 AX129:AX165" xr:uid="{BBB91A57-E439-4EDD-A4AC-05A7DA2D7E41}">
      <formula1>"1部,2部,3部,深圳"</formula1>
    </dataValidation>
    <dataValidation type="list" errorStyle="information" allowBlank="1" showInputMessage="1" showErrorMessage="1" sqref="F180:F183 F160:F167 F613:F614 F141:F158 F558 F561:F575" xr:uid="{7C148302-028D-4661-88E4-CC28323B6BFA}">
      <formula1>"Shu,Ju,Yao,ZX,Chen,Ma"</formula1>
    </dataValidation>
    <dataValidation type="list" errorStyle="information" allowBlank="1" showInputMessage="1" showErrorMessage="1" sqref="E493 E521 E508 E514 E558:E575 E613:E614 E129:E186" xr:uid="{06821D3F-D47D-48C8-9921-81AECD5EFCAC}">
      <formula1>"Harry,Nicole,Pedro,Tom,Torres,Ricky,Bill"</formula1>
    </dataValidation>
    <dataValidation type="list" errorStyle="information" allowBlank="1" showInputMessage="1" showErrorMessage="1" sqref="E260 E480 E482:E490 E537 E459 E526 E25:E38 E40:E114" xr:uid="{7F837224-B367-47BB-ACD8-0D48A30993BB}">
      <formula1>"Harry,Nicole,Pedro,Tom,Torres,Will,Elon,Yinan,Freya,Alex,Stephen"</formula1>
    </dataValidation>
    <dataValidation type="list" errorStyle="information" allowBlank="1" showInputMessage="1" showErrorMessage="1" sqref="E366 E266:E267 E327 E355 E523:E524 E545:E546 E187:E191 F187:F189 F192:F245" xr:uid="{F551432E-AE99-46F4-87C7-84A71CAF05DA}">
      <formula1>"Harry,Nicole,Pedro,Tom,Torres,Ricky"</formula1>
    </dataValidation>
    <dataValidation type="whole" allowBlank="1" showInputMessage="1" showErrorMessage="1" sqref="BE327:BK327 BE523:BK524 BG1:BM1" xr:uid="{2D47E310-A065-4171-80C5-CE5C4E96ED09}">
      <formula1>0</formula1>
      <formula2>100000</formula2>
    </dataValidation>
    <dataValidation type="list" errorStyle="information" allowBlank="1" showInputMessage="1" showErrorMessage="1" sqref="AW1" xr:uid="{7DBC86B6-3B26-4EB0-A367-7645044EE90A}">
      <formula1>"Alex,Ant,Axel,Harry,Josh,Pedro,Rubin,Serge,Tom,Torres"</formula1>
    </dataValidation>
    <dataValidation type="list" errorStyle="information" allowBlank="1" showInputMessage="1" showErrorMessage="1" sqref="F470:F471 F466 E522" xr:uid="{ED27B73F-63AB-43CA-B913-03CF05E41A8C}">
      <formula1>"Harry,Nicole,Pedro,Tom,Torres"</formula1>
    </dataValidation>
    <dataValidation type="list" errorStyle="information" allowBlank="1" showInputMessage="1" showErrorMessage="1" sqref="F309 F266:F271 F273:F296" xr:uid="{7823B368-B397-405D-809D-F0CA25A774C3}">
      <formula1>"Shu,Ju,Yao,ZX"</formula1>
    </dataValidation>
    <dataValidation type="list" allowBlank="1" showInputMessage="1" showErrorMessage="1" sqref="N181:N182 N263 N141:N167" xr:uid="{9E4CBB4A-A61C-4953-88DB-E46F0E19AC35}">
      <formula1>"评估,送样,小批量,批量"</formula1>
    </dataValidation>
    <dataValidation type="list" allowBlank="1" showInputMessage="1" showErrorMessage="1" sqref="AZ246:AZ247" xr:uid="{417BB400-F0BF-4494-BE30-6676AE5B73B7}">
      <formula1>INDIRECT(#REF!)</formula1>
    </dataValidation>
    <dataValidation type="list" allowBlank="1" showInputMessage="1" showErrorMessage="1" sqref="AO254:AO261" xr:uid="{EBFFF74E-2744-4E50-A23E-E3ABDAF53A08}">
      <formula1>INDIRECT($AN254)</formula1>
    </dataValidation>
    <dataValidation type="list" allowBlank="1" showInputMessage="1" showErrorMessage="1" sqref="AN254:AN261" xr:uid="{1A71108B-CBE3-493F-BEF5-3AF8A79666E3}">
      <formula1>INDIRECT($AM254)</formula1>
    </dataValidation>
    <dataValidation type="whole" allowBlank="1" showInputMessage="1" showErrorMessage="1" sqref="M14:M16 N457 M18:M21" xr:uid="{83D3BC80-69D4-424F-893A-B4DA0FB09DDA}">
      <formula1>0</formula1>
      <formula2>10000000000</formula2>
    </dataValidation>
    <dataValidation allowBlank="1" showInputMessage="1" showErrorMessage="1" promptTitle="提示" prompt="没有竞争对手填写&quot;无&quot;_x000a_不知道竞争对手型号写&quot;N/A&quot;" sqref="P14:P16 P454:P455 P18:P22" xr:uid="{70C23FAD-B18E-474E-8429-FE6F26013EEB}"/>
    <dataValidation type="list" allowBlank="1" showInputMessage="1" showErrorMessage="1" sqref="BA388:BA453 BA140:BA178 BA2:BA24 BA375:BA386 BA251 BA246:BA247 BA138 BA129:BA130 BA180:BA186 BA455:BA456 BA266:BA326" xr:uid="{23B0D838-139A-4A3D-BC3B-CAE13C1BD13E}">
      <formula1>INDIRECT($AZ2)</formula1>
    </dataValidation>
    <dataValidation type="list" allowBlank="1" showInputMessage="1" showErrorMessage="1" sqref="BC384:BC386 BC2:BC24 BC266:BC316 BC251 BC446:BC456 BC375:BC380 BC389:BC444" xr:uid="{99FDA582-647A-497D-84EF-38F1D38DBDD6}">
      <formula1>INDIRECT($BB2)</formula1>
    </dataValidation>
    <dataValidation type="whole" allowBlank="1" showInputMessage="1" showErrorMessage="1" sqref="AP7:AV7 AP9:AV9 X389:Y393 AP269:AV269 AM478:AO478 AP271:AV271 AP388:AS397 AA389:AA393 AA384:AB385 AF384 AL388:AV393 V269:AA269 V386:AC387 AM386:AO397 AT379:AV387 AP379:AS386 V271:AG271" xr:uid="{DACEAE7A-C900-42C3-B488-6366293818A9}">
      <formula1>0</formula1>
      <formula2>9</formula2>
    </dataValidation>
    <dataValidation type="list" allowBlank="1" showInputMessage="1" showErrorMessage="1" sqref="BB388:BB456 BB140:BB178 BB2:BB24 BB375:BB386 BB251 BB246:BB247 BB138 BB129:BB130 BB180:BB186 BB266:BB326" xr:uid="{987E55D4-8DC4-4B7E-89DF-9652DE20D801}">
      <formula1>INDIRECT($BA2)</formula1>
    </dataValidation>
    <dataValidation type="whole" allowBlank="1" showInputMessage="1" showErrorMessage="1" promptTitle="提示" prompt="请输入数字" sqref="BO7:BO9 BN366 BO140:BO156 BN247 BA254:BA261 BO268:BO271 BO273:BO292 BO328:BO329 BO362 BO337 BO333:BO334 BO356:BO358 BM523:BM524 BO408:BO432 BO401 BO436:BO437 BO365 BO367:BO369 BO375:BO386 BO388:BO397 BO309 BO131:BO134 BM327 BO11:BO19" xr:uid="{13F30499-0C48-476C-8121-62CB132F9315}">
      <formula1>0</formula1>
      <formula2>10000000</formula2>
    </dataValidation>
    <dataValidation type="whole" allowBlank="1" showInputMessage="1" showErrorMessage="1" promptTitle="提示" prompt="请输入整数" sqref="BG7:BM9 BE523:BF524 BG140:BM148 BG150:BM156 BH246:BL246 BF247:BL247 BI251:BM251 BG268:BM271 BG273:BM292 BG328:BM329 BG362:BH362 BG331:BM337 BG356:BH358 AS254:AW261 AE417:AG417 BG432:BM432 AO400:AT400 BI424:BM425 BI434:BM434 BI408 AG409:AG411 AE409:AE411 AE413 BD388:BD397 BF366:BG366 BI406:BM407 AK450:AR453 AM399 BI415:BI423 BG402:BH402 AP401:AR402 BF401:BF402 AM400:AO402 BG129:BM134 AK438:AM443 AF408:AF411 BI438:BI440 BI443 BG413:BH425 AK399:AL402 BF413:BF417 BI409:BK416 BJ408:BM423 BF406:BH412 AK403:AR417 AP438:AR443 BG375:BM385 AP399:AU399 AF413:AF415 BI398:BM402 BI446:BM448 BG365:BH365 BG367:BH369 BI444:BM444 BD386 BF386:BM386 BF388:BM397 AK479:AO479 BG309:BM309 AE406:AG407 AG400 AG413 BE327:BF327 BG11:BM19" xr:uid="{82A7B359-9B25-4AE7-A221-16482F6D4A87}">
      <formula1>0</formula1>
      <formula2>100000</formula2>
    </dataValidation>
    <dataValidation errorStyle="information" allowBlank="1" showInputMessage="1" showErrorMessage="1" sqref="BD10:BO10 L406:L407 B99:B100 L402 B126:B128 BD153:BO153 BD135:BO137 B174 B172 F255:F261 B271 L271 BD272:BO272 B276 L276 B359:B361 BD359:BO361 B406:B407 B402 F79:F91 F93:F114" xr:uid="{EC1EB539-9772-4323-90C4-8B62AD65AD7F}"/>
    <dataValidation type="list" allowBlank="1" showInputMessage="1" showErrorMessage="1" sqref="N15 P7:P12 BN149:BO149 BN138:BO139 BL523:BM524 N18:N24 BN363:BO364" xr:uid="{5BD886F2-9C7B-4D5B-BA95-2EEADF41CDE0}">
      <formula1>"评估,送样,样品测试完成,DV,PV,量产,项目关闭,项目丢失"</formula1>
    </dataValidation>
    <dataValidation type="list" allowBlank="1" showInputMessage="1" showErrorMessage="1" sqref="AX246:AX267 AK254:AK261 AW246:AW247 AU450:AV453 AU401:AV417 AU388:AV397 AZ454:AZ456 AW445:AX445 AW366 AW438:AW444 AW446:AW453 AU386:AV386 AW375:AW386 AW388:AW433 AV327 AV355 AV523:AV524" xr:uid="{9AE70C6F-68B6-401A-AD0A-C8D07A0E7957}">
      <formula1>"1部,2部,3部"</formula1>
    </dataValidation>
    <dataValidation type="list" allowBlank="1" showInputMessage="1" showErrorMessage="1" sqref="N10 N457 N126:N140 N258:O259 N252:O253 N16:N17 N266:N342 M366 N522:N524 N187:N193 N168:N177 N344:N369" xr:uid="{241DDE92-C4E4-4EC2-848F-5A10D6BFEEDF}">
      <formula1>"评估,送样,小批量,批量,终止"</formula1>
    </dataValidation>
    <dataValidation allowBlank="1" showInputMessage="1" showErrorMessage="1" promptTitle="提示" prompt="请填写&quot;工商注册全称&quot;" sqref="B7:B12 B14:B16 M7:M10 B3 B523:B525 B48 B64:B71 B545:B546 B126:B128 BD149:BM149 BD138:BM139 C154 C152 C145 B171:B173 C132:C133 B131:B133 C181 B145:B151 B138:B141 C149 C130 B184 B251 B260:B261 B246:B247 B266:B270 B272:B275 B277:B294 B309 B327:B329 B337 B333:B334 B356:B358 B460 C426:C456 B432:B457 B18:B23 B478:C479 B491:B492 B375:C425 C520 BB523:BK524 D18:D23 B187:B193 B538:B540 B76:B105 B175 B160 B362:B369 BD363:BM364" xr:uid="{FF56FF43-F3A8-4BCB-AF30-DAB045D762F3}"/>
    <dataValidation type="list" errorStyle="information" allowBlank="1" showInputMessage="1" showErrorMessage="1" sqref="E445 E387 E478:E479" xr:uid="{4BC28355-0658-44B9-A162-383CACF3663D}">
      <formula1>"Harry,Nicole,Pedro,Tom,Torres,Will,Elon,Yinan,Freya,Alex"</formula1>
    </dataValidation>
    <dataValidation type="list" allowBlank="1" showInputMessage="1" showErrorMessage="1" sqref="AZ445" xr:uid="{3FE41555-CC90-41B3-9AEF-8D332C13444B}">
      <formula1>INDIRECT($AY445)</formula1>
    </dataValidation>
  </dataValidations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32C-4048-4381-8DC1-2D6DA0724099}">
  <dimension ref="A1:BV126"/>
  <sheetViews>
    <sheetView workbookViewId="0">
      <selection activeCell="D17" sqref="D17"/>
    </sheetView>
  </sheetViews>
  <sheetFormatPr defaultRowHeight="13.8" x14ac:dyDescent="0.25"/>
  <cols>
    <col min="1" max="1" width="7.33203125" bestFit="1" customWidth="1"/>
    <col min="2" max="2" width="47" bestFit="1" customWidth="1"/>
    <col min="3" max="3" width="10.44140625" bestFit="1" customWidth="1"/>
    <col min="4" max="4" width="32.44140625" bestFit="1" customWidth="1"/>
    <col min="5" max="5" width="11.77734375" bestFit="1" customWidth="1"/>
    <col min="6" max="6" width="13.109375" bestFit="1" customWidth="1"/>
    <col min="7" max="7" width="19" bestFit="1" customWidth="1"/>
    <col min="8" max="8" width="33.6640625" bestFit="1" customWidth="1"/>
    <col min="9" max="10" width="7.33203125" bestFit="1" customWidth="1"/>
    <col min="11" max="11" width="34.88671875" bestFit="1" customWidth="1"/>
    <col min="12" max="12" width="15.33203125" bestFit="1" customWidth="1"/>
    <col min="13" max="13" width="8.21875" bestFit="1" customWidth="1"/>
    <col min="14" max="14" width="59.21875" bestFit="1" customWidth="1"/>
    <col min="15" max="15" width="17.77734375" bestFit="1" customWidth="1"/>
    <col min="16" max="16" width="13.109375" bestFit="1" customWidth="1"/>
    <col min="17" max="17" width="14.109375" bestFit="1" customWidth="1"/>
    <col min="18" max="18" width="22.44140625" bestFit="1" customWidth="1"/>
    <col min="19" max="19" width="16.21875" bestFit="1" customWidth="1"/>
    <col min="20" max="23" width="14.109375" bestFit="1" customWidth="1"/>
    <col min="24" max="24" width="11.6640625" bestFit="1" customWidth="1"/>
    <col min="25" max="28" width="12.88671875" bestFit="1" customWidth="1"/>
    <col min="29" max="29" width="14.88671875" bestFit="1" customWidth="1"/>
    <col min="30" max="34" width="13.21875" bestFit="1" customWidth="1"/>
    <col min="35" max="44" width="11.6640625" bestFit="1" customWidth="1"/>
    <col min="45" max="47" width="13.21875" bestFit="1" customWidth="1"/>
    <col min="48" max="48" width="6.88671875" bestFit="1" customWidth="1"/>
    <col min="49" max="49" width="10.109375" bestFit="1" customWidth="1"/>
    <col min="50" max="50" width="20.33203125" bestFit="1" customWidth="1"/>
    <col min="51" max="51" width="17.5546875" bestFit="1" customWidth="1"/>
    <col min="52" max="52" width="13.109375" bestFit="1" customWidth="1"/>
    <col min="53" max="53" width="14.77734375" bestFit="1" customWidth="1"/>
    <col min="54" max="54" width="20.33203125" bestFit="1" customWidth="1"/>
    <col min="55" max="55" width="17.5546875" bestFit="1" customWidth="1"/>
    <col min="56" max="57" width="7.33203125" bestFit="1" customWidth="1"/>
    <col min="58" max="58" width="13.109375" bestFit="1" customWidth="1"/>
    <col min="59" max="59" width="11.77734375" bestFit="1" customWidth="1"/>
    <col min="60" max="61" width="7.33203125" bestFit="1" customWidth="1"/>
    <col min="62" max="62" width="13.109375" bestFit="1" customWidth="1"/>
    <col min="63" max="64" width="4.6640625" bestFit="1" customWidth="1"/>
    <col min="65" max="66" width="13.109375" bestFit="1" customWidth="1"/>
    <col min="67" max="70" width="9.5546875" bestFit="1" customWidth="1"/>
    <col min="71" max="74" width="13.88671875" bestFit="1" customWidth="1"/>
  </cols>
  <sheetData>
    <row r="1" spans="1:74" ht="17.399999999999999" x14ac:dyDescent="0.25">
      <c r="A1" s="108" t="s">
        <v>1857</v>
      </c>
      <c r="B1" s="108" t="s">
        <v>1858</v>
      </c>
      <c r="C1" s="108" t="s">
        <v>1859</v>
      </c>
      <c r="D1" s="108" t="s">
        <v>0</v>
      </c>
      <c r="E1" s="108" t="s">
        <v>1</v>
      </c>
      <c r="F1" s="108" t="s">
        <v>2</v>
      </c>
      <c r="G1" s="108" t="s">
        <v>3</v>
      </c>
      <c r="H1" s="108" t="s">
        <v>1860</v>
      </c>
      <c r="I1" s="108" t="s">
        <v>1861</v>
      </c>
      <c r="J1" s="108" t="s">
        <v>1862</v>
      </c>
      <c r="K1" s="108" t="s">
        <v>4</v>
      </c>
      <c r="L1" s="109" t="s">
        <v>5</v>
      </c>
      <c r="M1" s="108" t="s">
        <v>6</v>
      </c>
      <c r="N1" s="108" t="s">
        <v>7</v>
      </c>
      <c r="O1" s="108" t="s">
        <v>8</v>
      </c>
      <c r="P1" s="110" t="s">
        <v>9</v>
      </c>
      <c r="Q1" s="111" t="s">
        <v>10</v>
      </c>
      <c r="R1" s="112" t="s">
        <v>11</v>
      </c>
      <c r="S1" s="113" t="s">
        <v>12</v>
      </c>
      <c r="T1" s="109" t="s">
        <v>13</v>
      </c>
      <c r="U1" s="109" t="s">
        <v>14</v>
      </c>
      <c r="V1" s="109" t="s">
        <v>15</v>
      </c>
      <c r="W1" s="109" t="s">
        <v>16</v>
      </c>
      <c r="X1" s="109" t="s">
        <v>17</v>
      </c>
      <c r="Y1" s="109" t="s">
        <v>18</v>
      </c>
      <c r="Z1" s="109" t="s">
        <v>19</v>
      </c>
      <c r="AA1" s="109" t="s">
        <v>20</v>
      </c>
      <c r="AB1" s="109" t="s">
        <v>21</v>
      </c>
      <c r="AC1" s="112" t="s">
        <v>22</v>
      </c>
      <c r="AD1" s="114" t="s">
        <v>23</v>
      </c>
      <c r="AE1" s="114" t="s">
        <v>24</v>
      </c>
      <c r="AF1" s="114" t="s">
        <v>25</v>
      </c>
      <c r="AG1" s="114" t="s">
        <v>1863</v>
      </c>
      <c r="AH1" s="114" t="s">
        <v>1864</v>
      </c>
      <c r="AI1" s="114" t="s">
        <v>1875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32</v>
      </c>
      <c r="AQ1" s="3" t="s">
        <v>33</v>
      </c>
      <c r="AR1" s="3" t="s">
        <v>34</v>
      </c>
      <c r="AS1" s="3" t="s">
        <v>35</v>
      </c>
      <c r="AT1" s="3" t="s">
        <v>36</v>
      </c>
      <c r="AU1" s="3" t="s">
        <v>37</v>
      </c>
      <c r="AV1" s="2" t="s">
        <v>1865</v>
      </c>
      <c r="AW1" s="2" t="s">
        <v>38</v>
      </c>
      <c r="AX1" s="2" t="s">
        <v>1866</v>
      </c>
      <c r="AY1" s="3" t="s">
        <v>39</v>
      </c>
      <c r="AZ1" s="3" t="s">
        <v>40</v>
      </c>
      <c r="BA1" s="3" t="s">
        <v>41</v>
      </c>
      <c r="BB1" s="3" t="s">
        <v>42</v>
      </c>
      <c r="BC1" s="2" t="s">
        <v>43</v>
      </c>
      <c r="BD1" s="2" t="s">
        <v>44</v>
      </c>
      <c r="BE1" s="2" t="s">
        <v>45</v>
      </c>
      <c r="BF1" s="4" t="s">
        <v>46</v>
      </c>
      <c r="BG1" s="5" t="s">
        <v>47</v>
      </c>
      <c r="BH1" s="5" t="s">
        <v>48</v>
      </c>
      <c r="BI1" s="5" t="s">
        <v>49</v>
      </c>
      <c r="BJ1" s="5" t="s">
        <v>50</v>
      </c>
      <c r="BK1" s="5" t="s">
        <v>51</v>
      </c>
      <c r="BL1" s="5" t="s">
        <v>52</v>
      </c>
      <c r="BM1" s="6" t="s">
        <v>53</v>
      </c>
      <c r="BN1" s="6" t="s">
        <v>54</v>
      </c>
      <c r="BO1" s="7" t="s">
        <v>1867</v>
      </c>
      <c r="BP1" s="7" t="s">
        <v>1868</v>
      </c>
      <c r="BQ1" s="7" t="s">
        <v>1869</v>
      </c>
      <c r="BR1" s="7" t="s">
        <v>1870</v>
      </c>
      <c r="BS1" s="8" t="s">
        <v>1871</v>
      </c>
      <c r="BT1" s="8" t="s">
        <v>1872</v>
      </c>
      <c r="BU1" s="8" t="s">
        <v>1873</v>
      </c>
      <c r="BV1" s="8" t="s">
        <v>1874</v>
      </c>
    </row>
    <row r="2" spans="1:74" ht="17.399999999999999" x14ac:dyDescent="0.25">
      <c r="A2" s="69">
        <v>24</v>
      </c>
      <c r="B2" s="73" t="s">
        <v>710</v>
      </c>
      <c r="C2" s="73" t="s">
        <v>235</v>
      </c>
      <c r="D2" s="71" t="s">
        <v>711</v>
      </c>
      <c r="E2" s="71" t="s">
        <v>712</v>
      </c>
      <c r="F2" s="71" t="s">
        <v>713</v>
      </c>
      <c r="G2" s="86" t="s">
        <v>714</v>
      </c>
      <c r="H2" s="86" t="s">
        <v>715</v>
      </c>
      <c r="I2" s="86"/>
      <c r="J2" s="86"/>
      <c r="K2" s="73" t="s">
        <v>716</v>
      </c>
      <c r="L2" s="80">
        <v>10800000</v>
      </c>
      <c r="M2" s="72" t="s">
        <v>251</v>
      </c>
      <c r="N2" s="73" t="s">
        <v>717</v>
      </c>
      <c r="O2" s="71" t="s">
        <v>718</v>
      </c>
      <c r="P2" s="71">
        <v>0.33</v>
      </c>
      <c r="Q2" s="100">
        <v>0.24</v>
      </c>
      <c r="R2" s="75">
        <v>240000</v>
      </c>
      <c r="S2" s="88"/>
      <c r="T2" s="76">
        <v>1000000</v>
      </c>
      <c r="U2" s="80"/>
      <c r="V2" s="80"/>
      <c r="W2" s="80">
        <v>5000</v>
      </c>
      <c r="X2" s="80">
        <v>6000</v>
      </c>
      <c r="Y2" s="80">
        <v>12000</v>
      </c>
      <c r="Z2" s="80">
        <v>12000</v>
      </c>
      <c r="AA2" s="80">
        <v>12000</v>
      </c>
      <c r="AB2" s="80">
        <v>400000</v>
      </c>
      <c r="AC2" s="77">
        <v>200000</v>
      </c>
      <c r="AD2" s="75">
        <v>200000</v>
      </c>
      <c r="AE2" s="75">
        <v>300000</v>
      </c>
      <c r="AF2" s="75">
        <v>300000</v>
      </c>
      <c r="AG2" s="75">
        <v>300000</v>
      </c>
      <c r="AH2" s="75">
        <v>300000</v>
      </c>
      <c r="AI2" s="75">
        <v>300000</v>
      </c>
      <c r="AJ2" s="3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0" t="s">
        <v>719</v>
      </c>
      <c r="AW2" s="10" t="s">
        <v>689</v>
      </c>
      <c r="AX2" s="10" t="s">
        <v>258</v>
      </c>
      <c r="AY2" s="10" t="s">
        <v>720</v>
      </c>
      <c r="AZ2" s="10" t="s">
        <v>721</v>
      </c>
      <c r="BA2" s="10" t="s">
        <v>722</v>
      </c>
      <c r="BB2" s="10" t="s">
        <v>723</v>
      </c>
      <c r="BC2" s="10"/>
      <c r="BD2" s="10"/>
      <c r="BE2" s="10"/>
      <c r="BF2" s="13">
        <v>2</v>
      </c>
      <c r="BG2" s="10"/>
      <c r="BH2" s="14"/>
      <c r="BI2" s="14"/>
      <c r="BJ2" s="14"/>
      <c r="BK2" s="14"/>
      <c r="BL2" s="14"/>
      <c r="BM2" s="35"/>
      <c r="BN2" s="11"/>
      <c r="BO2" s="16">
        <v>2880</v>
      </c>
      <c r="BP2" s="16">
        <v>2880</v>
      </c>
      <c r="BQ2" s="16">
        <v>2880</v>
      </c>
      <c r="BR2" s="16">
        <v>96000</v>
      </c>
      <c r="BS2" s="17">
        <v>48000</v>
      </c>
      <c r="BT2" s="17">
        <v>48000</v>
      </c>
      <c r="BU2" s="17">
        <v>72000</v>
      </c>
      <c r="BV2" s="17">
        <v>72000</v>
      </c>
    </row>
    <row r="3" spans="1:74" ht="17.399999999999999" x14ac:dyDescent="0.25">
      <c r="A3" s="69">
        <v>25</v>
      </c>
      <c r="B3" s="73" t="s">
        <v>724</v>
      </c>
      <c r="C3" s="73" t="s">
        <v>243</v>
      </c>
      <c r="D3" s="71" t="s">
        <v>725</v>
      </c>
      <c r="E3" s="71" t="s">
        <v>712</v>
      </c>
      <c r="F3" s="86" t="s">
        <v>726</v>
      </c>
      <c r="G3" s="86" t="s">
        <v>277</v>
      </c>
      <c r="H3" s="86" t="s">
        <v>727</v>
      </c>
      <c r="I3" s="86"/>
      <c r="J3" s="86"/>
      <c r="K3" s="86" t="s">
        <v>728</v>
      </c>
      <c r="L3" s="89">
        <v>12000000</v>
      </c>
      <c r="M3" s="73" t="s">
        <v>361</v>
      </c>
      <c r="N3" s="73"/>
      <c r="O3" s="86" t="s">
        <v>729</v>
      </c>
      <c r="P3" s="73"/>
      <c r="Q3" s="103">
        <v>0.12</v>
      </c>
      <c r="R3" s="75">
        <v>0</v>
      </c>
      <c r="S3" s="88"/>
      <c r="T3" s="76">
        <v>0</v>
      </c>
      <c r="U3" s="80">
        <v>1000000</v>
      </c>
      <c r="V3" s="80">
        <v>1000000</v>
      </c>
      <c r="W3" s="80">
        <v>1000000</v>
      </c>
      <c r="X3" s="80">
        <v>0</v>
      </c>
      <c r="Y3" s="80">
        <v>0</v>
      </c>
      <c r="Z3" s="80">
        <v>0</v>
      </c>
      <c r="AA3" s="80">
        <v>0</v>
      </c>
      <c r="AB3" s="80">
        <v>0</v>
      </c>
      <c r="AC3" s="77">
        <v>0</v>
      </c>
      <c r="AD3" s="75">
        <v>0</v>
      </c>
      <c r="AE3" s="75">
        <v>0</v>
      </c>
      <c r="AF3" s="75">
        <v>0</v>
      </c>
      <c r="AG3" s="75">
        <v>0</v>
      </c>
      <c r="AH3" s="75"/>
      <c r="AI3" s="75">
        <v>0</v>
      </c>
      <c r="AJ3" s="33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19" t="s">
        <v>719</v>
      </c>
      <c r="AW3" s="19" t="s">
        <v>689</v>
      </c>
      <c r="AX3" s="19" t="s">
        <v>261</v>
      </c>
      <c r="AY3" s="19" t="s">
        <v>730</v>
      </c>
      <c r="AZ3" s="19" t="s">
        <v>731</v>
      </c>
      <c r="BA3" s="19"/>
      <c r="BB3" s="19"/>
      <c r="BC3" s="19"/>
      <c r="BD3" s="19"/>
      <c r="BE3" s="19"/>
      <c r="BF3" s="24"/>
      <c r="BG3" s="19"/>
      <c r="BH3" s="19"/>
      <c r="BI3" s="19"/>
      <c r="BJ3" s="19"/>
      <c r="BK3" s="19"/>
      <c r="BL3" s="19"/>
      <c r="BM3" s="22"/>
      <c r="BN3" s="22"/>
      <c r="BO3" s="27">
        <v>0</v>
      </c>
      <c r="BP3" s="27">
        <v>0</v>
      </c>
      <c r="BQ3" s="27">
        <v>0</v>
      </c>
      <c r="BR3" s="27">
        <v>0</v>
      </c>
      <c r="BS3" s="28">
        <v>0</v>
      </c>
      <c r="BT3" s="28">
        <v>0</v>
      </c>
      <c r="BU3" s="28">
        <v>0</v>
      </c>
      <c r="BV3" s="28">
        <v>0</v>
      </c>
    </row>
    <row r="4" spans="1:74" ht="17.399999999999999" x14ac:dyDescent="0.25">
      <c r="A4" s="69">
        <v>26</v>
      </c>
      <c r="B4" s="73" t="s">
        <v>732</v>
      </c>
      <c r="C4" s="73" t="s">
        <v>290</v>
      </c>
      <c r="D4" s="71" t="s">
        <v>725</v>
      </c>
      <c r="E4" s="71" t="s">
        <v>712</v>
      </c>
      <c r="F4" s="86" t="s">
        <v>726</v>
      </c>
      <c r="G4" s="86" t="s">
        <v>733</v>
      </c>
      <c r="H4" s="86" t="s">
        <v>734</v>
      </c>
      <c r="I4" s="86"/>
      <c r="J4" s="86"/>
      <c r="K4" s="86" t="s">
        <v>735</v>
      </c>
      <c r="L4" s="89">
        <v>5000000</v>
      </c>
      <c r="M4" s="73" t="s">
        <v>251</v>
      </c>
      <c r="N4" s="73"/>
      <c r="O4" s="86" t="s">
        <v>95</v>
      </c>
      <c r="P4" s="71"/>
      <c r="Q4" s="100">
        <v>0.18</v>
      </c>
      <c r="R4" s="75">
        <v>0</v>
      </c>
      <c r="S4" s="88"/>
      <c r="T4" s="76">
        <v>0</v>
      </c>
      <c r="U4" s="80">
        <v>500000</v>
      </c>
      <c r="V4" s="80">
        <v>500000</v>
      </c>
      <c r="W4" s="80">
        <v>0</v>
      </c>
      <c r="X4" s="80">
        <v>0</v>
      </c>
      <c r="Y4" s="80">
        <v>0</v>
      </c>
      <c r="Z4" s="80">
        <v>0</v>
      </c>
      <c r="AA4" s="80">
        <v>0</v>
      </c>
      <c r="AB4" s="80">
        <v>500000</v>
      </c>
      <c r="AC4" s="77"/>
      <c r="AD4" s="75"/>
      <c r="AE4" s="75"/>
      <c r="AF4" s="75"/>
      <c r="AG4" s="75"/>
      <c r="AH4" s="75"/>
      <c r="AI4" s="75">
        <v>0</v>
      </c>
      <c r="AJ4" s="3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0"/>
      <c r="AW4" s="10" t="s">
        <v>689</v>
      </c>
      <c r="AX4" s="10" t="s">
        <v>261</v>
      </c>
      <c r="AY4" s="10"/>
      <c r="AZ4" s="10"/>
      <c r="BA4" s="10"/>
      <c r="BB4" s="10"/>
      <c r="BC4" s="10"/>
      <c r="BD4" s="10"/>
      <c r="BE4" s="10"/>
      <c r="BF4" s="13"/>
      <c r="BG4" s="10"/>
      <c r="BH4" s="14"/>
      <c r="BI4" s="14"/>
      <c r="BJ4" s="14"/>
      <c r="BK4" s="14"/>
      <c r="BL4" s="14"/>
      <c r="BM4" s="35"/>
      <c r="BN4" s="11"/>
      <c r="BO4" s="16">
        <v>0</v>
      </c>
      <c r="BP4" s="16">
        <v>0</v>
      </c>
      <c r="BQ4" s="16">
        <v>0</v>
      </c>
      <c r="BR4" s="16">
        <v>90000</v>
      </c>
      <c r="BS4" s="17">
        <v>0</v>
      </c>
      <c r="BT4" s="17">
        <v>0</v>
      </c>
      <c r="BU4" s="17">
        <v>0</v>
      </c>
      <c r="BV4" s="17">
        <v>0</v>
      </c>
    </row>
    <row r="5" spans="1:74" ht="17.399999999999999" x14ac:dyDescent="0.25">
      <c r="A5" s="69">
        <v>27</v>
      </c>
      <c r="B5" s="73" t="s">
        <v>736</v>
      </c>
      <c r="C5" s="73" t="s">
        <v>243</v>
      </c>
      <c r="D5" s="71" t="s">
        <v>725</v>
      </c>
      <c r="E5" s="71" t="s">
        <v>712</v>
      </c>
      <c r="F5" s="86" t="s">
        <v>726</v>
      </c>
      <c r="G5" s="86" t="s">
        <v>577</v>
      </c>
      <c r="H5" s="86" t="s">
        <v>737</v>
      </c>
      <c r="I5" s="86"/>
      <c r="J5" s="86"/>
      <c r="K5" s="86" t="s">
        <v>738</v>
      </c>
      <c r="L5" s="89">
        <v>1800000</v>
      </c>
      <c r="M5" s="73" t="s">
        <v>361</v>
      </c>
      <c r="N5" s="73"/>
      <c r="O5" s="86" t="s">
        <v>95</v>
      </c>
      <c r="P5" s="73"/>
      <c r="Q5" s="100">
        <v>0.32</v>
      </c>
      <c r="R5" s="75">
        <v>384000</v>
      </c>
      <c r="S5" s="88"/>
      <c r="T5" s="76">
        <v>1200000</v>
      </c>
      <c r="U5" s="80">
        <v>300000</v>
      </c>
      <c r="V5" s="80">
        <v>300000</v>
      </c>
      <c r="W5" s="80">
        <v>300000</v>
      </c>
      <c r="X5" s="80">
        <v>300000</v>
      </c>
      <c r="Y5" s="80">
        <v>300000</v>
      </c>
      <c r="Z5" s="80">
        <v>300000</v>
      </c>
      <c r="AA5" s="80">
        <v>300000</v>
      </c>
      <c r="AB5" s="80">
        <v>300000</v>
      </c>
      <c r="AC5" s="77">
        <v>300000</v>
      </c>
      <c r="AD5" s="75">
        <v>300000</v>
      </c>
      <c r="AE5" s="75">
        <v>300000</v>
      </c>
      <c r="AF5" s="75">
        <v>300000</v>
      </c>
      <c r="AG5" s="75">
        <v>300000</v>
      </c>
      <c r="AH5" s="75">
        <v>300000</v>
      </c>
      <c r="AI5" s="75">
        <v>300000</v>
      </c>
      <c r="AJ5" s="3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19" t="s">
        <v>719</v>
      </c>
      <c r="AW5" s="19" t="s">
        <v>689</v>
      </c>
      <c r="AX5" s="19" t="s">
        <v>261</v>
      </c>
      <c r="AY5" s="19" t="s">
        <v>720</v>
      </c>
      <c r="AZ5" s="19" t="s">
        <v>739</v>
      </c>
      <c r="BA5" s="19" t="s">
        <v>740</v>
      </c>
      <c r="BB5" s="19"/>
      <c r="BC5" s="19"/>
      <c r="BD5" s="19"/>
      <c r="BE5" s="19"/>
      <c r="BF5" s="24"/>
      <c r="BG5" s="19"/>
      <c r="BH5" s="19"/>
      <c r="BI5" s="19"/>
      <c r="BJ5" s="19"/>
      <c r="BK5" s="19"/>
      <c r="BL5" s="19"/>
      <c r="BM5" s="22"/>
      <c r="BN5" s="22"/>
      <c r="BO5" s="27">
        <v>96000</v>
      </c>
      <c r="BP5" s="27">
        <v>96000</v>
      </c>
      <c r="BQ5" s="27">
        <v>96000</v>
      </c>
      <c r="BR5" s="27">
        <v>96000</v>
      </c>
      <c r="BS5" s="28">
        <v>96000</v>
      </c>
      <c r="BT5" s="28">
        <v>96000</v>
      </c>
      <c r="BU5" s="28">
        <v>96000</v>
      </c>
      <c r="BV5" s="28">
        <v>96000</v>
      </c>
    </row>
    <row r="6" spans="1:74" ht="17.399999999999999" x14ac:dyDescent="0.25">
      <c r="A6" s="69">
        <v>28</v>
      </c>
      <c r="B6" s="73" t="s">
        <v>741</v>
      </c>
      <c r="C6" s="73" t="s">
        <v>243</v>
      </c>
      <c r="D6" s="71" t="s">
        <v>711</v>
      </c>
      <c r="E6" s="71" t="s">
        <v>712</v>
      </c>
      <c r="F6" s="71" t="s">
        <v>742</v>
      </c>
      <c r="G6" s="71" t="s">
        <v>273</v>
      </c>
      <c r="H6" s="71" t="s">
        <v>626</v>
      </c>
      <c r="I6" s="71"/>
      <c r="J6" s="71"/>
      <c r="K6" s="71" t="s">
        <v>743</v>
      </c>
      <c r="L6" s="80">
        <v>10000000</v>
      </c>
      <c r="M6" s="72" t="s">
        <v>251</v>
      </c>
      <c r="N6" s="73" t="s">
        <v>744</v>
      </c>
      <c r="O6" s="71" t="s">
        <v>745</v>
      </c>
      <c r="P6" s="71">
        <v>0.35</v>
      </c>
      <c r="Q6" s="100">
        <v>0.22</v>
      </c>
      <c r="R6" s="75">
        <v>0</v>
      </c>
      <c r="S6" s="88"/>
      <c r="T6" s="76">
        <v>0</v>
      </c>
      <c r="U6" s="80">
        <v>0</v>
      </c>
      <c r="V6" s="80">
        <v>10000</v>
      </c>
      <c r="W6" s="80">
        <v>10000</v>
      </c>
      <c r="X6" s="80"/>
      <c r="Y6" s="80"/>
      <c r="Z6" s="80"/>
      <c r="AA6" s="80"/>
      <c r="AB6" s="80"/>
      <c r="AC6" s="77"/>
      <c r="AD6" s="75"/>
      <c r="AE6" s="75"/>
      <c r="AF6" s="75"/>
      <c r="AG6" s="75">
        <v>0</v>
      </c>
      <c r="AH6" s="75"/>
      <c r="AI6" s="75">
        <v>0</v>
      </c>
      <c r="AJ6" s="3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0" t="s">
        <v>719</v>
      </c>
      <c r="AW6" s="10" t="s">
        <v>689</v>
      </c>
      <c r="AX6" s="10" t="s">
        <v>261</v>
      </c>
      <c r="AY6" s="10" t="s">
        <v>730</v>
      </c>
      <c r="AZ6" s="10" t="s">
        <v>731</v>
      </c>
      <c r="BA6" s="10" t="s">
        <v>746</v>
      </c>
      <c r="BB6" s="10" t="s">
        <v>747</v>
      </c>
      <c r="BC6" s="10"/>
      <c r="BD6" s="10"/>
      <c r="BE6" s="10"/>
      <c r="BF6" s="13">
        <v>3</v>
      </c>
      <c r="BG6" s="10"/>
      <c r="BH6" s="14"/>
      <c r="BI6" s="14"/>
      <c r="BJ6" s="14"/>
      <c r="BK6" s="14"/>
      <c r="BL6" s="14"/>
      <c r="BM6" s="35"/>
      <c r="BN6" s="11"/>
      <c r="BO6" s="16">
        <v>0</v>
      </c>
      <c r="BP6" s="16">
        <v>0</v>
      </c>
      <c r="BQ6" s="16">
        <v>0</v>
      </c>
      <c r="BR6" s="16">
        <v>0</v>
      </c>
      <c r="BS6" s="17">
        <v>0</v>
      </c>
      <c r="BT6" s="17">
        <v>0</v>
      </c>
      <c r="BU6" s="17">
        <v>0</v>
      </c>
      <c r="BV6" s="17">
        <v>0</v>
      </c>
    </row>
    <row r="7" spans="1:74" ht="17.399999999999999" x14ac:dyDescent="0.25">
      <c r="A7" s="69">
        <v>29</v>
      </c>
      <c r="B7" s="71" t="s">
        <v>748</v>
      </c>
      <c r="C7" s="71" t="s">
        <v>243</v>
      </c>
      <c r="D7" s="71" t="s">
        <v>749</v>
      </c>
      <c r="E7" s="71" t="s">
        <v>712</v>
      </c>
      <c r="F7" s="71" t="s">
        <v>750</v>
      </c>
      <c r="G7" s="71" t="s">
        <v>751</v>
      </c>
      <c r="H7" s="71" t="s">
        <v>752</v>
      </c>
      <c r="I7" s="71"/>
      <c r="J7" s="71"/>
      <c r="K7" s="71" t="s">
        <v>753</v>
      </c>
      <c r="L7" s="80">
        <v>240000</v>
      </c>
      <c r="M7" s="71" t="s">
        <v>251</v>
      </c>
      <c r="N7" s="71" t="s">
        <v>754</v>
      </c>
      <c r="O7" s="71"/>
      <c r="P7" s="71"/>
      <c r="Q7" s="103">
        <v>3.65</v>
      </c>
      <c r="R7" s="75">
        <v>146000</v>
      </c>
      <c r="S7" s="71"/>
      <c r="T7" s="76">
        <v>40000</v>
      </c>
      <c r="U7" s="80">
        <v>20000</v>
      </c>
      <c r="V7" s="80">
        <v>20000</v>
      </c>
      <c r="W7" s="80">
        <v>20000</v>
      </c>
      <c r="X7" s="80">
        <v>10000</v>
      </c>
      <c r="Y7" s="80">
        <v>10000</v>
      </c>
      <c r="Z7" s="80">
        <v>10000</v>
      </c>
      <c r="AA7" s="80">
        <v>10000</v>
      </c>
      <c r="AB7" s="80">
        <v>10000</v>
      </c>
      <c r="AC7" s="77">
        <v>10000</v>
      </c>
      <c r="AD7" s="75">
        <v>10000</v>
      </c>
      <c r="AE7" s="75">
        <v>10000</v>
      </c>
      <c r="AF7" s="75">
        <v>10000</v>
      </c>
      <c r="AG7" s="75">
        <v>0</v>
      </c>
      <c r="AH7" s="75"/>
      <c r="AI7" s="75">
        <v>0</v>
      </c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19" t="s">
        <v>719</v>
      </c>
      <c r="AW7" s="19" t="s">
        <v>689</v>
      </c>
      <c r="AX7" s="19" t="s">
        <v>755</v>
      </c>
      <c r="AY7" s="19" t="s">
        <v>756</v>
      </c>
      <c r="AZ7" s="19" t="s">
        <v>757</v>
      </c>
      <c r="BA7" s="19" t="s">
        <v>758</v>
      </c>
      <c r="BB7" s="19"/>
      <c r="BC7" s="22"/>
      <c r="BD7" s="22"/>
      <c r="BE7" s="22"/>
      <c r="BF7" s="22"/>
      <c r="BG7" s="48"/>
      <c r="BH7" s="48"/>
      <c r="BI7" s="48"/>
      <c r="BJ7" s="48"/>
      <c r="BK7" s="48"/>
      <c r="BL7" s="48"/>
      <c r="BM7" s="22"/>
      <c r="BN7" s="22"/>
      <c r="BO7" s="27">
        <v>36500</v>
      </c>
      <c r="BP7" s="27">
        <v>36500</v>
      </c>
      <c r="BQ7" s="27">
        <v>36500</v>
      </c>
      <c r="BR7" s="27">
        <v>36500</v>
      </c>
      <c r="BS7" s="28">
        <v>36500</v>
      </c>
      <c r="BT7" s="28">
        <v>36500</v>
      </c>
      <c r="BU7" s="28">
        <v>36500</v>
      </c>
      <c r="BV7" s="28">
        <v>36500</v>
      </c>
    </row>
    <row r="8" spans="1:74" ht="17.399999999999999" x14ac:dyDescent="0.25">
      <c r="A8" s="69">
        <v>30</v>
      </c>
      <c r="B8" s="70" t="s">
        <v>759</v>
      </c>
      <c r="C8" s="71" t="s">
        <v>243</v>
      </c>
      <c r="D8" s="70" t="s">
        <v>725</v>
      </c>
      <c r="E8" s="71" t="s">
        <v>712</v>
      </c>
      <c r="F8" s="70" t="s">
        <v>726</v>
      </c>
      <c r="G8" s="70" t="s">
        <v>313</v>
      </c>
      <c r="H8" s="70" t="s">
        <v>760</v>
      </c>
      <c r="I8" s="70"/>
      <c r="J8" s="70"/>
      <c r="K8" s="70" t="s">
        <v>761</v>
      </c>
      <c r="L8" s="89">
        <v>2000000</v>
      </c>
      <c r="M8" s="73" t="s">
        <v>361</v>
      </c>
      <c r="N8" s="73"/>
      <c r="O8" s="71"/>
      <c r="P8" s="73"/>
      <c r="Q8" s="100">
        <v>0.19</v>
      </c>
      <c r="R8" s="75">
        <v>76000</v>
      </c>
      <c r="S8" s="88"/>
      <c r="T8" s="76">
        <v>400000</v>
      </c>
      <c r="U8" s="80">
        <v>100000</v>
      </c>
      <c r="V8" s="80">
        <v>100000</v>
      </c>
      <c r="W8" s="80">
        <v>100000</v>
      </c>
      <c r="X8" s="80">
        <v>100000</v>
      </c>
      <c r="Y8" s="80">
        <v>100000</v>
      </c>
      <c r="Z8" s="80">
        <v>100000</v>
      </c>
      <c r="AA8" s="80">
        <v>100000</v>
      </c>
      <c r="AB8" s="80">
        <v>100000</v>
      </c>
      <c r="AC8" s="77">
        <v>100000</v>
      </c>
      <c r="AD8" s="75">
        <v>100000</v>
      </c>
      <c r="AE8" s="75">
        <v>100000</v>
      </c>
      <c r="AF8" s="75">
        <v>100000</v>
      </c>
      <c r="AG8" s="75">
        <v>100000</v>
      </c>
      <c r="AH8" s="75">
        <v>100000</v>
      </c>
      <c r="AI8" s="75">
        <v>100000</v>
      </c>
      <c r="AJ8" s="3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0" t="s">
        <v>719</v>
      </c>
      <c r="AW8" s="10" t="s">
        <v>689</v>
      </c>
      <c r="AX8" s="10" t="s">
        <v>261</v>
      </c>
      <c r="AY8" s="10" t="s">
        <v>720</v>
      </c>
      <c r="AZ8" s="10"/>
      <c r="BA8" s="10"/>
      <c r="BB8" s="10"/>
      <c r="BC8" s="10"/>
      <c r="BD8" s="10"/>
      <c r="BE8" s="10"/>
      <c r="BF8" s="13"/>
      <c r="BG8" s="10"/>
      <c r="BH8" s="14"/>
      <c r="BI8" s="14"/>
      <c r="BJ8" s="14"/>
      <c r="BK8" s="14"/>
      <c r="BL8" s="14"/>
      <c r="BM8" s="35"/>
      <c r="BN8" s="11"/>
      <c r="BO8" s="16">
        <v>19000</v>
      </c>
      <c r="BP8" s="16">
        <v>19000</v>
      </c>
      <c r="BQ8" s="16">
        <v>19000</v>
      </c>
      <c r="BR8" s="16">
        <v>19000</v>
      </c>
      <c r="BS8" s="17">
        <v>19000</v>
      </c>
      <c r="BT8" s="17">
        <v>19000</v>
      </c>
      <c r="BU8" s="17">
        <v>19000</v>
      </c>
      <c r="BV8" s="17">
        <v>19000</v>
      </c>
    </row>
    <row r="9" spans="1:74" ht="17.399999999999999" x14ac:dyDescent="0.25">
      <c r="A9" s="69">
        <v>31</v>
      </c>
      <c r="B9" s="70" t="s">
        <v>759</v>
      </c>
      <c r="C9" s="71" t="s">
        <v>243</v>
      </c>
      <c r="D9" s="70" t="s">
        <v>725</v>
      </c>
      <c r="E9" s="71" t="s">
        <v>712</v>
      </c>
      <c r="F9" s="70" t="s">
        <v>726</v>
      </c>
      <c r="G9" s="70" t="s">
        <v>313</v>
      </c>
      <c r="H9" s="70" t="s">
        <v>762</v>
      </c>
      <c r="I9" s="70"/>
      <c r="J9" s="70"/>
      <c r="K9" s="70" t="s">
        <v>761</v>
      </c>
      <c r="L9" s="89">
        <v>2000000</v>
      </c>
      <c r="M9" s="73" t="s">
        <v>361</v>
      </c>
      <c r="N9" s="73"/>
      <c r="O9" s="71"/>
      <c r="P9" s="73"/>
      <c r="Q9" s="100">
        <v>0.19</v>
      </c>
      <c r="R9" s="75">
        <v>91200</v>
      </c>
      <c r="S9" s="88"/>
      <c r="T9" s="76">
        <v>480000</v>
      </c>
      <c r="U9" s="80">
        <v>100000</v>
      </c>
      <c r="V9" s="80">
        <v>100000</v>
      </c>
      <c r="W9" s="80">
        <v>100000</v>
      </c>
      <c r="X9" s="80">
        <v>120000</v>
      </c>
      <c r="Y9" s="80">
        <v>120000</v>
      </c>
      <c r="Z9" s="80">
        <v>120000</v>
      </c>
      <c r="AA9" s="80">
        <v>120000</v>
      </c>
      <c r="AB9" s="80">
        <v>120000</v>
      </c>
      <c r="AC9" s="77">
        <v>120000</v>
      </c>
      <c r="AD9" s="75">
        <v>120000</v>
      </c>
      <c r="AE9" s="75">
        <v>120000</v>
      </c>
      <c r="AF9" s="75">
        <v>120000</v>
      </c>
      <c r="AG9" s="75">
        <v>120000</v>
      </c>
      <c r="AH9" s="75">
        <v>120000</v>
      </c>
      <c r="AI9" s="75">
        <v>120000</v>
      </c>
      <c r="AJ9" s="33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19" t="s">
        <v>719</v>
      </c>
      <c r="AW9" s="19" t="s">
        <v>689</v>
      </c>
      <c r="AX9" s="19" t="s">
        <v>261</v>
      </c>
      <c r="AY9" s="19" t="s">
        <v>720</v>
      </c>
      <c r="AZ9" s="19"/>
      <c r="BA9" s="19"/>
      <c r="BB9" s="19"/>
      <c r="BC9" s="19"/>
      <c r="BD9" s="19"/>
      <c r="BE9" s="19"/>
      <c r="BF9" s="24"/>
      <c r="BG9" s="19"/>
      <c r="BH9" s="25"/>
      <c r="BI9" s="25"/>
      <c r="BJ9" s="25"/>
      <c r="BK9" s="25"/>
      <c r="BL9" s="25"/>
      <c r="BM9" s="37"/>
      <c r="BN9" s="21"/>
      <c r="BO9" s="27">
        <v>22800</v>
      </c>
      <c r="BP9" s="27">
        <v>22800</v>
      </c>
      <c r="BQ9" s="27">
        <v>22800</v>
      </c>
      <c r="BR9" s="27">
        <v>22800</v>
      </c>
      <c r="BS9" s="28">
        <v>22800</v>
      </c>
      <c r="BT9" s="28">
        <v>22800</v>
      </c>
      <c r="BU9" s="28">
        <v>22800</v>
      </c>
      <c r="BV9" s="28">
        <v>22800</v>
      </c>
    </row>
    <row r="10" spans="1:74" ht="17.399999999999999" x14ac:dyDescent="0.25">
      <c r="A10" s="69">
        <v>32</v>
      </c>
      <c r="B10" s="70" t="s">
        <v>759</v>
      </c>
      <c r="C10" s="71" t="s">
        <v>243</v>
      </c>
      <c r="D10" s="70" t="s">
        <v>725</v>
      </c>
      <c r="E10" s="71" t="s">
        <v>712</v>
      </c>
      <c r="F10" s="70" t="s">
        <v>726</v>
      </c>
      <c r="G10" s="70" t="s">
        <v>313</v>
      </c>
      <c r="H10" s="70" t="s">
        <v>314</v>
      </c>
      <c r="I10" s="70"/>
      <c r="J10" s="70"/>
      <c r="K10" s="70" t="s">
        <v>761</v>
      </c>
      <c r="L10" s="89">
        <v>2000000</v>
      </c>
      <c r="M10" s="73" t="s">
        <v>361</v>
      </c>
      <c r="N10" s="73"/>
      <c r="O10" s="71"/>
      <c r="P10" s="73"/>
      <c r="Q10" s="100">
        <v>0.19</v>
      </c>
      <c r="R10" s="75">
        <v>98800</v>
      </c>
      <c r="S10" s="88"/>
      <c r="T10" s="76">
        <v>520000</v>
      </c>
      <c r="U10" s="80"/>
      <c r="V10" s="80"/>
      <c r="W10" s="80">
        <v>30000</v>
      </c>
      <c r="X10" s="80">
        <v>40000</v>
      </c>
      <c r="Y10" s="80">
        <v>100000</v>
      </c>
      <c r="Z10" s="80">
        <v>100000</v>
      </c>
      <c r="AA10" s="80">
        <v>100000</v>
      </c>
      <c r="AB10" s="80">
        <v>100000</v>
      </c>
      <c r="AC10" s="77">
        <v>130000</v>
      </c>
      <c r="AD10" s="75">
        <v>130000</v>
      </c>
      <c r="AE10" s="75">
        <v>130000</v>
      </c>
      <c r="AF10" s="75">
        <v>130000</v>
      </c>
      <c r="AG10" s="75">
        <v>130000</v>
      </c>
      <c r="AH10" s="75">
        <v>130000</v>
      </c>
      <c r="AI10" s="75">
        <v>130000</v>
      </c>
      <c r="AJ10" s="3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0" t="s">
        <v>719</v>
      </c>
      <c r="AW10" s="10" t="s">
        <v>689</v>
      </c>
      <c r="AX10" s="10" t="s">
        <v>261</v>
      </c>
      <c r="AY10" s="10" t="s">
        <v>720</v>
      </c>
      <c r="AZ10" s="10"/>
      <c r="BA10" s="10"/>
      <c r="BB10" s="10"/>
      <c r="BC10" s="10"/>
      <c r="BD10" s="10"/>
      <c r="BE10" s="10"/>
      <c r="BF10" s="13"/>
      <c r="BG10" s="10"/>
      <c r="BH10" s="14"/>
      <c r="BI10" s="14"/>
      <c r="BJ10" s="14"/>
      <c r="BK10" s="14"/>
      <c r="BL10" s="14"/>
      <c r="BM10" s="35"/>
      <c r="BN10" s="11"/>
      <c r="BO10" s="16">
        <v>19000</v>
      </c>
      <c r="BP10" s="16">
        <v>19000</v>
      </c>
      <c r="BQ10" s="16">
        <v>19000</v>
      </c>
      <c r="BR10" s="16">
        <v>19000</v>
      </c>
      <c r="BS10" s="17">
        <v>24700</v>
      </c>
      <c r="BT10" s="17">
        <v>24700</v>
      </c>
      <c r="BU10" s="17">
        <v>24700</v>
      </c>
      <c r="BV10" s="17">
        <v>24700</v>
      </c>
    </row>
    <row r="11" spans="1:74" ht="17.399999999999999" x14ac:dyDescent="0.25">
      <c r="A11" s="69">
        <v>33</v>
      </c>
      <c r="B11" s="73" t="s">
        <v>763</v>
      </c>
      <c r="C11" s="73" t="s">
        <v>235</v>
      </c>
      <c r="D11" s="71" t="s">
        <v>764</v>
      </c>
      <c r="E11" s="71" t="s">
        <v>712</v>
      </c>
      <c r="F11" s="71" t="s">
        <v>765</v>
      </c>
      <c r="G11" s="71" t="s">
        <v>263</v>
      </c>
      <c r="H11" s="71" t="s">
        <v>264</v>
      </c>
      <c r="I11" s="71"/>
      <c r="J11" s="71"/>
      <c r="K11" s="71" t="s">
        <v>766</v>
      </c>
      <c r="L11" s="80"/>
      <c r="M11" s="72" t="s">
        <v>361</v>
      </c>
      <c r="N11" s="73" t="s">
        <v>373</v>
      </c>
      <c r="O11" s="71"/>
      <c r="P11" s="71"/>
      <c r="Q11" s="100">
        <v>0.48</v>
      </c>
      <c r="R11" s="75">
        <v>288000</v>
      </c>
      <c r="S11" s="88"/>
      <c r="T11" s="76">
        <v>600000</v>
      </c>
      <c r="U11" s="80">
        <v>150000</v>
      </c>
      <c r="V11" s="80">
        <v>150000</v>
      </c>
      <c r="W11" s="80">
        <v>150000</v>
      </c>
      <c r="X11" s="80">
        <v>150000</v>
      </c>
      <c r="Y11" s="80">
        <v>150000</v>
      </c>
      <c r="Z11" s="80">
        <v>150000</v>
      </c>
      <c r="AA11" s="80">
        <v>150000</v>
      </c>
      <c r="AB11" s="80">
        <v>150000</v>
      </c>
      <c r="AC11" s="77">
        <v>150000</v>
      </c>
      <c r="AD11" s="75">
        <v>150000</v>
      </c>
      <c r="AE11" s="75">
        <v>150000</v>
      </c>
      <c r="AF11" s="75">
        <v>150000</v>
      </c>
      <c r="AG11" s="75">
        <v>0</v>
      </c>
      <c r="AH11" s="75"/>
      <c r="AI11" s="75">
        <v>0</v>
      </c>
      <c r="AJ11" s="33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19" t="s">
        <v>719</v>
      </c>
      <c r="AW11" s="19" t="s">
        <v>689</v>
      </c>
      <c r="AX11" s="19" t="s">
        <v>261</v>
      </c>
      <c r="AY11" s="19" t="s">
        <v>767</v>
      </c>
      <c r="AZ11" s="19" t="s">
        <v>768</v>
      </c>
      <c r="BA11" s="19" t="s">
        <v>769</v>
      </c>
      <c r="BB11" s="19" t="s">
        <v>770</v>
      </c>
      <c r="BC11" s="19"/>
      <c r="BD11" s="19"/>
      <c r="BE11" s="19"/>
      <c r="BF11" s="24"/>
      <c r="BG11" s="19"/>
      <c r="BH11" s="25"/>
      <c r="BI11" s="25"/>
      <c r="BJ11" s="25"/>
      <c r="BK11" s="25"/>
      <c r="BL11" s="25"/>
      <c r="BM11" s="37"/>
      <c r="BN11" s="21"/>
      <c r="BO11" s="27">
        <v>72000</v>
      </c>
      <c r="BP11" s="27">
        <v>72000</v>
      </c>
      <c r="BQ11" s="27">
        <v>72000</v>
      </c>
      <c r="BR11" s="27">
        <v>72000</v>
      </c>
      <c r="BS11" s="28">
        <v>72000</v>
      </c>
      <c r="BT11" s="28">
        <v>72000</v>
      </c>
      <c r="BU11" s="28">
        <v>72000</v>
      </c>
      <c r="BV11" s="28">
        <v>72000</v>
      </c>
    </row>
    <row r="12" spans="1:74" ht="17.399999999999999" x14ac:dyDescent="0.25">
      <c r="A12" s="69">
        <v>34</v>
      </c>
      <c r="B12" s="71" t="s">
        <v>759</v>
      </c>
      <c r="C12" s="71" t="s">
        <v>243</v>
      </c>
      <c r="D12" s="86" t="s">
        <v>725</v>
      </c>
      <c r="E12" s="71" t="s">
        <v>712</v>
      </c>
      <c r="F12" s="86" t="s">
        <v>726</v>
      </c>
      <c r="G12" s="86" t="s">
        <v>771</v>
      </c>
      <c r="H12" s="86" t="s">
        <v>772</v>
      </c>
      <c r="I12" s="86"/>
      <c r="J12" s="86"/>
      <c r="K12" s="86" t="s">
        <v>773</v>
      </c>
      <c r="L12" s="89">
        <v>3000000</v>
      </c>
      <c r="M12" s="71" t="s">
        <v>382</v>
      </c>
      <c r="N12" s="73"/>
      <c r="O12" s="71"/>
      <c r="P12" s="73"/>
      <c r="Q12" s="103">
        <v>0.25</v>
      </c>
      <c r="R12" s="75">
        <v>300000</v>
      </c>
      <c r="S12" s="88"/>
      <c r="T12" s="76">
        <v>1200000</v>
      </c>
      <c r="U12" s="80"/>
      <c r="V12" s="80"/>
      <c r="W12" s="80">
        <v>50000</v>
      </c>
      <c r="X12" s="80">
        <v>50000</v>
      </c>
      <c r="Y12" s="80">
        <v>50000</v>
      </c>
      <c r="Z12" s="80">
        <v>50000</v>
      </c>
      <c r="AA12" s="80">
        <v>300000</v>
      </c>
      <c r="AB12" s="80">
        <v>0</v>
      </c>
      <c r="AC12" s="77">
        <v>300000</v>
      </c>
      <c r="AD12" s="75">
        <v>300000</v>
      </c>
      <c r="AE12" s="75">
        <v>300000</v>
      </c>
      <c r="AF12" s="75">
        <v>300000</v>
      </c>
      <c r="AG12" s="75">
        <v>300000</v>
      </c>
      <c r="AH12" s="75">
        <v>300000</v>
      </c>
      <c r="AI12" s="75">
        <v>300000</v>
      </c>
      <c r="AJ12" s="3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0" t="s">
        <v>719</v>
      </c>
      <c r="AW12" s="10" t="s">
        <v>689</v>
      </c>
      <c r="AX12" s="10" t="s">
        <v>261</v>
      </c>
      <c r="AY12" s="10" t="s">
        <v>756</v>
      </c>
      <c r="AZ12" s="10"/>
      <c r="BA12" s="10"/>
      <c r="BB12" s="10"/>
      <c r="BC12" s="10"/>
      <c r="BD12" s="10"/>
      <c r="BE12" s="10"/>
      <c r="BF12" s="13"/>
      <c r="BG12" s="10"/>
      <c r="BH12" s="14"/>
      <c r="BI12" s="14"/>
      <c r="BJ12" s="14"/>
      <c r="BK12" s="14"/>
      <c r="BL12" s="14"/>
      <c r="BM12" s="35"/>
      <c r="BN12" s="11"/>
      <c r="BO12" s="16">
        <v>12500</v>
      </c>
      <c r="BP12" s="16">
        <v>12500</v>
      </c>
      <c r="BQ12" s="16">
        <v>75000</v>
      </c>
      <c r="BR12" s="16">
        <v>0</v>
      </c>
      <c r="BS12" s="17">
        <v>75000</v>
      </c>
      <c r="BT12" s="17">
        <v>75000</v>
      </c>
      <c r="BU12" s="17">
        <v>75000</v>
      </c>
      <c r="BV12" s="17">
        <v>75000</v>
      </c>
    </row>
    <row r="13" spans="1:74" ht="17.399999999999999" x14ac:dyDescent="0.25">
      <c r="A13" s="69">
        <v>35</v>
      </c>
      <c r="B13" s="73" t="s">
        <v>774</v>
      </c>
      <c r="C13" s="73" t="s">
        <v>235</v>
      </c>
      <c r="D13" s="71" t="s">
        <v>764</v>
      </c>
      <c r="E13" s="71" t="s">
        <v>712</v>
      </c>
      <c r="F13" s="71" t="s">
        <v>765</v>
      </c>
      <c r="G13" s="71" t="s">
        <v>775</v>
      </c>
      <c r="H13" s="71" t="s">
        <v>776</v>
      </c>
      <c r="I13" s="71"/>
      <c r="J13" s="71"/>
      <c r="K13" s="73" t="s">
        <v>777</v>
      </c>
      <c r="L13" s="80">
        <v>2600000</v>
      </c>
      <c r="M13" s="72" t="s">
        <v>367</v>
      </c>
      <c r="N13" s="73" t="s">
        <v>778</v>
      </c>
      <c r="O13" s="71" t="s">
        <v>779</v>
      </c>
      <c r="P13" s="71">
        <v>0.31</v>
      </c>
      <c r="Q13" s="100">
        <v>0.44</v>
      </c>
      <c r="R13" s="75">
        <v>0</v>
      </c>
      <c r="S13" s="88"/>
      <c r="T13" s="76">
        <v>0</v>
      </c>
      <c r="U13" s="80"/>
      <c r="V13" s="80">
        <v>0</v>
      </c>
      <c r="W13" s="80">
        <v>100000</v>
      </c>
      <c r="X13" s="80">
        <v>100000</v>
      </c>
      <c r="Y13" s="80">
        <v>200000</v>
      </c>
      <c r="Z13" s="80">
        <v>100000</v>
      </c>
      <c r="AA13" s="80">
        <v>100000</v>
      </c>
      <c r="AB13" s="80"/>
      <c r="AC13" s="77"/>
      <c r="AD13" s="75"/>
      <c r="AE13" s="75"/>
      <c r="AF13" s="75"/>
      <c r="AG13" s="75">
        <v>0</v>
      </c>
      <c r="AH13" s="75"/>
      <c r="AI13" s="75">
        <v>0</v>
      </c>
      <c r="AJ13" s="33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19" t="s">
        <v>719</v>
      </c>
      <c r="AW13" s="19" t="s">
        <v>689</v>
      </c>
      <c r="AX13" s="19" t="s">
        <v>258</v>
      </c>
      <c r="AY13" s="19" t="s">
        <v>720</v>
      </c>
      <c r="AZ13" s="19" t="s">
        <v>739</v>
      </c>
      <c r="BA13" s="19" t="s">
        <v>740</v>
      </c>
      <c r="BB13" s="19" t="s">
        <v>780</v>
      </c>
      <c r="BC13" s="19"/>
      <c r="BD13" s="19"/>
      <c r="BE13" s="19"/>
      <c r="BF13" s="24">
        <v>1</v>
      </c>
      <c r="BG13" s="19"/>
      <c r="BH13" s="25"/>
      <c r="BI13" s="25"/>
      <c r="BJ13" s="25"/>
      <c r="BK13" s="25"/>
      <c r="BL13" s="25"/>
      <c r="BM13" s="37"/>
      <c r="BN13" s="21"/>
      <c r="BO13" s="27">
        <v>88000</v>
      </c>
      <c r="BP13" s="27">
        <v>44000</v>
      </c>
      <c r="BQ13" s="27">
        <v>44000</v>
      </c>
      <c r="BR13" s="27">
        <v>0</v>
      </c>
      <c r="BS13" s="28">
        <v>0</v>
      </c>
      <c r="BT13" s="28">
        <v>0</v>
      </c>
      <c r="BU13" s="28">
        <v>0</v>
      </c>
      <c r="BV13" s="28">
        <v>0</v>
      </c>
    </row>
    <row r="14" spans="1:74" ht="17.399999999999999" x14ac:dyDescent="0.25">
      <c r="A14" s="69">
        <v>36</v>
      </c>
      <c r="B14" s="73" t="s">
        <v>781</v>
      </c>
      <c r="C14" s="71" t="s">
        <v>243</v>
      </c>
      <c r="D14" s="71" t="s">
        <v>764</v>
      </c>
      <c r="E14" s="71" t="s">
        <v>712</v>
      </c>
      <c r="F14" s="71" t="s">
        <v>782</v>
      </c>
      <c r="G14" s="73" t="s">
        <v>139</v>
      </c>
      <c r="H14" s="73" t="s">
        <v>291</v>
      </c>
      <c r="I14" s="73"/>
      <c r="J14" s="73"/>
      <c r="K14" s="71" t="s">
        <v>783</v>
      </c>
      <c r="L14" s="80">
        <v>5000000</v>
      </c>
      <c r="M14" s="72" t="s">
        <v>251</v>
      </c>
      <c r="N14" s="73" t="s">
        <v>784</v>
      </c>
      <c r="O14" s="71"/>
      <c r="P14" s="71"/>
      <c r="Q14" s="100">
        <v>0.57999999999999996</v>
      </c>
      <c r="R14" s="75">
        <v>0</v>
      </c>
      <c r="S14" s="88"/>
      <c r="T14" s="76">
        <v>0</v>
      </c>
      <c r="U14" s="80">
        <v>50000</v>
      </c>
      <c r="V14" s="80">
        <v>50000</v>
      </c>
      <c r="W14" s="80">
        <v>100000</v>
      </c>
      <c r="X14" s="80"/>
      <c r="Y14" s="80"/>
      <c r="Z14" s="80"/>
      <c r="AA14" s="80"/>
      <c r="AB14" s="80"/>
      <c r="AC14" s="77"/>
      <c r="AD14" s="75"/>
      <c r="AE14" s="75"/>
      <c r="AF14" s="75"/>
      <c r="AG14" s="75">
        <v>0</v>
      </c>
      <c r="AH14" s="75"/>
      <c r="AI14" s="75">
        <v>0</v>
      </c>
      <c r="AJ14" s="3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0" t="s">
        <v>719</v>
      </c>
      <c r="AW14" s="10" t="s">
        <v>689</v>
      </c>
      <c r="AX14" s="10" t="s">
        <v>261</v>
      </c>
      <c r="AY14" s="10" t="s">
        <v>767</v>
      </c>
      <c r="AZ14" s="10" t="s">
        <v>785</v>
      </c>
      <c r="BA14" s="10" t="s">
        <v>786</v>
      </c>
      <c r="BB14" s="10" t="s">
        <v>787</v>
      </c>
      <c r="BC14" s="10"/>
      <c r="BD14" s="10"/>
      <c r="BE14" s="10"/>
      <c r="BF14" s="13"/>
      <c r="BG14" s="10"/>
      <c r="BH14" s="14"/>
      <c r="BI14" s="14"/>
      <c r="BJ14" s="14"/>
      <c r="BK14" s="14"/>
      <c r="BL14" s="14"/>
      <c r="BM14" s="35"/>
      <c r="BN14" s="11"/>
      <c r="BO14" s="16">
        <v>0</v>
      </c>
      <c r="BP14" s="16">
        <v>0</v>
      </c>
      <c r="BQ14" s="16">
        <v>0</v>
      </c>
      <c r="BR14" s="16">
        <v>0</v>
      </c>
      <c r="BS14" s="17">
        <v>0</v>
      </c>
      <c r="BT14" s="17">
        <v>0</v>
      </c>
      <c r="BU14" s="17">
        <v>0</v>
      </c>
      <c r="BV14" s="17">
        <v>0</v>
      </c>
    </row>
    <row r="15" spans="1:74" ht="17.399999999999999" x14ac:dyDescent="0.25">
      <c r="A15" s="69">
        <v>37</v>
      </c>
      <c r="B15" s="73" t="s">
        <v>788</v>
      </c>
      <c r="C15" s="71" t="s">
        <v>243</v>
      </c>
      <c r="D15" s="71" t="s">
        <v>789</v>
      </c>
      <c r="E15" s="71" t="s">
        <v>712</v>
      </c>
      <c r="F15" s="86" t="s">
        <v>790</v>
      </c>
      <c r="G15" s="71" t="s">
        <v>791</v>
      </c>
      <c r="H15" s="71" t="s">
        <v>791</v>
      </c>
      <c r="I15" s="71"/>
      <c r="J15" s="71"/>
      <c r="K15" s="71" t="s">
        <v>792</v>
      </c>
      <c r="L15" s="80">
        <v>100000</v>
      </c>
      <c r="M15" s="72" t="s">
        <v>361</v>
      </c>
      <c r="N15" s="73" t="s">
        <v>793</v>
      </c>
      <c r="O15" s="71" t="s">
        <v>95</v>
      </c>
      <c r="P15" s="71" t="s">
        <v>95</v>
      </c>
      <c r="Q15" s="100">
        <v>3</v>
      </c>
      <c r="R15" s="75">
        <v>178560</v>
      </c>
      <c r="S15" s="91"/>
      <c r="T15" s="76">
        <v>59520</v>
      </c>
      <c r="U15" s="80">
        <v>14880</v>
      </c>
      <c r="V15" s="80">
        <v>14880</v>
      </c>
      <c r="W15" s="80">
        <v>14880</v>
      </c>
      <c r="X15" s="80">
        <v>14880</v>
      </c>
      <c r="Y15" s="80">
        <v>14880</v>
      </c>
      <c r="Z15" s="80">
        <v>14880</v>
      </c>
      <c r="AA15" s="80">
        <v>14880</v>
      </c>
      <c r="AB15" s="80">
        <v>14880</v>
      </c>
      <c r="AC15" s="77">
        <v>14880</v>
      </c>
      <c r="AD15" s="75">
        <v>14880</v>
      </c>
      <c r="AE15" s="75">
        <v>14880</v>
      </c>
      <c r="AF15" s="75">
        <v>14880</v>
      </c>
      <c r="AG15" s="75">
        <v>14880</v>
      </c>
      <c r="AH15" s="75">
        <v>14880</v>
      </c>
      <c r="AI15" s="75">
        <v>14880</v>
      </c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19" t="s">
        <v>719</v>
      </c>
      <c r="AW15" s="19" t="s">
        <v>689</v>
      </c>
      <c r="AX15" s="19" t="s">
        <v>794</v>
      </c>
      <c r="AY15" s="19" t="s">
        <v>720</v>
      </c>
      <c r="AZ15" s="19"/>
      <c r="BA15" s="19"/>
      <c r="BB15" s="19"/>
      <c r="BC15" s="22"/>
      <c r="BD15" s="22"/>
      <c r="BE15" s="22"/>
      <c r="BF15" s="22"/>
      <c r="BG15" s="48"/>
      <c r="BH15" s="48"/>
      <c r="BI15" s="48"/>
      <c r="BJ15" s="48"/>
      <c r="BK15" s="48"/>
      <c r="BL15" s="48"/>
      <c r="BM15" s="22"/>
      <c r="BN15" s="22"/>
      <c r="BO15" s="27">
        <v>44640</v>
      </c>
      <c r="BP15" s="27">
        <v>44640</v>
      </c>
      <c r="BQ15" s="27">
        <v>44640</v>
      </c>
      <c r="BR15" s="27">
        <v>44640</v>
      </c>
      <c r="BS15" s="28">
        <v>44640</v>
      </c>
      <c r="BT15" s="28">
        <v>44640</v>
      </c>
      <c r="BU15" s="28">
        <v>44640</v>
      </c>
      <c r="BV15" s="28">
        <v>44640</v>
      </c>
    </row>
    <row r="16" spans="1:74" ht="17.399999999999999" x14ac:dyDescent="0.25">
      <c r="A16" s="69">
        <v>38</v>
      </c>
      <c r="B16" s="73" t="s">
        <v>763</v>
      </c>
      <c r="C16" s="73" t="s">
        <v>235</v>
      </c>
      <c r="D16" s="71" t="s">
        <v>764</v>
      </c>
      <c r="E16" s="71" t="s">
        <v>712</v>
      </c>
      <c r="F16" s="71" t="s">
        <v>765</v>
      </c>
      <c r="G16" s="71" t="s">
        <v>795</v>
      </c>
      <c r="H16" s="71" t="s">
        <v>796</v>
      </c>
      <c r="I16" s="71"/>
      <c r="J16" s="71"/>
      <c r="K16" s="71" t="s">
        <v>766</v>
      </c>
      <c r="L16" s="80">
        <v>1000000</v>
      </c>
      <c r="M16" s="72" t="s">
        <v>361</v>
      </c>
      <c r="N16" s="73" t="s">
        <v>373</v>
      </c>
      <c r="O16" s="71" t="s">
        <v>797</v>
      </c>
      <c r="P16" s="71">
        <v>1.1000000000000001</v>
      </c>
      <c r="Q16" s="100">
        <v>0.52</v>
      </c>
      <c r="R16" s="75">
        <v>208000</v>
      </c>
      <c r="S16" s="88"/>
      <c r="T16" s="76">
        <v>400000</v>
      </c>
      <c r="U16" s="80">
        <v>10000</v>
      </c>
      <c r="V16" s="80">
        <v>10000</v>
      </c>
      <c r="W16" s="80">
        <v>10000</v>
      </c>
      <c r="X16" s="80">
        <v>100000</v>
      </c>
      <c r="Y16" s="80">
        <v>100000</v>
      </c>
      <c r="Z16" s="80">
        <v>100000</v>
      </c>
      <c r="AA16" s="80">
        <v>100000</v>
      </c>
      <c r="AB16" s="80">
        <v>120000</v>
      </c>
      <c r="AC16" s="77">
        <v>100000</v>
      </c>
      <c r="AD16" s="75">
        <v>100000</v>
      </c>
      <c r="AE16" s="75">
        <v>100000</v>
      </c>
      <c r="AF16" s="75">
        <v>100000</v>
      </c>
      <c r="AG16" s="75">
        <v>100000</v>
      </c>
      <c r="AH16" s="75">
        <v>100000</v>
      </c>
      <c r="AI16" s="75">
        <v>100000</v>
      </c>
      <c r="AJ16" s="3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0" t="s">
        <v>719</v>
      </c>
      <c r="AW16" s="10" t="s">
        <v>689</v>
      </c>
      <c r="AX16" s="10" t="s">
        <v>261</v>
      </c>
      <c r="AY16" s="10" t="s">
        <v>767</v>
      </c>
      <c r="AZ16" s="10" t="s">
        <v>768</v>
      </c>
      <c r="BA16" s="10" t="s">
        <v>769</v>
      </c>
      <c r="BB16" s="10" t="s">
        <v>770</v>
      </c>
      <c r="BC16" s="10"/>
      <c r="BD16" s="10"/>
      <c r="BE16" s="10"/>
      <c r="BF16" s="13"/>
      <c r="BG16" s="10"/>
      <c r="BH16" s="14"/>
      <c r="BI16" s="14"/>
      <c r="BJ16" s="14"/>
      <c r="BK16" s="14"/>
      <c r="BL16" s="14"/>
      <c r="BM16" s="35"/>
      <c r="BN16" s="11"/>
      <c r="BO16" s="16">
        <v>52000</v>
      </c>
      <c r="BP16" s="16">
        <v>52000</v>
      </c>
      <c r="BQ16" s="16">
        <v>52000</v>
      </c>
      <c r="BR16" s="16">
        <v>62400</v>
      </c>
      <c r="BS16" s="17">
        <v>52000</v>
      </c>
      <c r="BT16" s="17">
        <v>52000</v>
      </c>
      <c r="BU16" s="17">
        <v>52000</v>
      </c>
      <c r="BV16" s="17">
        <v>52000</v>
      </c>
    </row>
    <row r="17" spans="1:74" ht="17.399999999999999" x14ac:dyDescent="0.25">
      <c r="A17" s="69">
        <v>39</v>
      </c>
      <c r="B17" s="73" t="s">
        <v>798</v>
      </c>
      <c r="C17" s="71" t="s">
        <v>243</v>
      </c>
      <c r="D17" s="71" t="s">
        <v>725</v>
      </c>
      <c r="E17" s="71" t="s">
        <v>712</v>
      </c>
      <c r="F17" s="86" t="s">
        <v>799</v>
      </c>
      <c r="G17" s="86" t="s">
        <v>357</v>
      </c>
      <c r="H17" s="86" t="s">
        <v>358</v>
      </c>
      <c r="I17" s="86"/>
      <c r="J17" s="86"/>
      <c r="K17" s="86" t="s">
        <v>800</v>
      </c>
      <c r="L17" s="89">
        <v>1000000</v>
      </c>
      <c r="M17" s="73" t="s">
        <v>367</v>
      </c>
      <c r="N17" s="73"/>
      <c r="O17" s="86" t="s">
        <v>801</v>
      </c>
      <c r="P17" s="71"/>
      <c r="Q17" s="103">
        <v>0.35</v>
      </c>
      <c r="R17" s="75">
        <v>140000</v>
      </c>
      <c r="S17" s="88"/>
      <c r="T17" s="76">
        <v>400000</v>
      </c>
      <c r="U17" s="80">
        <v>100000</v>
      </c>
      <c r="V17" s="80">
        <v>100000</v>
      </c>
      <c r="W17" s="80">
        <v>100000</v>
      </c>
      <c r="X17" s="80">
        <v>100000</v>
      </c>
      <c r="Y17" s="80">
        <v>100000</v>
      </c>
      <c r="Z17" s="80">
        <v>100000</v>
      </c>
      <c r="AA17" s="80">
        <v>100000</v>
      </c>
      <c r="AB17" s="80">
        <v>100000</v>
      </c>
      <c r="AC17" s="77">
        <v>100000</v>
      </c>
      <c r="AD17" s="75">
        <v>100000</v>
      </c>
      <c r="AE17" s="75">
        <v>100000</v>
      </c>
      <c r="AF17" s="75">
        <v>100000</v>
      </c>
      <c r="AG17" s="75">
        <v>100000</v>
      </c>
      <c r="AH17" s="75">
        <v>100000</v>
      </c>
      <c r="AI17" s="75">
        <v>100000</v>
      </c>
      <c r="AJ17" s="33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19" t="s">
        <v>719</v>
      </c>
      <c r="AW17" s="19" t="s">
        <v>689</v>
      </c>
      <c r="AX17" s="19" t="s">
        <v>261</v>
      </c>
      <c r="AY17" s="19" t="s">
        <v>720</v>
      </c>
      <c r="AZ17" s="19"/>
      <c r="BA17" s="19"/>
      <c r="BB17" s="19"/>
      <c r="BC17" s="19"/>
      <c r="BD17" s="19"/>
      <c r="BE17" s="19"/>
      <c r="BF17" s="24"/>
      <c r="BG17" s="19"/>
      <c r="BH17" s="25"/>
      <c r="BI17" s="25"/>
      <c r="BJ17" s="25"/>
      <c r="BK17" s="25"/>
      <c r="BL17" s="25"/>
      <c r="BM17" s="37"/>
      <c r="BN17" s="21"/>
      <c r="BO17" s="27">
        <v>35000</v>
      </c>
      <c r="BP17" s="27">
        <v>35000</v>
      </c>
      <c r="BQ17" s="27">
        <v>35000</v>
      </c>
      <c r="BR17" s="27">
        <v>35000</v>
      </c>
      <c r="BS17" s="28">
        <v>35000</v>
      </c>
      <c r="BT17" s="28">
        <v>35000</v>
      </c>
      <c r="BU17" s="28">
        <v>35000</v>
      </c>
      <c r="BV17" s="28">
        <v>35000</v>
      </c>
    </row>
    <row r="18" spans="1:74" ht="17.399999999999999" x14ac:dyDescent="0.25">
      <c r="A18" s="69">
        <v>40</v>
      </c>
      <c r="B18" s="70" t="s">
        <v>802</v>
      </c>
      <c r="C18" s="73" t="s">
        <v>235</v>
      </c>
      <c r="D18" s="70" t="s">
        <v>725</v>
      </c>
      <c r="E18" s="71" t="s">
        <v>712</v>
      </c>
      <c r="F18" s="70" t="s">
        <v>726</v>
      </c>
      <c r="G18" s="70" t="s">
        <v>803</v>
      </c>
      <c r="H18" s="70" t="s">
        <v>804</v>
      </c>
      <c r="I18" s="70"/>
      <c r="J18" s="70"/>
      <c r="K18" s="70" t="s">
        <v>805</v>
      </c>
      <c r="L18" s="89">
        <v>1000000</v>
      </c>
      <c r="M18" s="73" t="s">
        <v>361</v>
      </c>
      <c r="N18" s="73"/>
      <c r="O18" s="71"/>
      <c r="P18" s="73"/>
      <c r="Q18" s="100">
        <v>0.35</v>
      </c>
      <c r="R18" s="75">
        <v>140000</v>
      </c>
      <c r="S18" s="88"/>
      <c r="T18" s="76">
        <v>400000</v>
      </c>
      <c r="U18" s="80">
        <v>100000</v>
      </c>
      <c r="V18" s="80">
        <v>100000</v>
      </c>
      <c r="W18" s="80">
        <v>100000</v>
      </c>
      <c r="X18" s="80">
        <v>100000</v>
      </c>
      <c r="Y18" s="80">
        <v>100000</v>
      </c>
      <c r="Z18" s="80">
        <v>100000</v>
      </c>
      <c r="AA18" s="80">
        <v>100000</v>
      </c>
      <c r="AB18" s="80"/>
      <c r="AC18" s="77">
        <v>100000</v>
      </c>
      <c r="AD18" s="75">
        <v>100000</v>
      </c>
      <c r="AE18" s="75">
        <v>100000</v>
      </c>
      <c r="AF18" s="75">
        <v>100000</v>
      </c>
      <c r="AG18" s="75">
        <v>100000</v>
      </c>
      <c r="AH18" s="75">
        <v>100000</v>
      </c>
      <c r="AI18" s="75">
        <v>100000</v>
      </c>
      <c r="AJ18" s="3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0" t="s">
        <v>719</v>
      </c>
      <c r="AW18" s="10" t="s">
        <v>689</v>
      </c>
      <c r="AX18" s="10" t="s">
        <v>261</v>
      </c>
      <c r="AY18" s="10" t="s">
        <v>767</v>
      </c>
      <c r="AZ18" s="10" t="s">
        <v>768</v>
      </c>
      <c r="BA18" s="10" t="s">
        <v>769</v>
      </c>
      <c r="BB18" s="10" t="s">
        <v>770</v>
      </c>
      <c r="BC18" s="10"/>
      <c r="BD18" s="10"/>
      <c r="BE18" s="10"/>
      <c r="BF18" s="13"/>
      <c r="BG18" s="10"/>
      <c r="BH18" s="14"/>
      <c r="BI18" s="14"/>
      <c r="BJ18" s="14"/>
      <c r="BK18" s="14"/>
      <c r="BL18" s="14"/>
      <c r="BM18" s="35"/>
      <c r="BN18" s="11"/>
      <c r="BO18" s="16">
        <v>35000</v>
      </c>
      <c r="BP18" s="16">
        <v>35000</v>
      </c>
      <c r="BQ18" s="16">
        <v>35000</v>
      </c>
      <c r="BR18" s="16">
        <v>0</v>
      </c>
      <c r="BS18" s="17">
        <v>35000</v>
      </c>
      <c r="BT18" s="17">
        <v>35000</v>
      </c>
      <c r="BU18" s="17">
        <v>35000</v>
      </c>
      <c r="BV18" s="17">
        <v>35000</v>
      </c>
    </row>
    <row r="19" spans="1:74" ht="17.399999999999999" x14ac:dyDescent="0.25">
      <c r="A19" s="69">
        <v>41</v>
      </c>
      <c r="B19" s="70" t="s">
        <v>806</v>
      </c>
      <c r="C19" s="71" t="s">
        <v>243</v>
      </c>
      <c r="D19" s="70" t="s">
        <v>725</v>
      </c>
      <c r="E19" s="71" t="s">
        <v>712</v>
      </c>
      <c r="F19" s="70" t="s">
        <v>726</v>
      </c>
      <c r="G19" s="70" t="s">
        <v>803</v>
      </c>
      <c r="H19" s="70" t="s">
        <v>804</v>
      </c>
      <c r="I19" s="70"/>
      <c r="J19" s="70"/>
      <c r="K19" s="86" t="s">
        <v>805</v>
      </c>
      <c r="L19" s="89">
        <v>1000000</v>
      </c>
      <c r="M19" s="73" t="s">
        <v>361</v>
      </c>
      <c r="N19" s="73"/>
      <c r="O19" s="71"/>
      <c r="P19" s="73"/>
      <c r="Q19" s="100">
        <v>0.35</v>
      </c>
      <c r="R19" s="75">
        <v>140000</v>
      </c>
      <c r="S19" s="88"/>
      <c r="T19" s="76">
        <v>400000</v>
      </c>
      <c r="U19" s="80">
        <v>100000</v>
      </c>
      <c r="V19" s="80">
        <v>100000</v>
      </c>
      <c r="W19" s="80">
        <v>100000</v>
      </c>
      <c r="X19" s="80">
        <v>100000</v>
      </c>
      <c r="Y19" s="80">
        <v>100000</v>
      </c>
      <c r="Z19" s="80">
        <v>100000</v>
      </c>
      <c r="AA19" s="80">
        <v>100000</v>
      </c>
      <c r="AB19" s="80">
        <v>200000</v>
      </c>
      <c r="AC19" s="77">
        <v>100000</v>
      </c>
      <c r="AD19" s="75">
        <v>100000</v>
      </c>
      <c r="AE19" s="75">
        <v>100000</v>
      </c>
      <c r="AF19" s="75">
        <v>100000</v>
      </c>
      <c r="AG19" s="75">
        <v>100000</v>
      </c>
      <c r="AH19" s="75">
        <v>100000</v>
      </c>
      <c r="AI19" s="75">
        <v>100000</v>
      </c>
      <c r="AJ19" s="33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19" t="s">
        <v>719</v>
      </c>
      <c r="AW19" s="19" t="s">
        <v>689</v>
      </c>
      <c r="AX19" s="19" t="s">
        <v>261</v>
      </c>
      <c r="AY19" s="19" t="s">
        <v>767</v>
      </c>
      <c r="AZ19" s="19" t="s">
        <v>768</v>
      </c>
      <c r="BA19" s="19" t="s">
        <v>769</v>
      </c>
      <c r="BB19" s="19" t="s">
        <v>770</v>
      </c>
      <c r="BC19" s="19"/>
      <c r="BD19" s="19"/>
      <c r="BE19" s="19"/>
      <c r="BF19" s="24"/>
      <c r="BG19" s="19"/>
      <c r="BH19" s="25"/>
      <c r="BI19" s="25"/>
      <c r="BJ19" s="25"/>
      <c r="BK19" s="25"/>
      <c r="BL19" s="25"/>
      <c r="BM19" s="37"/>
      <c r="BN19" s="21"/>
      <c r="BO19" s="27">
        <v>35000</v>
      </c>
      <c r="BP19" s="27">
        <v>35000</v>
      </c>
      <c r="BQ19" s="27">
        <v>35000</v>
      </c>
      <c r="BR19" s="27">
        <v>70000</v>
      </c>
      <c r="BS19" s="28">
        <v>35000</v>
      </c>
      <c r="BT19" s="28">
        <v>35000</v>
      </c>
      <c r="BU19" s="28">
        <v>35000</v>
      </c>
      <c r="BV19" s="28">
        <v>35000</v>
      </c>
    </row>
    <row r="20" spans="1:74" ht="17.399999999999999" x14ac:dyDescent="0.25">
      <c r="A20" s="69">
        <v>42</v>
      </c>
      <c r="B20" s="71" t="s">
        <v>807</v>
      </c>
      <c r="C20" s="71" t="s">
        <v>243</v>
      </c>
      <c r="D20" s="71" t="s">
        <v>749</v>
      </c>
      <c r="E20" s="71" t="s">
        <v>712</v>
      </c>
      <c r="F20" s="71" t="s">
        <v>808</v>
      </c>
      <c r="G20" s="71" t="s">
        <v>809</v>
      </c>
      <c r="H20" s="71" t="s">
        <v>810</v>
      </c>
      <c r="I20" s="71"/>
      <c r="J20" s="71"/>
      <c r="K20" s="71" t="s">
        <v>811</v>
      </c>
      <c r="L20" s="80">
        <v>120000</v>
      </c>
      <c r="M20" s="71" t="s">
        <v>361</v>
      </c>
      <c r="N20" s="71" t="s">
        <v>812</v>
      </c>
      <c r="O20" s="71"/>
      <c r="P20" s="71"/>
      <c r="Q20" s="100">
        <v>3.3</v>
      </c>
      <c r="R20" s="75">
        <v>132000</v>
      </c>
      <c r="S20" s="71"/>
      <c r="T20" s="76">
        <v>40000</v>
      </c>
      <c r="U20" s="80">
        <v>10000</v>
      </c>
      <c r="V20" s="80">
        <v>10000</v>
      </c>
      <c r="W20" s="80">
        <v>10000</v>
      </c>
      <c r="X20" s="80">
        <v>10000</v>
      </c>
      <c r="Y20" s="80">
        <v>10000</v>
      </c>
      <c r="Z20" s="80">
        <v>10000</v>
      </c>
      <c r="AA20" s="80">
        <v>10000</v>
      </c>
      <c r="AB20" s="80">
        <v>10000</v>
      </c>
      <c r="AC20" s="77">
        <v>10000</v>
      </c>
      <c r="AD20" s="75">
        <v>10000</v>
      </c>
      <c r="AE20" s="75">
        <v>10000</v>
      </c>
      <c r="AF20" s="75">
        <v>10000</v>
      </c>
      <c r="AG20" s="75">
        <v>10000</v>
      </c>
      <c r="AH20" s="75">
        <v>10000</v>
      </c>
      <c r="AI20" s="75">
        <v>10000</v>
      </c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0" t="s">
        <v>719</v>
      </c>
      <c r="AW20" s="10" t="s">
        <v>689</v>
      </c>
      <c r="AX20" s="10" t="s">
        <v>794</v>
      </c>
      <c r="AY20" s="10" t="s">
        <v>756</v>
      </c>
      <c r="AZ20" s="10"/>
      <c r="BA20" s="10"/>
      <c r="BB20" s="10"/>
      <c r="BC20" s="12"/>
      <c r="BD20" s="12"/>
      <c r="BE20" s="12"/>
      <c r="BF20" s="12"/>
      <c r="BG20" s="49"/>
      <c r="BH20" s="49"/>
      <c r="BI20" s="49"/>
      <c r="BJ20" s="49"/>
      <c r="BK20" s="49"/>
      <c r="BL20" s="49"/>
      <c r="BM20" s="12"/>
      <c r="BN20" s="12"/>
      <c r="BO20" s="16">
        <v>33000</v>
      </c>
      <c r="BP20" s="16">
        <v>33000</v>
      </c>
      <c r="BQ20" s="16">
        <v>33000</v>
      </c>
      <c r="BR20" s="16">
        <v>33000</v>
      </c>
      <c r="BS20" s="17">
        <v>33000</v>
      </c>
      <c r="BT20" s="17">
        <v>33000</v>
      </c>
      <c r="BU20" s="17">
        <v>33000</v>
      </c>
      <c r="BV20" s="17">
        <v>33000</v>
      </c>
    </row>
    <row r="21" spans="1:74" ht="17.399999999999999" x14ac:dyDescent="0.25">
      <c r="A21" s="69">
        <v>43</v>
      </c>
      <c r="B21" s="71" t="s">
        <v>813</v>
      </c>
      <c r="C21" s="71" t="s">
        <v>243</v>
      </c>
      <c r="D21" s="86" t="s">
        <v>725</v>
      </c>
      <c r="E21" s="71" t="s">
        <v>712</v>
      </c>
      <c r="F21" s="86" t="s">
        <v>726</v>
      </c>
      <c r="G21" s="86" t="s">
        <v>305</v>
      </c>
      <c r="H21" s="86" t="s">
        <v>306</v>
      </c>
      <c r="I21" s="86"/>
      <c r="J21" s="86"/>
      <c r="K21" s="86" t="s">
        <v>814</v>
      </c>
      <c r="L21" s="89">
        <v>2000000</v>
      </c>
      <c r="M21" s="71" t="s">
        <v>361</v>
      </c>
      <c r="N21" s="73"/>
      <c r="O21" s="71"/>
      <c r="P21" s="73"/>
      <c r="Q21" s="100">
        <v>0.20499999999999999</v>
      </c>
      <c r="R21" s="75">
        <v>122999.99999999999</v>
      </c>
      <c r="S21" s="88"/>
      <c r="T21" s="76">
        <v>600000</v>
      </c>
      <c r="U21" s="80">
        <v>150000</v>
      </c>
      <c r="V21" s="80">
        <v>150000</v>
      </c>
      <c r="W21" s="80">
        <v>150000</v>
      </c>
      <c r="X21" s="80">
        <v>150000</v>
      </c>
      <c r="Y21" s="80">
        <v>150000</v>
      </c>
      <c r="Z21" s="80">
        <v>150000</v>
      </c>
      <c r="AA21" s="80">
        <v>150000</v>
      </c>
      <c r="AB21" s="80"/>
      <c r="AC21" s="77">
        <v>150000</v>
      </c>
      <c r="AD21" s="75">
        <v>150000</v>
      </c>
      <c r="AE21" s="75">
        <v>150000</v>
      </c>
      <c r="AF21" s="75">
        <v>150000</v>
      </c>
      <c r="AG21" s="75">
        <v>150000</v>
      </c>
      <c r="AH21" s="75">
        <v>150000</v>
      </c>
      <c r="AI21" s="75">
        <v>150000</v>
      </c>
      <c r="AJ21" s="3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19" t="s">
        <v>719</v>
      </c>
      <c r="AW21" s="19" t="s">
        <v>689</v>
      </c>
      <c r="AX21" s="19" t="s">
        <v>261</v>
      </c>
      <c r="AY21" s="19" t="s">
        <v>720</v>
      </c>
      <c r="AZ21" s="19"/>
      <c r="BA21" s="19"/>
      <c r="BB21" s="19"/>
      <c r="BC21" s="19"/>
      <c r="BD21" s="19"/>
      <c r="BE21" s="19"/>
      <c r="BF21" s="24"/>
      <c r="BG21" s="19"/>
      <c r="BH21" s="25"/>
      <c r="BI21" s="25"/>
      <c r="BJ21" s="25"/>
      <c r="BK21" s="25"/>
      <c r="BL21" s="25"/>
      <c r="BM21" s="37"/>
      <c r="BN21" s="21"/>
      <c r="BO21" s="27">
        <v>30749.999999999996</v>
      </c>
      <c r="BP21" s="27">
        <v>30749.999999999996</v>
      </c>
      <c r="BQ21" s="27">
        <v>30749.999999999996</v>
      </c>
      <c r="BR21" s="27">
        <v>0</v>
      </c>
      <c r="BS21" s="28">
        <v>30749.999999999996</v>
      </c>
      <c r="BT21" s="28">
        <v>30749.999999999996</v>
      </c>
      <c r="BU21" s="28">
        <v>30749.999999999996</v>
      </c>
      <c r="BV21" s="28">
        <v>30749.999999999996</v>
      </c>
    </row>
    <row r="22" spans="1:74" ht="17.399999999999999" x14ac:dyDescent="0.25">
      <c r="A22" s="69">
        <v>44</v>
      </c>
      <c r="B22" s="73" t="s">
        <v>774</v>
      </c>
      <c r="C22" s="73" t="s">
        <v>235</v>
      </c>
      <c r="D22" s="71" t="s">
        <v>764</v>
      </c>
      <c r="E22" s="71" t="s">
        <v>712</v>
      </c>
      <c r="F22" s="71" t="s">
        <v>765</v>
      </c>
      <c r="G22" s="71" t="s">
        <v>775</v>
      </c>
      <c r="H22" s="71" t="s">
        <v>776</v>
      </c>
      <c r="I22" s="71"/>
      <c r="J22" s="71"/>
      <c r="K22" s="71" t="s">
        <v>815</v>
      </c>
      <c r="L22" s="80">
        <v>1000000</v>
      </c>
      <c r="M22" s="72" t="s">
        <v>382</v>
      </c>
      <c r="N22" s="73" t="s">
        <v>816</v>
      </c>
      <c r="O22" s="71" t="s">
        <v>817</v>
      </c>
      <c r="P22" s="71">
        <v>0.31</v>
      </c>
      <c r="Q22" s="100">
        <v>0.44</v>
      </c>
      <c r="R22" s="75">
        <v>176000</v>
      </c>
      <c r="S22" s="88"/>
      <c r="T22" s="76">
        <v>400000</v>
      </c>
      <c r="U22" s="80">
        <v>0</v>
      </c>
      <c r="V22" s="80">
        <v>0</v>
      </c>
      <c r="W22" s="80">
        <v>0</v>
      </c>
      <c r="X22" s="80"/>
      <c r="Y22" s="80">
        <v>100000</v>
      </c>
      <c r="Z22" s="80">
        <v>100000</v>
      </c>
      <c r="AA22" s="80">
        <v>100000</v>
      </c>
      <c r="AB22" s="80"/>
      <c r="AC22" s="77">
        <v>100000</v>
      </c>
      <c r="AD22" s="75">
        <v>100000</v>
      </c>
      <c r="AE22" s="75">
        <v>100000</v>
      </c>
      <c r="AF22" s="75">
        <v>100000</v>
      </c>
      <c r="AG22" s="75">
        <v>100000</v>
      </c>
      <c r="AH22" s="75">
        <v>100000</v>
      </c>
      <c r="AI22" s="75">
        <v>100000</v>
      </c>
      <c r="AJ22" s="3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0" t="s">
        <v>719</v>
      </c>
      <c r="AW22" s="10" t="s">
        <v>689</v>
      </c>
      <c r="AX22" s="10" t="s">
        <v>258</v>
      </c>
      <c r="AY22" s="10" t="s">
        <v>720</v>
      </c>
      <c r="AZ22" s="10" t="s">
        <v>721</v>
      </c>
      <c r="BA22" s="10" t="s">
        <v>818</v>
      </c>
      <c r="BB22" s="10" t="s">
        <v>819</v>
      </c>
      <c r="BC22" s="10"/>
      <c r="BD22" s="10"/>
      <c r="BE22" s="10"/>
      <c r="BF22" s="13">
        <v>1</v>
      </c>
      <c r="BG22" s="10"/>
      <c r="BH22" s="14"/>
      <c r="BI22" s="14"/>
      <c r="BJ22" s="14"/>
      <c r="BK22" s="14"/>
      <c r="BL22" s="14"/>
      <c r="BM22" s="35"/>
      <c r="BN22" s="11"/>
      <c r="BO22" s="16">
        <v>44000</v>
      </c>
      <c r="BP22" s="16">
        <v>44000</v>
      </c>
      <c r="BQ22" s="16">
        <v>44000</v>
      </c>
      <c r="BR22" s="16">
        <v>0</v>
      </c>
      <c r="BS22" s="17">
        <v>44000</v>
      </c>
      <c r="BT22" s="17">
        <v>44000</v>
      </c>
      <c r="BU22" s="17">
        <v>44000</v>
      </c>
      <c r="BV22" s="17">
        <v>44000</v>
      </c>
    </row>
    <row r="23" spans="1:74" ht="17.399999999999999" x14ac:dyDescent="0.25">
      <c r="A23" s="69">
        <v>45</v>
      </c>
      <c r="B23" s="71" t="s">
        <v>820</v>
      </c>
      <c r="C23" s="71" t="s">
        <v>243</v>
      </c>
      <c r="D23" s="86" t="s">
        <v>725</v>
      </c>
      <c r="E23" s="71" t="s">
        <v>712</v>
      </c>
      <c r="F23" s="86" t="s">
        <v>726</v>
      </c>
      <c r="G23" s="71" t="s">
        <v>271</v>
      </c>
      <c r="H23" s="71" t="s">
        <v>272</v>
      </c>
      <c r="I23" s="71"/>
      <c r="J23" s="71"/>
      <c r="K23" s="86" t="s">
        <v>814</v>
      </c>
      <c r="L23" s="89">
        <v>1000000</v>
      </c>
      <c r="M23" s="73" t="s">
        <v>361</v>
      </c>
      <c r="N23" s="73"/>
      <c r="O23" s="71"/>
      <c r="P23" s="73"/>
      <c r="Q23" s="100">
        <v>0.25</v>
      </c>
      <c r="R23" s="75">
        <v>200000</v>
      </c>
      <c r="S23" s="88"/>
      <c r="T23" s="76">
        <v>800000</v>
      </c>
      <c r="U23" s="80">
        <v>300000</v>
      </c>
      <c r="V23" s="80">
        <v>300000</v>
      </c>
      <c r="W23" s="80">
        <v>300000</v>
      </c>
      <c r="X23" s="80">
        <v>300000</v>
      </c>
      <c r="Y23" s="80">
        <v>300000</v>
      </c>
      <c r="Z23" s="80">
        <v>300000</v>
      </c>
      <c r="AA23" s="80">
        <v>300000</v>
      </c>
      <c r="AB23" s="80">
        <v>300000</v>
      </c>
      <c r="AC23" s="77">
        <v>200000</v>
      </c>
      <c r="AD23" s="75">
        <v>200000</v>
      </c>
      <c r="AE23" s="75">
        <v>200000</v>
      </c>
      <c r="AF23" s="75">
        <v>200000</v>
      </c>
      <c r="AG23" s="75">
        <v>200000</v>
      </c>
      <c r="AH23" s="75">
        <v>200000</v>
      </c>
      <c r="AI23" s="75">
        <v>200000</v>
      </c>
      <c r="AJ23" s="33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19" t="s">
        <v>719</v>
      </c>
      <c r="AW23" s="19" t="s">
        <v>689</v>
      </c>
      <c r="AX23" s="19" t="s">
        <v>261</v>
      </c>
      <c r="AY23" s="19" t="s">
        <v>720</v>
      </c>
      <c r="AZ23" s="19"/>
      <c r="BA23" s="19"/>
      <c r="BB23" s="19"/>
      <c r="BC23" s="19"/>
      <c r="BD23" s="19"/>
      <c r="BE23" s="19"/>
      <c r="BF23" s="24"/>
      <c r="BG23" s="19"/>
      <c r="BH23" s="25"/>
      <c r="BI23" s="25"/>
      <c r="BJ23" s="25"/>
      <c r="BK23" s="25"/>
      <c r="BL23" s="25"/>
      <c r="BM23" s="37"/>
      <c r="BN23" s="21"/>
      <c r="BO23" s="27">
        <v>75000</v>
      </c>
      <c r="BP23" s="27">
        <v>75000</v>
      </c>
      <c r="BQ23" s="27">
        <v>75000</v>
      </c>
      <c r="BR23" s="27">
        <v>75000</v>
      </c>
      <c r="BS23" s="28">
        <v>50000</v>
      </c>
      <c r="BT23" s="28">
        <v>50000</v>
      </c>
      <c r="BU23" s="28">
        <v>50000</v>
      </c>
      <c r="BV23" s="28">
        <v>50000</v>
      </c>
    </row>
    <row r="24" spans="1:74" ht="17.399999999999999" x14ac:dyDescent="0.25">
      <c r="A24" s="69">
        <v>46</v>
      </c>
      <c r="B24" s="70" t="s">
        <v>821</v>
      </c>
      <c r="C24" s="71" t="s">
        <v>243</v>
      </c>
      <c r="D24" s="86" t="s">
        <v>725</v>
      </c>
      <c r="E24" s="71" t="s">
        <v>712</v>
      </c>
      <c r="F24" s="86" t="s">
        <v>726</v>
      </c>
      <c r="G24" s="86" t="s">
        <v>305</v>
      </c>
      <c r="H24" s="86" t="s">
        <v>306</v>
      </c>
      <c r="I24" s="86"/>
      <c r="J24" s="86"/>
      <c r="K24" s="86" t="s">
        <v>814</v>
      </c>
      <c r="L24" s="80">
        <v>1200000</v>
      </c>
      <c r="M24" s="73" t="s">
        <v>361</v>
      </c>
      <c r="N24" s="73"/>
      <c r="O24" s="86" t="s">
        <v>95</v>
      </c>
      <c r="P24" s="90"/>
      <c r="Q24" s="100">
        <v>0.20499999999999999</v>
      </c>
      <c r="R24" s="75">
        <v>82000</v>
      </c>
      <c r="S24" s="73"/>
      <c r="T24" s="76">
        <v>400000</v>
      </c>
      <c r="U24" s="80">
        <v>100000</v>
      </c>
      <c r="V24" s="80">
        <v>100000</v>
      </c>
      <c r="W24" s="80">
        <v>100000</v>
      </c>
      <c r="X24" s="80">
        <v>100000</v>
      </c>
      <c r="Y24" s="80">
        <v>100000</v>
      </c>
      <c r="Z24" s="80">
        <v>100000</v>
      </c>
      <c r="AA24" s="80">
        <v>100000</v>
      </c>
      <c r="AB24" s="80">
        <v>120000</v>
      </c>
      <c r="AC24" s="77">
        <v>100000</v>
      </c>
      <c r="AD24" s="75">
        <v>100000</v>
      </c>
      <c r="AE24" s="75">
        <v>100000</v>
      </c>
      <c r="AF24" s="75">
        <v>100000</v>
      </c>
      <c r="AG24" s="75">
        <v>100000</v>
      </c>
      <c r="AH24" s="75">
        <v>100000</v>
      </c>
      <c r="AI24" s="75">
        <v>100000</v>
      </c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0" t="s">
        <v>719</v>
      </c>
      <c r="AW24" s="10" t="s">
        <v>689</v>
      </c>
      <c r="AX24" s="10" t="s">
        <v>261</v>
      </c>
      <c r="AY24" s="10" t="s">
        <v>720</v>
      </c>
      <c r="AZ24" s="10"/>
      <c r="BA24" s="10"/>
      <c r="BB24" s="10"/>
      <c r="BC24" s="12"/>
      <c r="BD24" s="12"/>
      <c r="BE24" s="12"/>
      <c r="BF24" s="12"/>
      <c r="BG24" s="49"/>
      <c r="BH24" s="49"/>
      <c r="BI24" s="49"/>
      <c r="BJ24" s="49"/>
      <c r="BK24" s="49"/>
      <c r="BL24" s="49"/>
      <c r="BM24" s="12"/>
      <c r="BN24" s="12"/>
      <c r="BO24" s="16">
        <v>20500</v>
      </c>
      <c r="BP24" s="16">
        <v>20500</v>
      </c>
      <c r="BQ24" s="16">
        <v>20500</v>
      </c>
      <c r="BR24" s="16">
        <v>24600</v>
      </c>
      <c r="BS24" s="17">
        <v>20500</v>
      </c>
      <c r="BT24" s="17">
        <v>20500</v>
      </c>
      <c r="BU24" s="17">
        <v>20500</v>
      </c>
      <c r="BV24" s="17">
        <v>20500</v>
      </c>
    </row>
    <row r="25" spans="1:74" ht="17.399999999999999" x14ac:dyDescent="0.25">
      <c r="A25" s="69">
        <v>47</v>
      </c>
      <c r="B25" s="73" t="s">
        <v>763</v>
      </c>
      <c r="C25" s="73" t="s">
        <v>235</v>
      </c>
      <c r="D25" s="71" t="s">
        <v>764</v>
      </c>
      <c r="E25" s="71" t="s">
        <v>712</v>
      </c>
      <c r="F25" s="71" t="s">
        <v>765</v>
      </c>
      <c r="G25" s="73" t="s">
        <v>139</v>
      </c>
      <c r="H25" s="73" t="s">
        <v>291</v>
      </c>
      <c r="I25" s="73"/>
      <c r="J25" s="73"/>
      <c r="K25" s="71" t="s">
        <v>783</v>
      </c>
      <c r="L25" s="80"/>
      <c r="M25" s="72" t="s">
        <v>361</v>
      </c>
      <c r="N25" s="73" t="s">
        <v>373</v>
      </c>
      <c r="O25" s="71"/>
      <c r="P25" s="71"/>
      <c r="Q25" s="100">
        <v>0.57999999999999996</v>
      </c>
      <c r="R25" s="75">
        <v>92800</v>
      </c>
      <c r="S25" s="88"/>
      <c r="T25" s="76">
        <v>160000</v>
      </c>
      <c r="U25" s="80">
        <v>40000</v>
      </c>
      <c r="V25" s="80">
        <v>40000</v>
      </c>
      <c r="W25" s="80">
        <v>40000</v>
      </c>
      <c r="X25" s="80">
        <v>40000</v>
      </c>
      <c r="Y25" s="80">
        <v>40000</v>
      </c>
      <c r="Z25" s="80">
        <v>40000</v>
      </c>
      <c r="AA25" s="80">
        <v>40000</v>
      </c>
      <c r="AB25" s="80">
        <v>40000</v>
      </c>
      <c r="AC25" s="77">
        <v>40000</v>
      </c>
      <c r="AD25" s="75">
        <v>40000</v>
      </c>
      <c r="AE25" s="75">
        <v>40000</v>
      </c>
      <c r="AF25" s="75">
        <v>40000</v>
      </c>
      <c r="AG25" s="75">
        <v>40000</v>
      </c>
      <c r="AH25" s="75">
        <v>40000</v>
      </c>
      <c r="AI25" s="75">
        <v>40000</v>
      </c>
      <c r="AJ25" s="33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19" t="s">
        <v>719</v>
      </c>
      <c r="AW25" s="19" t="s">
        <v>689</v>
      </c>
      <c r="AX25" s="19" t="s">
        <v>261</v>
      </c>
      <c r="AY25" s="19" t="s">
        <v>767</v>
      </c>
      <c r="AZ25" s="19" t="s">
        <v>785</v>
      </c>
      <c r="BA25" s="19" t="s">
        <v>786</v>
      </c>
      <c r="BB25" s="19" t="s">
        <v>787</v>
      </c>
      <c r="BC25" s="19"/>
      <c r="BD25" s="19"/>
      <c r="BE25" s="19"/>
      <c r="BF25" s="24"/>
      <c r="BG25" s="19"/>
      <c r="BH25" s="25"/>
      <c r="BI25" s="25"/>
      <c r="BJ25" s="25"/>
      <c r="BK25" s="25"/>
      <c r="BL25" s="25"/>
      <c r="BM25" s="37"/>
      <c r="BN25" s="21"/>
      <c r="BO25" s="27">
        <v>23200</v>
      </c>
      <c r="BP25" s="27">
        <v>23200</v>
      </c>
      <c r="BQ25" s="27">
        <v>23200</v>
      </c>
      <c r="BR25" s="27">
        <v>23200</v>
      </c>
      <c r="BS25" s="28">
        <v>23200</v>
      </c>
      <c r="BT25" s="28">
        <v>23200</v>
      </c>
      <c r="BU25" s="28">
        <v>23200</v>
      </c>
      <c r="BV25" s="28">
        <v>23200</v>
      </c>
    </row>
    <row r="26" spans="1:74" ht="17.399999999999999" x14ac:dyDescent="0.25">
      <c r="A26" s="69">
        <v>48</v>
      </c>
      <c r="B26" s="71" t="s">
        <v>822</v>
      </c>
      <c r="C26" s="71" t="s">
        <v>243</v>
      </c>
      <c r="D26" s="86" t="s">
        <v>725</v>
      </c>
      <c r="E26" s="71" t="s">
        <v>712</v>
      </c>
      <c r="F26" s="86" t="s">
        <v>799</v>
      </c>
      <c r="G26" s="86" t="s">
        <v>273</v>
      </c>
      <c r="H26" s="86" t="s">
        <v>626</v>
      </c>
      <c r="I26" s="86"/>
      <c r="J26" s="86"/>
      <c r="K26" s="86" t="s">
        <v>823</v>
      </c>
      <c r="L26" s="89">
        <v>2000000</v>
      </c>
      <c r="M26" s="73" t="s">
        <v>361</v>
      </c>
      <c r="N26" s="73"/>
      <c r="O26" s="71"/>
      <c r="P26" s="73"/>
      <c r="Q26" s="100">
        <v>0.12</v>
      </c>
      <c r="R26" s="75">
        <v>96000</v>
      </c>
      <c r="S26" s="88"/>
      <c r="T26" s="76">
        <v>800000</v>
      </c>
      <c r="U26" s="80">
        <v>200000</v>
      </c>
      <c r="V26" s="80">
        <v>200000</v>
      </c>
      <c r="W26" s="80">
        <v>200000</v>
      </c>
      <c r="X26" s="80">
        <v>200000</v>
      </c>
      <c r="Y26" s="80">
        <v>200000</v>
      </c>
      <c r="Z26" s="80">
        <v>200000</v>
      </c>
      <c r="AA26" s="80">
        <v>200000</v>
      </c>
      <c r="AB26" s="80">
        <v>200000</v>
      </c>
      <c r="AC26" s="77">
        <v>200000</v>
      </c>
      <c r="AD26" s="75">
        <v>200000</v>
      </c>
      <c r="AE26" s="75">
        <v>200000</v>
      </c>
      <c r="AF26" s="75">
        <v>200000</v>
      </c>
      <c r="AG26" s="75">
        <v>200000</v>
      </c>
      <c r="AH26" s="75">
        <v>200000</v>
      </c>
      <c r="AI26" s="75">
        <v>200000</v>
      </c>
      <c r="AJ26" s="3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0" t="s">
        <v>719</v>
      </c>
      <c r="AW26" s="10" t="s">
        <v>689</v>
      </c>
      <c r="AX26" s="10" t="s">
        <v>261</v>
      </c>
      <c r="AY26" s="10" t="s">
        <v>720</v>
      </c>
      <c r="AZ26" s="10"/>
      <c r="BA26" s="10"/>
      <c r="BB26" s="10"/>
      <c r="BC26" s="10"/>
      <c r="BD26" s="10"/>
      <c r="BE26" s="10"/>
      <c r="BF26" s="13"/>
      <c r="BG26" s="10"/>
      <c r="BH26" s="14"/>
      <c r="BI26" s="14"/>
      <c r="BJ26" s="14"/>
      <c r="BK26" s="14"/>
      <c r="BL26" s="14"/>
      <c r="BM26" s="35"/>
      <c r="BN26" s="11"/>
      <c r="BO26" s="16">
        <v>24000</v>
      </c>
      <c r="BP26" s="16">
        <v>24000</v>
      </c>
      <c r="BQ26" s="16">
        <v>24000</v>
      </c>
      <c r="BR26" s="16">
        <v>24000</v>
      </c>
      <c r="BS26" s="17">
        <v>24000</v>
      </c>
      <c r="BT26" s="17">
        <v>24000</v>
      </c>
      <c r="BU26" s="17">
        <v>24000</v>
      </c>
      <c r="BV26" s="17">
        <v>24000</v>
      </c>
    </row>
    <row r="27" spans="1:74" ht="17.399999999999999" x14ac:dyDescent="0.25">
      <c r="A27" s="69">
        <v>49</v>
      </c>
      <c r="B27" s="73" t="s">
        <v>824</v>
      </c>
      <c r="C27" s="73" t="s">
        <v>235</v>
      </c>
      <c r="D27" s="71" t="s">
        <v>725</v>
      </c>
      <c r="E27" s="71" t="s">
        <v>712</v>
      </c>
      <c r="F27" s="86" t="s">
        <v>726</v>
      </c>
      <c r="G27" s="86" t="s">
        <v>825</v>
      </c>
      <c r="H27" s="86" t="s">
        <v>826</v>
      </c>
      <c r="I27" s="86"/>
      <c r="J27" s="86"/>
      <c r="K27" s="86" t="s">
        <v>827</v>
      </c>
      <c r="L27" s="89"/>
      <c r="M27" s="73" t="s">
        <v>367</v>
      </c>
      <c r="N27" s="73"/>
      <c r="O27" s="86" t="s">
        <v>828</v>
      </c>
      <c r="P27" s="71"/>
      <c r="Q27" s="100">
        <v>0.22</v>
      </c>
      <c r="R27" s="75">
        <v>0</v>
      </c>
      <c r="S27" s="88"/>
      <c r="T27" s="76">
        <v>0</v>
      </c>
      <c r="U27" s="80">
        <v>100000</v>
      </c>
      <c r="V27" s="80">
        <v>100000</v>
      </c>
      <c r="W27" s="80">
        <v>15000</v>
      </c>
      <c r="X27" s="80">
        <v>15000</v>
      </c>
      <c r="Y27" s="80">
        <v>15000</v>
      </c>
      <c r="Z27" s="80">
        <v>15000</v>
      </c>
      <c r="AA27" s="80">
        <v>15000</v>
      </c>
      <c r="AB27" s="80">
        <v>65000</v>
      </c>
      <c r="AC27" s="77"/>
      <c r="AD27" s="75"/>
      <c r="AE27" s="75"/>
      <c r="AF27" s="75"/>
      <c r="AG27" s="75">
        <v>0</v>
      </c>
      <c r="AH27" s="75"/>
      <c r="AI27" s="75">
        <v>0</v>
      </c>
      <c r="AJ27" s="3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19" t="s">
        <v>719</v>
      </c>
      <c r="AW27" s="19" t="s">
        <v>689</v>
      </c>
      <c r="AX27" s="19" t="s">
        <v>261</v>
      </c>
      <c r="AY27" s="19" t="s">
        <v>720</v>
      </c>
      <c r="AZ27" s="19" t="s">
        <v>739</v>
      </c>
      <c r="BA27" s="19" t="s">
        <v>740</v>
      </c>
      <c r="BB27" s="19"/>
      <c r="BC27" s="19"/>
      <c r="BD27" s="19"/>
      <c r="BE27" s="19"/>
      <c r="BF27" s="24"/>
      <c r="BG27" s="19"/>
      <c r="BH27" s="19"/>
      <c r="BI27" s="19"/>
      <c r="BJ27" s="19"/>
      <c r="BK27" s="19"/>
      <c r="BL27" s="19"/>
      <c r="BM27" s="22"/>
      <c r="BN27" s="22"/>
      <c r="BO27" s="27">
        <v>3300</v>
      </c>
      <c r="BP27" s="27">
        <v>3300</v>
      </c>
      <c r="BQ27" s="27">
        <v>3300</v>
      </c>
      <c r="BR27" s="27">
        <v>14300</v>
      </c>
      <c r="BS27" s="28">
        <v>0</v>
      </c>
      <c r="BT27" s="28">
        <v>0</v>
      </c>
      <c r="BU27" s="28">
        <v>0</v>
      </c>
      <c r="BV27" s="28">
        <v>0</v>
      </c>
    </row>
    <row r="28" spans="1:74" ht="17.399999999999999" x14ac:dyDescent="0.25">
      <c r="A28" s="69">
        <v>50</v>
      </c>
      <c r="B28" s="71" t="s">
        <v>829</v>
      </c>
      <c r="C28" s="71" t="s">
        <v>243</v>
      </c>
      <c r="D28" s="71" t="s">
        <v>749</v>
      </c>
      <c r="E28" s="71" t="s">
        <v>712</v>
      </c>
      <c r="F28" s="71" t="s">
        <v>808</v>
      </c>
      <c r="G28" s="71" t="s">
        <v>616</v>
      </c>
      <c r="H28" s="71" t="s">
        <v>314</v>
      </c>
      <c r="I28" s="71"/>
      <c r="J28" s="71"/>
      <c r="K28" s="71" t="s">
        <v>830</v>
      </c>
      <c r="L28" s="80">
        <v>1200000</v>
      </c>
      <c r="M28" s="71" t="s">
        <v>361</v>
      </c>
      <c r="N28" s="71" t="s">
        <v>812</v>
      </c>
      <c r="O28" s="71"/>
      <c r="P28" s="71"/>
      <c r="Q28" s="103">
        <v>0.23</v>
      </c>
      <c r="R28" s="75">
        <v>18400</v>
      </c>
      <c r="S28" s="71"/>
      <c r="T28" s="76">
        <v>80000</v>
      </c>
      <c r="U28" s="80">
        <v>100000</v>
      </c>
      <c r="V28" s="80">
        <v>100000</v>
      </c>
      <c r="W28" s="80">
        <v>100000</v>
      </c>
      <c r="X28" s="80">
        <v>20000</v>
      </c>
      <c r="Y28" s="80">
        <v>20000</v>
      </c>
      <c r="Z28" s="80">
        <v>20000</v>
      </c>
      <c r="AA28" s="80">
        <v>20000</v>
      </c>
      <c r="AB28" s="80">
        <v>20000</v>
      </c>
      <c r="AC28" s="77">
        <v>20000</v>
      </c>
      <c r="AD28" s="75">
        <v>20000</v>
      </c>
      <c r="AE28" s="75">
        <v>20000</v>
      </c>
      <c r="AF28" s="75">
        <v>20000</v>
      </c>
      <c r="AG28" s="75">
        <v>20000</v>
      </c>
      <c r="AH28" s="75">
        <v>20000</v>
      </c>
      <c r="AI28" s="75">
        <v>20000</v>
      </c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0" t="s">
        <v>719</v>
      </c>
      <c r="AW28" s="10" t="s">
        <v>689</v>
      </c>
      <c r="AX28" s="10" t="s">
        <v>261</v>
      </c>
      <c r="AY28" s="10" t="s">
        <v>720</v>
      </c>
      <c r="AZ28" s="10"/>
      <c r="BA28" s="10"/>
      <c r="BB28" s="10"/>
      <c r="BC28" s="12"/>
      <c r="BD28" s="12"/>
      <c r="BE28" s="12"/>
      <c r="BF28" s="12"/>
      <c r="BG28" s="49"/>
      <c r="BH28" s="49"/>
      <c r="BI28" s="49"/>
      <c r="BJ28" s="49"/>
      <c r="BK28" s="49"/>
      <c r="BL28" s="49"/>
      <c r="BM28" s="12"/>
      <c r="BN28" s="12"/>
      <c r="BO28" s="16">
        <v>4600</v>
      </c>
      <c r="BP28" s="16">
        <v>4600</v>
      </c>
      <c r="BQ28" s="16">
        <v>4600</v>
      </c>
      <c r="BR28" s="16">
        <v>4600</v>
      </c>
      <c r="BS28" s="17">
        <v>4600</v>
      </c>
      <c r="BT28" s="17">
        <v>4600</v>
      </c>
      <c r="BU28" s="17">
        <v>4600</v>
      </c>
      <c r="BV28" s="17">
        <v>4600</v>
      </c>
    </row>
    <row r="29" spans="1:74" ht="17.399999999999999" x14ac:dyDescent="0.25">
      <c r="A29" s="69">
        <v>51</v>
      </c>
      <c r="B29" s="71" t="s">
        <v>822</v>
      </c>
      <c r="C29" s="71" t="s">
        <v>243</v>
      </c>
      <c r="D29" s="86" t="s">
        <v>725</v>
      </c>
      <c r="E29" s="71" t="s">
        <v>712</v>
      </c>
      <c r="F29" s="86" t="s">
        <v>799</v>
      </c>
      <c r="G29" s="86" t="s">
        <v>305</v>
      </c>
      <c r="H29" s="86" t="s">
        <v>306</v>
      </c>
      <c r="I29" s="86"/>
      <c r="J29" s="86"/>
      <c r="K29" s="86" t="s">
        <v>823</v>
      </c>
      <c r="L29" s="89">
        <v>1000000</v>
      </c>
      <c r="M29" s="73" t="s">
        <v>361</v>
      </c>
      <c r="N29" s="73"/>
      <c r="O29" s="71"/>
      <c r="P29" s="73"/>
      <c r="Q29" s="100">
        <v>0.20499999999999999</v>
      </c>
      <c r="R29" s="75">
        <v>82000</v>
      </c>
      <c r="S29" s="88"/>
      <c r="T29" s="76">
        <v>400000</v>
      </c>
      <c r="U29" s="80">
        <v>100000</v>
      </c>
      <c r="V29" s="80">
        <v>100000</v>
      </c>
      <c r="W29" s="80">
        <v>100000</v>
      </c>
      <c r="X29" s="80">
        <v>100000</v>
      </c>
      <c r="Y29" s="80">
        <v>100000</v>
      </c>
      <c r="Z29" s="80">
        <v>100000</v>
      </c>
      <c r="AA29" s="80">
        <v>100000</v>
      </c>
      <c r="AB29" s="80"/>
      <c r="AC29" s="77">
        <v>100000</v>
      </c>
      <c r="AD29" s="75">
        <v>100000</v>
      </c>
      <c r="AE29" s="75">
        <v>100000</v>
      </c>
      <c r="AF29" s="75">
        <v>100000</v>
      </c>
      <c r="AG29" s="75">
        <v>100000</v>
      </c>
      <c r="AH29" s="75">
        <v>100000</v>
      </c>
      <c r="AI29" s="75">
        <v>100000</v>
      </c>
      <c r="AJ29" s="33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19" t="s">
        <v>719</v>
      </c>
      <c r="AW29" s="19" t="s">
        <v>689</v>
      </c>
      <c r="AX29" s="19" t="s">
        <v>261</v>
      </c>
      <c r="AY29" s="19" t="s">
        <v>720</v>
      </c>
      <c r="AZ29" s="19"/>
      <c r="BA29" s="19"/>
      <c r="BB29" s="19"/>
      <c r="BC29" s="19"/>
      <c r="BD29" s="19"/>
      <c r="BE29" s="19"/>
      <c r="BF29" s="24"/>
      <c r="BG29" s="19"/>
      <c r="BH29" s="25"/>
      <c r="BI29" s="25"/>
      <c r="BJ29" s="25"/>
      <c r="BK29" s="25"/>
      <c r="BL29" s="25"/>
      <c r="BM29" s="37"/>
      <c r="BN29" s="21"/>
      <c r="BO29" s="27">
        <v>20500</v>
      </c>
      <c r="BP29" s="27">
        <v>20500</v>
      </c>
      <c r="BQ29" s="27">
        <v>20500</v>
      </c>
      <c r="BR29" s="27">
        <v>0</v>
      </c>
      <c r="BS29" s="28">
        <v>20500</v>
      </c>
      <c r="BT29" s="28">
        <v>20500</v>
      </c>
      <c r="BU29" s="28">
        <v>20500</v>
      </c>
      <c r="BV29" s="28">
        <v>20500</v>
      </c>
    </row>
    <row r="30" spans="1:74" ht="17.399999999999999" x14ac:dyDescent="0.25">
      <c r="A30" s="69">
        <v>52</v>
      </c>
      <c r="B30" s="71" t="s">
        <v>831</v>
      </c>
      <c r="C30" s="71" t="s">
        <v>243</v>
      </c>
      <c r="D30" s="71" t="s">
        <v>725</v>
      </c>
      <c r="E30" s="71" t="s">
        <v>712</v>
      </c>
      <c r="F30" s="71" t="s">
        <v>726</v>
      </c>
      <c r="G30" s="71" t="s">
        <v>271</v>
      </c>
      <c r="H30" s="71" t="s">
        <v>272</v>
      </c>
      <c r="I30" s="71"/>
      <c r="J30" s="71"/>
      <c r="K30" s="71" t="s">
        <v>832</v>
      </c>
      <c r="L30" s="80">
        <v>1000000</v>
      </c>
      <c r="M30" s="71" t="s">
        <v>110</v>
      </c>
      <c r="N30" s="71"/>
      <c r="O30" s="71"/>
      <c r="P30" s="71"/>
      <c r="Q30" s="100">
        <v>0.25</v>
      </c>
      <c r="R30" s="75">
        <v>245999.99999999997</v>
      </c>
      <c r="S30" s="71"/>
      <c r="T30" s="76">
        <v>400000</v>
      </c>
      <c r="U30" s="80">
        <v>100000</v>
      </c>
      <c r="V30" s="80">
        <v>100000</v>
      </c>
      <c r="W30" s="80">
        <v>100000</v>
      </c>
      <c r="X30" s="80">
        <v>100000</v>
      </c>
      <c r="Y30" s="80">
        <v>100000</v>
      </c>
      <c r="Z30" s="80">
        <v>100000</v>
      </c>
      <c r="AA30" s="80">
        <v>100000</v>
      </c>
      <c r="AB30" s="80">
        <v>100000</v>
      </c>
      <c r="AC30" s="77">
        <v>100000</v>
      </c>
      <c r="AD30" s="75">
        <v>100000</v>
      </c>
      <c r="AE30" s="75">
        <v>100000</v>
      </c>
      <c r="AF30" s="75">
        <v>100000</v>
      </c>
      <c r="AG30" s="75">
        <v>100000</v>
      </c>
      <c r="AH30" s="75">
        <v>100000</v>
      </c>
      <c r="AI30" s="75">
        <v>100000</v>
      </c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0"/>
      <c r="AW30" s="10"/>
      <c r="AX30" s="10" t="s">
        <v>258</v>
      </c>
      <c r="AY30" s="10"/>
      <c r="AZ30" s="10"/>
      <c r="BA30" s="10"/>
      <c r="BB30" s="10"/>
      <c r="BC30" s="12"/>
      <c r="BD30" s="12"/>
      <c r="BE30" s="12"/>
      <c r="BF30" s="12"/>
      <c r="BG30" s="49"/>
      <c r="BH30" s="49"/>
      <c r="BI30" s="49"/>
      <c r="BJ30" s="49"/>
      <c r="BK30" s="49"/>
      <c r="BL30" s="49"/>
      <c r="BM30" s="12"/>
      <c r="BN30" s="12"/>
      <c r="BO30" s="16"/>
      <c r="BP30" s="16"/>
      <c r="BQ30" s="16"/>
      <c r="BR30" s="16"/>
      <c r="BS30" s="17">
        <v>25000</v>
      </c>
      <c r="BT30" s="17">
        <v>25000</v>
      </c>
      <c r="BU30" s="17">
        <v>25000</v>
      </c>
      <c r="BV30" s="17">
        <v>25000</v>
      </c>
    </row>
    <row r="31" spans="1:74" ht="17.399999999999999" x14ac:dyDescent="0.25">
      <c r="A31" s="69">
        <v>53</v>
      </c>
      <c r="B31" s="73" t="s">
        <v>833</v>
      </c>
      <c r="C31" s="71" t="s">
        <v>243</v>
      </c>
      <c r="D31" s="71" t="s">
        <v>725</v>
      </c>
      <c r="E31" s="71" t="s">
        <v>712</v>
      </c>
      <c r="F31" s="86" t="s">
        <v>799</v>
      </c>
      <c r="G31" s="86" t="s">
        <v>273</v>
      </c>
      <c r="H31" s="86" t="s">
        <v>626</v>
      </c>
      <c r="I31" s="86"/>
      <c r="J31" s="86"/>
      <c r="K31" s="86" t="s">
        <v>834</v>
      </c>
      <c r="L31" s="89">
        <v>3000000</v>
      </c>
      <c r="M31" s="73" t="s">
        <v>251</v>
      </c>
      <c r="N31" s="73"/>
      <c r="O31" s="86" t="s">
        <v>835</v>
      </c>
      <c r="P31" s="71"/>
      <c r="Q31" s="100">
        <v>0.12</v>
      </c>
      <c r="R31" s="75">
        <v>96000</v>
      </c>
      <c r="S31" s="88"/>
      <c r="T31" s="76">
        <v>800000</v>
      </c>
      <c r="U31" s="80"/>
      <c r="V31" s="80"/>
      <c r="W31" s="80"/>
      <c r="X31" s="80">
        <v>200000</v>
      </c>
      <c r="Y31" s="80">
        <v>200000</v>
      </c>
      <c r="Z31" s="80">
        <v>200000</v>
      </c>
      <c r="AA31" s="80">
        <v>200000</v>
      </c>
      <c r="AB31" s="80">
        <v>200000</v>
      </c>
      <c r="AC31" s="77">
        <v>200000</v>
      </c>
      <c r="AD31" s="75">
        <v>200000</v>
      </c>
      <c r="AE31" s="75">
        <v>200000</v>
      </c>
      <c r="AF31" s="75">
        <v>200000</v>
      </c>
      <c r="AG31" s="75">
        <v>200000</v>
      </c>
      <c r="AH31" s="75">
        <v>200000</v>
      </c>
      <c r="AI31" s="75">
        <v>200000</v>
      </c>
      <c r="AJ31" s="33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19" t="s">
        <v>719</v>
      </c>
      <c r="AW31" s="19" t="s">
        <v>689</v>
      </c>
      <c r="AX31" s="19" t="s">
        <v>261</v>
      </c>
      <c r="AY31" s="19" t="s">
        <v>720</v>
      </c>
      <c r="AZ31" s="19"/>
      <c r="BA31" s="19"/>
      <c r="BB31" s="19"/>
      <c r="BC31" s="19"/>
      <c r="BD31" s="19"/>
      <c r="BE31" s="19"/>
      <c r="BF31" s="24"/>
      <c r="BG31" s="19"/>
      <c r="BH31" s="25"/>
      <c r="BI31" s="25"/>
      <c r="BJ31" s="25"/>
      <c r="BK31" s="25"/>
      <c r="BL31" s="25"/>
      <c r="BM31" s="37"/>
      <c r="BN31" s="21"/>
      <c r="BO31" s="27">
        <v>24000</v>
      </c>
      <c r="BP31" s="27">
        <v>24000</v>
      </c>
      <c r="BQ31" s="27">
        <v>24000</v>
      </c>
      <c r="BR31" s="27">
        <v>24000</v>
      </c>
      <c r="BS31" s="28">
        <v>24000</v>
      </c>
      <c r="BT31" s="28">
        <v>24000</v>
      </c>
      <c r="BU31" s="28">
        <v>24000</v>
      </c>
      <c r="BV31" s="28">
        <v>24000</v>
      </c>
    </row>
    <row r="32" spans="1:74" ht="17.399999999999999" x14ac:dyDescent="0.25">
      <c r="A32" s="69">
        <v>54</v>
      </c>
      <c r="B32" s="73" t="s">
        <v>836</v>
      </c>
      <c r="C32" s="71" t="s">
        <v>243</v>
      </c>
      <c r="D32" s="71" t="s">
        <v>725</v>
      </c>
      <c r="E32" s="71" t="s">
        <v>712</v>
      </c>
      <c r="F32" s="86" t="s">
        <v>799</v>
      </c>
      <c r="G32" s="86" t="s">
        <v>273</v>
      </c>
      <c r="H32" s="86" t="s">
        <v>626</v>
      </c>
      <c r="I32" s="86"/>
      <c r="J32" s="86"/>
      <c r="K32" s="86" t="s">
        <v>800</v>
      </c>
      <c r="L32" s="89">
        <v>3000000</v>
      </c>
      <c r="M32" s="73" t="s">
        <v>251</v>
      </c>
      <c r="N32" s="73"/>
      <c r="O32" s="86" t="s">
        <v>835</v>
      </c>
      <c r="P32" s="71"/>
      <c r="Q32" s="100">
        <v>0.12</v>
      </c>
      <c r="R32" s="75">
        <v>96000</v>
      </c>
      <c r="S32" s="88"/>
      <c r="T32" s="76">
        <v>800000</v>
      </c>
      <c r="U32" s="80"/>
      <c r="V32" s="80"/>
      <c r="W32" s="80"/>
      <c r="X32" s="80">
        <v>200000</v>
      </c>
      <c r="Y32" s="80">
        <v>200000</v>
      </c>
      <c r="Z32" s="80">
        <v>200000</v>
      </c>
      <c r="AA32" s="80">
        <v>200000</v>
      </c>
      <c r="AB32" s="80">
        <v>200000</v>
      </c>
      <c r="AC32" s="77">
        <v>200000</v>
      </c>
      <c r="AD32" s="75">
        <v>200000</v>
      </c>
      <c r="AE32" s="75">
        <v>200000</v>
      </c>
      <c r="AF32" s="75">
        <v>200000</v>
      </c>
      <c r="AG32" s="75">
        <v>200000</v>
      </c>
      <c r="AH32" s="75">
        <v>200000</v>
      </c>
      <c r="AI32" s="75">
        <v>200000</v>
      </c>
      <c r="AJ32" s="3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0" t="s">
        <v>719</v>
      </c>
      <c r="AW32" s="10" t="s">
        <v>689</v>
      </c>
      <c r="AX32" s="10" t="s">
        <v>261</v>
      </c>
      <c r="AY32" s="10" t="s">
        <v>720</v>
      </c>
      <c r="AZ32" s="10"/>
      <c r="BA32" s="10"/>
      <c r="BB32" s="10"/>
      <c r="BC32" s="10"/>
      <c r="BD32" s="10"/>
      <c r="BE32" s="10"/>
      <c r="BF32" s="13"/>
      <c r="BG32" s="10"/>
      <c r="BH32" s="14"/>
      <c r="BI32" s="14"/>
      <c r="BJ32" s="14"/>
      <c r="BK32" s="14"/>
      <c r="BL32" s="14"/>
      <c r="BM32" s="35"/>
      <c r="BN32" s="11"/>
      <c r="BO32" s="16">
        <v>24000</v>
      </c>
      <c r="BP32" s="16">
        <v>24000</v>
      </c>
      <c r="BQ32" s="16">
        <v>24000</v>
      </c>
      <c r="BR32" s="16">
        <v>24000</v>
      </c>
      <c r="BS32" s="17">
        <v>24000</v>
      </c>
      <c r="BT32" s="17">
        <v>24000</v>
      </c>
      <c r="BU32" s="17">
        <v>24000</v>
      </c>
      <c r="BV32" s="17">
        <v>24000</v>
      </c>
    </row>
    <row r="33" spans="1:74" ht="17.399999999999999" x14ac:dyDescent="0.25">
      <c r="A33" s="69">
        <v>55</v>
      </c>
      <c r="B33" s="70" t="s">
        <v>837</v>
      </c>
      <c r="C33" s="71" t="s">
        <v>243</v>
      </c>
      <c r="D33" s="86" t="s">
        <v>725</v>
      </c>
      <c r="E33" s="71" t="s">
        <v>712</v>
      </c>
      <c r="F33" s="86" t="s">
        <v>726</v>
      </c>
      <c r="G33" s="86" t="s">
        <v>838</v>
      </c>
      <c r="H33" s="86" t="s">
        <v>839</v>
      </c>
      <c r="I33" s="86"/>
      <c r="J33" s="86"/>
      <c r="K33" s="86" t="s">
        <v>761</v>
      </c>
      <c r="L33" s="80">
        <v>750000</v>
      </c>
      <c r="M33" s="73" t="s">
        <v>361</v>
      </c>
      <c r="N33" s="73"/>
      <c r="O33" s="86" t="s">
        <v>95</v>
      </c>
      <c r="P33" s="90"/>
      <c r="Q33" s="100">
        <v>0.37</v>
      </c>
      <c r="R33" s="75">
        <v>74000</v>
      </c>
      <c r="S33" s="73"/>
      <c r="T33" s="76">
        <v>200000</v>
      </c>
      <c r="U33" s="80">
        <v>50000</v>
      </c>
      <c r="V33" s="80">
        <v>50000</v>
      </c>
      <c r="W33" s="80">
        <v>50000</v>
      </c>
      <c r="X33" s="80">
        <v>50000</v>
      </c>
      <c r="Y33" s="80">
        <v>50000</v>
      </c>
      <c r="Z33" s="80">
        <v>50000</v>
      </c>
      <c r="AA33" s="80">
        <v>50000</v>
      </c>
      <c r="AB33" s="80">
        <v>50000</v>
      </c>
      <c r="AC33" s="77">
        <v>50000</v>
      </c>
      <c r="AD33" s="75">
        <v>50000</v>
      </c>
      <c r="AE33" s="75">
        <v>50000</v>
      </c>
      <c r="AF33" s="75">
        <v>50000</v>
      </c>
      <c r="AG33" s="75">
        <v>50000</v>
      </c>
      <c r="AH33" s="75">
        <v>50000</v>
      </c>
      <c r="AI33" s="75">
        <v>50000</v>
      </c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19" t="s">
        <v>719</v>
      </c>
      <c r="AW33" s="19" t="s">
        <v>689</v>
      </c>
      <c r="AX33" s="19" t="s">
        <v>261</v>
      </c>
      <c r="AY33" s="19" t="s">
        <v>720</v>
      </c>
      <c r="AZ33" s="19"/>
      <c r="BA33" s="19"/>
      <c r="BB33" s="19"/>
      <c r="BC33" s="22"/>
      <c r="BD33" s="22"/>
      <c r="BE33" s="22"/>
      <c r="BF33" s="22"/>
      <c r="BG33" s="48"/>
      <c r="BH33" s="48"/>
      <c r="BI33" s="48"/>
      <c r="BJ33" s="48"/>
      <c r="BK33" s="48"/>
      <c r="BL33" s="48"/>
      <c r="BM33" s="22"/>
      <c r="BN33" s="22"/>
      <c r="BO33" s="27">
        <v>18500</v>
      </c>
      <c r="BP33" s="27">
        <v>18500</v>
      </c>
      <c r="BQ33" s="27">
        <v>18500</v>
      </c>
      <c r="BR33" s="27">
        <v>18500</v>
      </c>
      <c r="BS33" s="28">
        <v>18500</v>
      </c>
      <c r="BT33" s="28">
        <v>18500</v>
      </c>
      <c r="BU33" s="28">
        <v>18500</v>
      </c>
      <c r="BV33" s="28">
        <v>18500</v>
      </c>
    </row>
    <row r="34" spans="1:74" ht="17.399999999999999" x14ac:dyDescent="0.25">
      <c r="A34" s="69">
        <v>56</v>
      </c>
      <c r="B34" s="70" t="s">
        <v>802</v>
      </c>
      <c r="C34" s="73" t="s">
        <v>235</v>
      </c>
      <c r="D34" s="70" t="s">
        <v>725</v>
      </c>
      <c r="E34" s="71" t="s">
        <v>712</v>
      </c>
      <c r="F34" s="70" t="s">
        <v>726</v>
      </c>
      <c r="G34" s="70" t="s">
        <v>840</v>
      </c>
      <c r="H34" s="70" t="s">
        <v>394</v>
      </c>
      <c r="I34" s="70"/>
      <c r="J34" s="70"/>
      <c r="K34" s="70" t="s">
        <v>805</v>
      </c>
      <c r="L34" s="89">
        <v>500000</v>
      </c>
      <c r="M34" s="73" t="s">
        <v>361</v>
      </c>
      <c r="N34" s="73"/>
      <c r="O34" s="71"/>
      <c r="P34" s="73"/>
      <c r="Q34" s="100">
        <v>0.35</v>
      </c>
      <c r="R34" s="75">
        <v>70000</v>
      </c>
      <c r="S34" s="88"/>
      <c r="T34" s="76">
        <v>200000</v>
      </c>
      <c r="U34" s="80">
        <v>50000</v>
      </c>
      <c r="V34" s="80">
        <v>50000</v>
      </c>
      <c r="W34" s="80">
        <v>50000</v>
      </c>
      <c r="X34" s="80">
        <v>50000</v>
      </c>
      <c r="Y34" s="80">
        <v>50000</v>
      </c>
      <c r="Z34" s="80">
        <v>50000</v>
      </c>
      <c r="AA34" s="80">
        <v>50000</v>
      </c>
      <c r="AB34" s="80">
        <v>50000</v>
      </c>
      <c r="AC34" s="77">
        <v>50000</v>
      </c>
      <c r="AD34" s="75">
        <v>50000</v>
      </c>
      <c r="AE34" s="75">
        <v>50000</v>
      </c>
      <c r="AF34" s="75">
        <v>50000</v>
      </c>
      <c r="AG34" s="75">
        <v>50000</v>
      </c>
      <c r="AH34" s="75">
        <v>50000</v>
      </c>
      <c r="AI34" s="75">
        <v>50000</v>
      </c>
      <c r="AJ34" s="3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0" t="s">
        <v>719</v>
      </c>
      <c r="AW34" s="10" t="s">
        <v>689</v>
      </c>
      <c r="AX34" s="10" t="s">
        <v>261</v>
      </c>
      <c r="AY34" s="10" t="s">
        <v>767</v>
      </c>
      <c r="AZ34" s="10" t="s">
        <v>768</v>
      </c>
      <c r="BA34" s="10" t="s">
        <v>769</v>
      </c>
      <c r="BB34" s="10" t="s">
        <v>770</v>
      </c>
      <c r="BC34" s="10"/>
      <c r="BD34" s="10"/>
      <c r="BE34" s="10"/>
      <c r="BF34" s="13"/>
      <c r="BG34" s="10"/>
      <c r="BH34" s="14"/>
      <c r="BI34" s="14"/>
      <c r="BJ34" s="14"/>
      <c r="BK34" s="14"/>
      <c r="BL34" s="14"/>
      <c r="BM34" s="35"/>
      <c r="BN34" s="11"/>
      <c r="BO34" s="16">
        <v>17500</v>
      </c>
      <c r="BP34" s="16">
        <v>17500</v>
      </c>
      <c r="BQ34" s="16">
        <v>17500</v>
      </c>
      <c r="BR34" s="16">
        <v>17500</v>
      </c>
      <c r="BS34" s="17">
        <v>17500</v>
      </c>
      <c r="BT34" s="17">
        <v>17500</v>
      </c>
      <c r="BU34" s="17">
        <v>17500</v>
      </c>
      <c r="BV34" s="17">
        <v>17500</v>
      </c>
    </row>
    <row r="35" spans="1:74" ht="17.399999999999999" x14ac:dyDescent="0.25">
      <c r="A35" s="69">
        <v>57</v>
      </c>
      <c r="B35" s="70" t="s">
        <v>841</v>
      </c>
      <c r="C35" s="71" t="s">
        <v>243</v>
      </c>
      <c r="D35" s="86" t="s">
        <v>725</v>
      </c>
      <c r="E35" s="71" t="s">
        <v>712</v>
      </c>
      <c r="F35" s="86" t="s">
        <v>726</v>
      </c>
      <c r="G35" s="86" t="s">
        <v>322</v>
      </c>
      <c r="H35" s="86" t="s">
        <v>842</v>
      </c>
      <c r="I35" s="86"/>
      <c r="J35" s="86"/>
      <c r="K35" s="86" t="s">
        <v>805</v>
      </c>
      <c r="L35" s="80">
        <v>750000</v>
      </c>
      <c r="M35" s="73" t="s">
        <v>361</v>
      </c>
      <c r="N35" s="73"/>
      <c r="O35" s="86" t="s">
        <v>95</v>
      </c>
      <c r="P35" s="90"/>
      <c r="Q35" s="103">
        <v>0.35</v>
      </c>
      <c r="R35" s="75">
        <v>70000</v>
      </c>
      <c r="S35" s="73"/>
      <c r="T35" s="76">
        <v>200000</v>
      </c>
      <c r="U35" s="80">
        <v>50000</v>
      </c>
      <c r="V35" s="80">
        <v>50000</v>
      </c>
      <c r="W35" s="80">
        <v>50000</v>
      </c>
      <c r="X35" s="80">
        <v>50000</v>
      </c>
      <c r="Y35" s="80">
        <v>50000</v>
      </c>
      <c r="Z35" s="80">
        <v>50000</v>
      </c>
      <c r="AA35" s="80">
        <v>50000</v>
      </c>
      <c r="AB35" s="80">
        <v>50000</v>
      </c>
      <c r="AC35" s="77">
        <v>50000</v>
      </c>
      <c r="AD35" s="75">
        <v>50000</v>
      </c>
      <c r="AE35" s="75">
        <v>50000</v>
      </c>
      <c r="AF35" s="75">
        <v>50000</v>
      </c>
      <c r="AG35" s="75">
        <v>50000</v>
      </c>
      <c r="AH35" s="75">
        <v>50000</v>
      </c>
      <c r="AI35" s="75">
        <v>50000</v>
      </c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19" t="s">
        <v>719</v>
      </c>
      <c r="AW35" s="19" t="s">
        <v>689</v>
      </c>
      <c r="AX35" s="19" t="s">
        <v>258</v>
      </c>
      <c r="AY35" s="19" t="s">
        <v>767</v>
      </c>
      <c r="AZ35" s="19" t="s">
        <v>768</v>
      </c>
      <c r="BA35" s="19" t="s">
        <v>769</v>
      </c>
      <c r="BB35" s="19" t="s">
        <v>770</v>
      </c>
      <c r="BC35" s="22"/>
      <c r="BD35" s="22"/>
      <c r="BE35" s="22"/>
      <c r="BF35" s="22"/>
      <c r="BG35" s="48"/>
      <c r="BH35" s="48"/>
      <c r="BI35" s="48"/>
      <c r="BJ35" s="48"/>
      <c r="BK35" s="48"/>
      <c r="BL35" s="48"/>
      <c r="BM35" s="22"/>
      <c r="BN35" s="22"/>
      <c r="BO35" s="27">
        <v>17500</v>
      </c>
      <c r="BP35" s="27">
        <v>17500</v>
      </c>
      <c r="BQ35" s="27">
        <v>17500</v>
      </c>
      <c r="BR35" s="27">
        <v>17500</v>
      </c>
      <c r="BS35" s="28">
        <v>17500</v>
      </c>
      <c r="BT35" s="28">
        <v>17500</v>
      </c>
      <c r="BU35" s="28">
        <v>17500</v>
      </c>
      <c r="BV35" s="28">
        <v>17500</v>
      </c>
    </row>
    <row r="36" spans="1:74" ht="17.399999999999999" x14ac:dyDescent="0.25">
      <c r="A36" s="69">
        <v>58</v>
      </c>
      <c r="B36" s="70" t="s">
        <v>843</v>
      </c>
      <c r="C36" s="71" t="s">
        <v>243</v>
      </c>
      <c r="D36" s="70" t="s">
        <v>725</v>
      </c>
      <c r="E36" s="71" t="s">
        <v>712</v>
      </c>
      <c r="F36" s="70" t="s">
        <v>799</v>
      </c>
      <c r="G36" s="86" t="s">
        <v>286</v>
      </c>
      <c r="H36" s="86" t="s">
        <v>287</v>
      </c>
      <c r="I36" s="86"/>
      <c r="J36" s="86"/>
      <c r="K36" s="70" t="s">
        <v>844</v>
      </c>
      <c r="L36" s="80">
        <v>2000000</v>
      </c>
      <c r="M36" s="73" t="s">
        <v>361</v>
      </c>
      <c r="N36" s="73"/>
      <c r="O36" s="70" t="s">
        <v>95</v>
      </c>
      <c r="P36" s="83"/>
      <c r="Q36" s="100">
        <v>0.115</v>
      </c>
      <c r="R36" s="75">
        <v>69000</v>
      </c>
      <c r="S36" s="73"/>
      <c r="T36" s="76">
        <v>600000</v>
      </c>
      <c r="U36" s="80">
        <v>150000</v>
      </c>
      <c r="V36" s="80">
        <v>150000</v>
      </c>
      <c r="W36" s="80">
        <v>150000</v>
      </c>
      <c r="X36" s="80">
        <v>150000</v>
      </c>
      <c r="Y36" s="80">
        <v>150000</v>
      </c>
      <c r="Z36" s="80">
        <v>150000</v>
      </c>
      <c r="AA36" s="80">
        <v>150000</v>
      </c>
      <c r="AB36" s="80">
        <v>150000</v>
      </c>
      <c r="AC36" s="77">
        <v>150000</v>
      </c>
      <c r="AD36" s="75">
        <v>150000</v>
      </c>
      <c r="AE36" s="75">
        <v>150000</v>
      </c>
      <c r="AF36" s="75">
        <v>150000</v>
      </c>
      <c r="AG36" s="75">
        <v>150000</v>
      </c>
      <c r="AH36" s="75">
        <v>150000</v>
      </c>
      <c r="AI36" s="75">
        <v>150000</v>
      </c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0" t="s">
        <v>719</v>
      </c>
      <c r="AW36" s="10" t="s">
        <v>689</v>
      </c>
      <c r="AX36" s="10" t="s">
        <v>261</v>
      </c>
      <c r="AY36" s="10" t="s">
        <v>720</v>
      </c>
      <c r="AZ36" s="10"/>
      <c r="BA36" s="10"/>
      <c r="BB36" s="10"/>
      <c r="BC36" s="12"/>
      <c r="BD36" s="12"/>
      <c r="BE36" s="12"/>
      <c r="BF36" s="12"/>
      <c r="BG36" s="49"/>
      <c r="BH36" s="49"/>
      <c r="BI36" s="49"/>
      <c r="BJ36" s="49"/>
      <c r="BK36" s="49"/>
      <c r="BL36" s="49"/>
      <c r="BM36" s="12"/>
      <c r="BN36" s="12"/>
      <c r="BO36" s="16">
        <v>17250</v>
      </c>
      <c r="BP36" s="16">
        <v>17250</v>
      </c>
      <c r="BQ36" s="16">
        <v>17250</v>
      </c>
      <c r="BR36" s="16">
        <v>17250</v>
      </c>
      <c r="BS36" s="17">
        <v>17250</v>
      </c>
      <c r="BT36" s="17">
        <v>17250</v>
      </c>
      <c r="BU36" s="17">
        <v>17250</v>
      </c>
      <c r="BV36" s="17">
        <v>17250</v>
      </c>
    </row>
    <row r="37" spans="1:74" ht="17.399999999999999" x14ac:dyDescent="0.25">
      <c r="A37" s="69">
        <v>59</v>
      </c>
      <c r="B37" s="73" t="s">
        <v>845</v>
      </c>
      <c r="C37" s="71" t="s">
        <v>235</v>
      </c>
      <c r="D37" s="71" t="s">
        <v>764</v>
      </c>
      <c r="E37" s="71" t="s">
        <v>712</v>
      </c>
      <c r="F37" s="71" t="s">
        <v>782</v>
      </c>
      <c r="G37" s="71" t="s">
        <v>271</v>
      </c>
      <c r="H37" s="71" t="s">
        <v>272</v>
      </c>
      <c r="I37" s="71"/>
      <c r="J37" s="71"/>
      <c r="K37" s="73" t="s">
        <v>846</v>
      </c>
      <c r="L37" s="80"/>
      <c r="M37" s="72" t="s">
        <v>361</v>
      </c>
      <c r="N37" s="73" t="s">
        <v>373</v>
      </c>
      <c r="O37" s="71"/>
      <c r="P37" s="71"/>
      <c r="Q37" s="100">
        <v>0.5</v>
      </c>
      <c r="R37" s="75">
        <v>20000</v>
      </c>
      <c r="S37" s="88"/>
      <c r="T37" s="76">
        <v>40000</v>
      </c>
      <c r="U37" s="80">
        <v>30000</v>
      </c>
      <c r="V37" s="80">
        <v>30000</v>
      </c>
      <c r="W37" s="80">
        <v>30000</v>
      </c>
      <c r="X37" s="80">
        <v>10000</v>
      </c>
      <c r="Y37" s="80">
        <v>10000</v>
      </c>
      <c r="Z37" s="80">
        <v>10000</v>
      </c>
      <c r="AA37" s="80">
        <v>10000</v>
      </c>
      <c r="AB37" s="80">
        <v>10000</v>
      </c>
      <c r="AC37" s="77">
        <v>10000</v>
      </c>
      <c r="AD37" s="75">
        <v>10000</v>
      </c>
      <c r="AE37" s="75">
        <v>10000</v>
      </c>
      <c r="AF37" s="75">
        <v>10000</v>
      </c>
      <c r="AG37" s="75">
        <v>10000</v>
      </c>
      <c r="AH37" s="75">
        <v>10000</v>
      </c>
      <c r="AI37" s="75">
        <v>10000</v>
      </c>
      <c r="AJ37" s="33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19" t="s">
        <v>719</v>
      </c>
      <c r="AW37" s="19" t="s">
        <v>689</v>
      </c>
      <c r="AX37" s="19" t="s">
        <v>261</v>
      </c>
      <c r="AY37" s="19" t="s">
        <v>720</v>
      </c>
      <c r="AZ37" s="19"/>
      <c r="BA37" s="19"/>
      <c r="BB37" s="19"/>
      <c r="BC37" s="19"/>
      <c r="BD37" s="19"/>
      <c r="BE37" s="19"/>
      <c r="BF37" s="24"/>
      <c r="BG37" s="19"/>
      <c r="BH37" s="25"/>
      <c r="BI37" s="25"/>
      <c r="BJ37" s="25"/>
      <c r="BK37" s="25"/>
      <c r="BL37" s="25"/>
      <c r="BM37" s="37"/>
      <c r="BN37" s="21"/>
      <c r="BO37" s="27">
        <v>5000</v>
      </c>
      <c r="BP37" s="27">
        <v>5000</v>
      </c>
      <c r="BQ37" s="27">
        <v>5000</v>
      </c>
      <c r="BR37" s="27">
        <v>5000</v>
      </c>
      <c r="BS37" s="28">
        <v>5000</v>
      </c>
      <c r="BT37" s="28">
        <v>5000</v>
      </c>
      <c r="BU37" s="28">
        <v>5000</v>
      </c>
      <c r="BV37" s="28">
        <v>5000</v>
      </c>
    </row>
    <row r="38" spans="1:74" ht="17.399999999999999" x14ac:dyDescent="0.25">
      <c r="A38" s="69">
        <v>60</v>
      </c>
      <c r="B38" s="70" t="s">
        <v>847</v>
      </c>
      <c r="C38" s="71" t="s">
        <v>243</v>
      </c>
      <c r="D38" s="70" t="s">
        <v>725</v>
      </c>
      <c r="E38" s="71" t="s">
        <v>712</v>
      </c>
      <c r="F38" s="70" t="s">
        <v>726</v>
      </c>
      <c r="G38" s="70" t="s">
        <v>848</v>
      </c>
      <c r="H38" s="70" t="s">
        <v>354</v>
      </c>
      <c r="I38" s="70"/>
      <c r="J38" s="70"/>
      <c r="K38" s="70" t="s">
        <v>849</v>
      </c>
      <c r="L38" s="89">
        <v>800000</v>
      </c>
      <c r="M38" s="73" t="s">
        <v>361</v>
      </c>
      <c r="N38" s="73"/>
      <c r="O38" s="70" t="s">
        <v>95</v>
      </c>
      <c r="P38" s="83"/>
      <c r="Q38" s="103">
        <v>0.21</v>
      </c>
      <c r="R38" s="75">
        <v>58800</v>
      </c>
      <c r="S38" s="88"/>
      <c r="T38" s="76">
        <v>280000</v>
      </c>
      <c r="U38" s="80">
        <v>70000</v>
      </c>
      <c r="V38" s="80">
        <v>70000</v>
      </c>
      <c r="W38" s="80">
        <v>70000</v>
      </c>
      <c r="X38" s="80">
        <v>70000</v>
      </c>
      <c r="Y38" s="80">
        <v>70000</v>
      </c>
      <c r="Z38" s="80">
        <v>70000</v>
      </c>
      <c r="AA38" s="80">
        <v>70000</v>
      </c>
      <c r="AB38" s="80">
        <v>70000</v>
      </c>
      <c r="AC38" s="77">
        <v>70000</v>
      </c>
      <c r="AD38" s="75">
        <v>70000</v>
      </c>
      <c r="AE38" s="75">
        <v>70000</v>
      </c>
      <c r="AF38" s="75">
        <v>70000</v>
      </c>
      <c r="AG38" s="75">
        <v>70000</v>
      </c>
      <c r="AH38" s="75">
        <v>70000</v>
      </c>
      <c r="AI38" s="75">
        <v>70000</v>
      </c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0" t="s">
        <v>719</v>
      </c>
      <c r="AW38" s="10" t="s">
        <v>689</v>
      </c>
      <c r="AX38" s="10" t="s">
        <v>261</v>
      </c>
      <c r="AY38" s="10" t="s">
        <v>720</v>
      </c>
      <c r="AZ38" s="10"/>
      <c r="BA38" s="10"/>
      <c r="BB38" s="10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6">
        <v>14700</v>
      </c>
      <c r="BP38" s="16">
        <v>14700</v>
      </c>
      <c r="BQ38" s="16">
        <v>14700</v>
      </c>
      <c r="BR38" s="16">
        <v>14700</v>
      </c>
      <c r="BS38" s="17">
        <v>14700</v>
      </c>
      <c r="BT38" s="17">
        <v>14700</v>
      </c>
      <c r="BU38" s="17">
        <v>14700</v>
      </c>
      <c r="BV38" s="17">
        <v>14700</v>
      </c>
    </row>
    <row r="39" spans="1:74" ht="17.399999999999999" x14ac:dyDescent="0.25">
      <c r="A39" s="69">
        <v>61</v>
      </c>
      <c r="B39" s="73" t="s">
        <v>850</v>
      </c>
      <c r="C39" s="73" t="s">
        <v>235</v>
      </c>
      <c r="D39" s="71" t="s">
        <v>851</v>
      </c>
      <c r="E39" s="71" t="s">
        <v>712</v>
      </c>
      <c r="F39" s="71" t="s">
        <v>852</v>
      </c>
      <c r="G39" s="71" t="s">
        <v>853</v>
      </c>
      <c r="H39" s="71" t="s">
        <v>854</v>
      </c>
      <c r="I39" s="71"/>
      <c r="J39" s="71"/>
      <c r="K39" s="71" t="s">
        <v>855</v>
      </c>
      <c r="L39" s="80">
        <v>400000</v>
      </c>
      <c r="M39" s="72" t="s">
        <v>361</v>
      </c>
      <c r="N39" s="73"/>
      <c r="O39" s="71"/>
      <c r="P39" s="71"/>
      <c r="Q39" s="100">
        <v>0.28000000000000003</v>
      </c>
      <c r="R39" s="75">
        <v>0</v>
      </c>
      <c r="S39" s="88"/>
      <c r="T39" s="76">
        <v>0</v>
      </c>
      <c r="U39" s="80"/>
      <c r="V39" s="72"/>
      <c r="W39" s="72"/>
      <c r="X39" s="72">
        <v>30000</v>
      </c>
      <c r="Y39" s="72">
        <v>30000</v>
      </c>
      <c r="Z39" s="72">
        <v>0</v>
      </c>
      <c r="AA39" s="72">
        <v>0</v>
      </c>
      <c r="AB39" s="72">
        <v>0</v>
      </c>
      <c r="AC39" s="77">
        <v>0</v>
      </c>
      <c r="AD39" s="75">
        <v>0</v>
      </c>
      <c r="AE39" s="75">
        <v>0</v>
      </c>
      <c r="AF39" s="75">
        <v>0</v>
      </c>
      <c r="AG39" s="75">
        <v>0</v>
      </c>
      <c r="AH39" s="75"/>
      <c r="AI39" s="75">
        <v>0</v>
      </c>
      <c r="AJ39" s="33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19" t="s">
        <v>719</v>
      </c>
      <c r="AW39" s="19" t="s">
        <v>689</v>
      </c>
      <c r="AX39" s="19" t="s">
        <v>258</v>
      </c>
      <c r="AY39" s="19" t="s">
        <v>730</v>
      </c>
      <c r="AZ39" s="19" t="s">
        <v>731</v>
      </c>
      <c r="BA39" s="19" t="s">
        <v>856</v>
      </c>
      <c r="BB39" s="19" t="s">
        <v>857</v>
      </c>
      <c r="BC39" s="19"/>
      <c r="BD39" s="19"/>
      <c r="BE39" s="19"/>
      <c r="BF39" s="24"/>
      <c r="BG39" s="19"/>
      <c r="BH39" s="25"/>
      <c r="BI39" s="25"/>
      <c r="BJ39" s="25"/>
      <c r="BK39" s="25"/>
      <c r="BL39" s="25"/>
      <c r="BM39" s="37"/>
      <c r="BN39" s="21"/>
      <c r="BO39" s="27">
        <v>8400</v>
      </c>
      <c r="BP39" s="27">
        <v>0</v>
      </c>
      <c r="BQ39" s="27">
        <v>0</v>
      </c>
      <c r="BR39" s="27">
        <v>0</v>
      </c>
      <c r="BS39" s="28">
        <v>0</v>
      </c>
      <c r="BT39" s="28">
        <v>0</v>
      </c>
      <c r="BU39" s="28">
        <v>0</v>
      </c>
      <c r="BV39" s="28">
        <v>0</v>
      </c>
    </row>
    <row r="40" spans="1:74" ht="17.399999999999999" x14ac:dyDescent="0.25">
      <c r="A40" s="69">
        <v>62</v>
      </c>
      <c r="B40" s="70" t="s">
        <v>858</v>
      </c>
      <c r="C40" s="71" t="s">
        <v>243</v>
      </c>
      <c r="D40" s="86" t="s">
        <v>725</v>
      </c>
      <c r="E40" s="71" t="s">
        <v>712</v>
      </c>
      <c r="F40" s="86" t="s">
        <v>799</v>
      </c>
      <c r="G40" s="86" t="s">
        <v>339</v>
      </c>
      <c r="H40" s="86" t="s">
        <v>340</v>
      </c>
      <c r="I40" s="86"/>
      <c r="J40" s="86"/>
      <c r="K40" s="86" t="s">
        <v>859</v>
      </c>
      <c r="L40" s="80">
        <v>700000</v>
      </c>
      <c r="M40" s="73" t="s">
        <v>361</v>
      </c>
      <c r="N40" s="73"/>
      <c r="O40" s="86" t="s">
        <v>95</v>
      </c>
      <c r="P40" s="90"/>
      <c r="Q40" s="103">
        <v>0.25</v>
      </c>
      <c r="R40" s="75">
        <v>50000</v>
      </c>
      <c r="S40" s="73"/>
      <c r="T40" s="76">
        <v>200000</v>
      </c>
      <c r="U40" s="80">
        <v>50000</v>
      </c>
      <c r="V40" s="80">
        <v>50000</v>
      </c>
      <c r="W40" s="80">
        <v>50000</v>
      </c>
      <c r="X40" s="80">
        <v>50000</v>
      </c>
      <c r="Y40" s="80">
        <v>50000</v>
      </c>
      <c r="Z40" s="80">
        <v>50000</v>
      </c>
      <c r="AA40" s="80">
        <v>50000</v>
      </c>
      <c r="AB40" s="80">
        <v>15000</v>
      </c>
      <c r="AC40" s="77">
        <v>50000</v>
      </c>
      <c r="AD40" s="75">
        <v>50000</v>
      </c>
      <c r="AE40" s="75">
        <v>50000</v>
      </c>
      <c r="AF40" s="75">
        <v>50000</v>
      </c>
      <c r="AG40" s="75">
        <v>50000</v>
      </c>
      <c r="AH40" s="75">
        <v>50000</v>
      </c>
      <c r="AI40" s="75">
        <v>50000</v>
      </c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0" t="s">
        <v>719</v>
      </c>
      <c r="AW40" s="10" t="s">
        <v>689</v>
      </c>
      <c r="AX40" s="10" t="s">
        <v>261</v>
      </c>
      <c r="AY40" s="10" t="s">
        <v>720</v>
      </c>
      <c r="AZ40" s="10"/>
      <c r="BA40" s="10"/>
      <c r="BB40" s="10"/>
      <c r="BC40" s="12"/>
      <c r="BD40" s="12"/>
      <c r="BE40" s="12"/>
      <c r="BF40" s="12"/>
      <c r="BG40" s="49"/>
      <c r="BH40" s="49"/>
      <c r="BI40" s="49"/>
      <c r="BJ40" s="49"/>
      <c r="BK40" s="49"/>
      <c r="BL40" s="49"/>
      <c r="BM40" s="12"/>
      <c r="BN40" s="12"/>
      <c r="BO40" s="16">
        <v>12500</v>
      </c>
      <c r="BP40" s="16">
        <v>12500</v>
      </c>
      <c r="BQ40" s="16">
        <v>12500</v>
      </c>
      <c r="BR40" s="16">
        <v>3750</v>
      </c>
      <c r="BS40" s="17">
        <v>12500</v>
      </c>
      <c r="BT40" s="17">
        <v>12500</v>
      </c>
      <c r="BU40" s="17">
        <v>12500</v>
      </c>
      <c r="BV40" s="17">
        <v>12500</v>
      </c>
    </row>
    <row r="41" spans="1:74" ht="17.399999999999999" x14ac:dyDescent="0.25">
      <c r="A41" s="69">
        <v>63</v>
      </c>
      <c r="B41" s="71" t="s">
        <v>829</v>
      </c>
      <c r="C41" s="73" t="s">
        <v>243</v>
      </c>
      <c r="D41" s="71" t="s">
        <v>749</v>
      </c>
      <c r="E41" s="71" t="s">
        <v>712</v>
      </c>
      <c r="F41" s="71" t="s">
        <v>808</v>
      </c>
      <c r="G41" s="71" t="s">
        <v>860</v>
      </c>
      <c r="H41" s="71" t="s">
        <v>861</v>
      </c>
      <c r="I41" s="71"/>
      <c r="J41" s="71"/>
      <c r="K41" s="71" t="s">
        <v>862</v>
      </c>
      <c r="L41" s="80">
        <v>720000</v>
      </c>
      <c r="M41" s="71" t="s">
        <v>361</v>
      </c>
      <c r="N41" s="71" t="s">
        <v>812</v>
      </c>
      <c r="O41" s="71"/>
      <c r="P41" s="71"/>
      <c r="Q41" s="103">
        <v>0.2</v>
      </c>
      <c r="R41" s="75">
        <v>24000</v>
      </c>
      <c r="S41" s="71"/>
      <c r="T41" s="76">
        <v>120000</v>
      </c>
      <c r="U41" s="80">
        <v>60000</v>
      </c>
      <c r="V41" s="80">
        <v>60000</v>
      </c>
      <c r="W41" s="80">
        <v>60000</v>
      </c>
      <c r="X41" s="80">
        <v>30000</v>
      </c>
      <c r="Y41" s="80">
        <v>30000</v>
      </c>
      <c r="Z41" s="80">
        <v>30000</v>
      </c>
      <c r="AA41" s="80">
        <v>30000</v>
      </c>
      <c r="AB41" s="80">
        <v>30000</v>
      </c>
      <c r="AC41" s="77">
        <v>30000</v>
      </c>
      <c r="AD41" s="75">
        <v>30000</v>
      </c>
      <c r="AE41" s="75">
        <v>30000</v>
      </c>
      <c r="AF41" s="75">
        <v>30000</v>
      </c>
      <c r="AG41" s="75">
        <v>30000</v>
      </c>
      <c r="AH41" s="75">
        <v>30000</v>
      </c>
      <c r="AI41" s="75">
        <v>30000</v>
      </c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19" t="s">
        <v>719</v>
      </c>
      <c r="AW41" s="19" t="s">
        <v>689</v>
      </c>
      <c r="AX41" s="19" t="s">
        <v>261</v>
      </c>
      <c r="AY41" s="19" t="s">
        <v>720</v>
      </c>
      <c r="AZ41" s="19"/>
      <c r="BA41" s="19"/>
      <c r="BB41" s="19"/>
      <c r="BC41" s="22"/>
      <c r="BD41" s="22"/>
      <c r="BE41" s="22"/>
      <c r="BF41" s="22"/>
      <c r="BG41" s="48"/>
      <c r="BH41" s="48"/>
      <c r="BI41" s="48"/>
      <c r="BJ41" s="48"/>
      <c r="BK41" s="48"/>
      <c r="BL41" s="48"/>
      <c r="BM41" s="22"/>
      <c r="BN41" s="22"/>
      <c r="BO41" s="27">
        <v>6000</v>
      </c>
      <c r="BP41" s="27">
        <v>6000</v>
      </c>
      <c r="BQ41" s="27">
        <v>6000</v>
      </c>
      <c r="BR41" s="27">
        <v>6000</v>
      </c>
      <c r="BS41" s="28">
        <v>6000</v>
      </c>
      <c r="BT41" s="28">
        <v>6000</v>
      </c>
      <c r="BU41" s="28">
        <v>6000</v>
      </c>
      <c r="BV41" s="28">
        <v>6000</v>
      </c>
    </row>
    <row r="42" spans="1:74" ht="17.399999999999999" x14ac:dyDescent="0.25">
      <c r="A42" s="69">
        <v>64</v>
      </c>
      <c r="B42" s="71" t="s">
        <v>863</v>
      </c>
      <c r="C42" s="73" t="s">
        <v>243</v>
      </c>
      <c r="D42" s="71" t="s">
        <v>749</v>
      </c>
      <c r="E42" s="71" t="s">
        <v>712</v>
      </c>
      <c r="F42" s="71" t="s">
        <v>864</v>
      </c>
      <c r="G42" s="71" t="s">
        <v>865</v>
      </c>
      <c r="H42" s="71" t="s">
        <v>866</v>
      </c>
      <c r="I42" s="71"/>
      <c r="J42" s="71"/>
      <c r="K42" s="71" t="s">
        <v>867</v>
      </c>
      <c r="L42" s="80">
        <v>600000</v>
      </c>
      <c r="M42" s="71" t="s">
        <v>251</v>
      </c>
      <c r="N42" s="71" t="s">
        <v>868</v>
      </c>
      <c r="O42" s="71" t="s">
        <v>869</v>
      </c>
      <c r="P42" s="71"/>
      <c r="Q42" s="103">
        <v>0.23</v>
      </c>
      <c r="R42" s="75">
        <v>0</v>
      </c>
      <c r="S42" s="71"/>
      <c r="T42" s="76">
        <v>0</v>
      </c>
      <c r="U42" s="80">
        <v>0</v>
      </c>
      <c r="V42" s="80">
        <v>0</v>
      </c>
      <c r="W42" s="80">
        <v>0</v>
      </c>
      <c r="X42" s="80"/>
      <c r="Y42" s="80"/>
      <c r="Z42" s="80"/>
      <c r="AA42" s="80"/>
      <c r="AB42" s="80"/>
      <c r="AC42" s="77"/>
      <c r="AD42" s="75"/>
      <c r="AE42" s="75"/>
      <c r="AF42" s="75"/>
      <c r="AG42" s="75">
        <v>0</v>
      </c>
      <c r="AH42" s="75"/>
      <c r="AI42" s="75">
        <v>0</v>
      </c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 t="s">
        <v>689</v>
      </c>
      <c r="AX42" s="10" t="s">
        <v>258</v>
      </c>
      <c r="AY42" s="10"/>
      <c r="AZ42" s="10"/>
      <c r="BA42" s="10"/>
      <c r="BB42" s="10"/>
      <c r="BC42" s="12"/>
      <c r="BD42" s="12"/>
      <c r="BE42" s="12"/>
      <c r="BF42" s="12"/>
      <c r="BG42" s="49"/>
      <c r="BH42" s="49"/>
      <c r="BI42" s="49"/>
      <c r="BJ42" s="49"/>
      <c r="BK42" s="49"/>
      <c r="BL42" s="49"/>
      <c r="BM42" s="12"/>
      <c r="BN42" s="12"/>
      <c r="BO42" s="16">
        <v>0</v>
      </c>
      <c r="BP42" s="16">
        <v>0</v>
      </c>
      <c r="BQ42" s="16">
        <v>0</v>
      </c>
      <c r="BR42" s="16">
        <v>0</v>
      </c>
      <c r="BS42" s="17">
        <v>0</v>
      </c>
      <c r="BT42" s="17">
        <v>0</v>
      </c>
      <c r="BU42" s="17">
        <v>0</v>
      </c>
      <c r="BV42" s="17">
        <v>0</v>
      </c>
    </row>
    <row r="43" spans="1:74" ht="17.399999999999999" x14ac:dyDescent="0.25">
      <c r="A43" s="69">
        <v>65</v>
      </c>
      <c r="B43" s="71" t="s">
        <v>870</v>
      </c>
      <c r="C43" s="73" t="s">
        <v>243</v>
      </c>
      <c r="D43" s="71" t="s">
        <v>749</v>
      </c>
      <c r="E43" s="71" t="s">
        <v>712</v>
      </c>
      <c r="F43" s="71" t="s">
        <v>808</v>
      </c>
      <c r="G43" s="70" t="s">
        <v>273</v>
      </c>
      <c r="H43" s="86" t="s">
        <v>626</v>
      </c>
      <c r="I43" s="71"/>
      <c r="J43" s="71"/>
      <c r="K43" s="71" t="s">
        <v>859</v>
      </c>
      <c r="L43" s="80">
        <v>360000</v>
      </c>
      <c r="M43" s="71" t="s">
        <v>361</v>
      </c>
      <c r="N43" s="71" t="s">
        <v>812</v>
      </c>
      <c r="O43" s="71"/>
      <c r="P43" s="71"/>
      <c r="Q43" s="103">
        <v>0.18</v>
      </c>
      <c r="R43" s="75">
        <v>21600</v>
      </c>
      <c r="S43" s="71"/>
      <c r="T43" s="76">
        <v>120000</v>
      </c>
      <c r="U43" s="80">
        <v>60000</v>
      </c>
      <c r="V43" s="80">
        <v>60000</v>
      </c>
      <c r="W43" s="80">
        <v>60000</v>
      </c>
      <c r="X43" s="80">
        <v>30000</v>
      </c>
      <c r="Y43" s="80">
        <v>30000</v>
      </c>
      <c r="Z43" s="80">
        <v>30000</v>
      </c>
      <c r="AA43" s="80">
        <v>30000</v>
      </c>
      <c r="AB43" s="80">
        <v>30000</v>
      </c>
      <c r="AC43" s="77">
        <v>30000</v>
      </c>
      <c r="AD43" s="75">
        <v>30000</v>
      </c>
      <c r="AE43" s="75">
        <v>30000</v>
      </c>
      <c r="AF43" s="75">
        <v>30000</v>
      </c>
      <c r="AG43" s="75">
        <v>30000</v>
      </c>
      <c r="AH43" s="75">
        <v>30000</v>
      </c>
      <c r="AI43" s="75">
        <v>30000</v>
      </c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19" t="s">
        <v>719</v>
      </c>
      <c r="AW43" s="19" t="s">
        <v>689</v>
      </c>
      <c r="AX43" s="19" t="s">
        <v>261</v>
      </c>
      <c r="AY43" s="19" t="s">
        <v>720</v>
      </c>
      <c r="AZ43" s="19"/>
      <c r="BA43" s="19"/>
      <c r="BB43" s="19"/>
      <c r="BC43" s="22"/>
      <c r="BD43" s="22"/>
      <c r="BE43" s="22"/>
      <c r="BF43" s="22"/>
      <c r="BG43" s="48"/>
      <c r="BH43" s="48"/>
      <c r="BI43" s="48"/>
      <c r="BJ43" s="48"/>
      <c r="BK43" s="48"/>
      <c r="BL43" s="48"/>
      <c r="BM43" s="22"/>
      <c r="BN43" s="22"/>
      <c r="BO43" s="27">
        <v>5400</v>
      </c>
      <c r="BP43" s="27">
        <v>5400</v>
      </c>
      <c r="BQ43" s="27">
        <v>5400</v>
      </c>
      <c r="BR43" s="27">
        <v>5400</v>
      </c>
      <c r="BS43" s="28">
        <v>5400</v>
      </c>
      <c r="BT43" s="28">
        <v>5400</v>
      </c>
      <c r="BU43" s="28">
        <v>5400</v>
      </c>
      <c r="BV43" s="28">
        <v>5400</v>
      </c>
    </row>
    <row r="44" spans="1:74" ht="17.399999999999999" x14ac:dyDescent="0.25">
      <c r="A44" s="69">
        <v>66</v>
      </c>
      <c r="B44" s="70" t="s">
        <v>843</v>
      </c>
      <c r="C44" s="71" t="s">
        <v>243</v>
      </c>
      <c r="D44" s="70" t="s">
        <v>725</v>
      </c>
      <c r="E44" s="71" t="s">
        <v>712</v>
      </c>
      <c r="F44" s="70" t="s">
        <v>726</v>
      </c>
      <c r="G44" s="70" t="s">
        <v>273</v>
      </c>
      <c r="H44" s="86" t="s">
        <v>626</v>
      </c>
      <c r="I44" s="70"/>
      <c r="J44" s="70"/>
      <c r="K44" s="86" t="s">
        <v>871</v>
      </c>
      <c r="L44" s="80">
        <v>1000000</v>
      </c>
      <c r="M44" s="73" t="s">
        <v>361</v>
      </c>
      <c r="N44" s="73"/>
      <c r="O44" s="86" t="s">
        <v>95</v>
      </c>
      <c r="P44" s="90"/>
      <c r="Q44" s="100">
        <v>0.12</v>
      </c>
      <c r="R44" s="75">
        <v>38400</v>
      </c>
      <c r="S44" s="73"/>
      <c r="T44" s="76">
        <v>320000</v>
      </c>
      <c r="U44" s="80">
        <v>80000</v>
      </c>
      <c r="V44" s="80">
        <v>80000</v>
      </c>
      <c r="W44" s="80">
        <v>80000</v>
      </c>
      <c r="X44" s="80">
        <v>80000</v>
      </c>
      <c r="Y44" s="80">
        <v>80000</v>
      </c>
      <c r="Z44" s="80">
        <v>80000</v>
      </c>
      <c r="AA44" s="80">
        <v>80000</v>
      </c>
      <c r="AB44" s="80">
        <v>80000</v>
      </c>
      <c r="AC44" s="77">
        <v>80000</v>
      </c>
      <c r="AD44" s="75">
        <v>80000</v>
      </c>
      <c r="AE44" s="75">
        <v>80000</v>
      </c>
      <c r="AF44" s="75">
        <v>80000</v>
      </c>
      <c r="AG44" s="75">
        <v>80000</v>
      </c>
      <c r="AH44" s="75">
        <v>80000</v>
      </c>
      <c r="AI44" s="75">
        <v>80000</v>
      </c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0" t="s">
        <v>719</v>
      </c>
      <c r="AW44" s="10" t="s">
        <v>689</v>
      </c>
      <c r="AX44" s="10" t="s">
        <v>261</v>
      </c>
      <c r="AY44" s="10" t="s">
        <v>720</v>
      </c>
      <c r="AZ44" s="10"/>
      <c r="BA44" s="10"/>
      <c r="BB44" s="10"/>
      <c r="BC44" s="12"/>
      <c r="BD44" s="12"/>
      <c r="BE44" s="12"/>
      <c r="BF44" s="12"/>
      <c r="BG44" s="49"/>
      <c r="BH44" s="49"/>
      <c r="BI44" s="49"/>
      <c r="BJ44" s="49"/>
      <c r="BK44" s="49"/>
      <c r="BL44" s="49"/>
      <c r="BM44" s="12"/>
      <c r="BN44" s="12"/>
      <c r="BO44" s="16">
        <v>9600</v>
      </c>
      <c r="BP44" s="16">
        <v>9600</v>
      </c>
      <c r="BQ44" s="16">
        <v>9600</v>
      </c>
      <c r="BR44" s="16">
        <v>9600</v>
      </c>
      <c r="BS44" s="17">
        <v>9600</v>
      </c>
      <c r="BT44" s="17">
        <v>9600</v>
      </c>
      <c r="BU44" s="17">
        <v>9600</v>
      </c>
      <c r="BV44" s="17">
        <v>9600</v>
      </c>
    </row>
    <row r="45" spans="1:74" ht="17.399999999999999" x14ac:dyDescent="0.25">
      <c r="A45" s="69">
        <v>67</v>
      </c>
      <c r="B45" s="71" t="s">
        <v>870</v>
      </c>
      <c r="C45" s="73" t="s">
        <v>243</v>
      </c>
      <c r="D45" s="71" t="s">
        <v>749</v>
      </c>
      <c r="E45" s="71" t="s">
        <v>712</v>
      </c>
      <c r="F45" s="71" t="s">
        <v>808</v>
      </c>
      <c r="G45" s="71" t="s">
        <v>303</v>
      </c>
      <c r="H45" s="71" t="s">
        <v>304</v>
      </c>
      <c r="I45" s="71"/>
      <c r="J45" s="71"/>
      <c r="K45" s="71" t="s">
        <v>830</v>
      </c>
      <c r="L45" s="80">
        <v>240000</v>
      </c>
      <c r="M45" s="71" t="s">
        <v>361</v>
      </c>
      <c r="N45" s="71" t="s">
        <v>812</v>
      </c>
      <c r="O45" s="71"/>
      <c r="P45" s="71"/>
      <c r="Q45" s="103">
        <v>0.52</v>
      </c>
      <c r="R45" s="75">
        <v>20800</v>
      </c>
      <c r="S45" s="71"/>
      <c r="T45" s="76">
        <v>40000</v>
      </c>
      <c r="U45" s="80">
        <v>20000</v>
      </c>
      <c r="V45" s="80">
        <v>20000</v>
      </c>
      <c r="W45" s="80">
        <v>20000</v>
      </c>
      <c r="X45" s="80">
        <v>10000</v>
      </c>
      <c r="Y45" s="80">
        <v>10000</v>
      </c>
      <c r="Z45" s="80">
        <v>10000</v>
      </c>
      <c r="AA45" s="80">
        <v>10000</v>
      </c>
      <c r="AB45" s="80">
        <v>10000</v>
      </c>
      <c r="AC45" s="77">
        <v>10000</v>
      </c>
      <c r="AD45" s="75">
        <v>10000</v>
      </c>
      <c r="AE45" s="75">
        <v>10000</v>
      </c>
      <c r="AF45" s="75">
        <v>10000</v>
      </c>
      <c r="AG45" s="75">
        <v>10000</v>
      </c>
      <c r="AH45" s="75">
        <v>10000</v>
      </c>
      <c r="AI45" s="75">
        <v>10000</v>
      </c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19" t="s">
        <v>719</v>
      </c>
      <c r="AW45" s="19" t="s">
        <v>689</v>
      </c>
      <c r="AX45" s="19" t="s">
        <v>261</v>
      </c>
      <c r="AY45" s="19" t="s">
        <v>720</v>
      </c>
      <c r="AZ45" s="19"/>
      <c r="BA45" s="19"/>
      <c r="BB45" s="19"/>
      <c r="BC45" s="22"/>
      <c r="BD45" s="22"/>
      <c r="BE45" s="22"/>
      <c r="BF45" s="22"/>
      <c r="BG45" s="48"/>
      <c r="BH45" s="48"/>
      <c r="BI45" s="48"/>
      <c r="BJ45" s="48"/>
      <c r="BK45" s="48"/>
      <c r="BL45" s="48"/>
      <c r="BM45" s="22"/>
      <c r="BN45" s="22"/>
      <c r="BO45" s="27">
        <v>5200</v>
      </c>
      <c r="BP45" s="27">
        <v>5200</v>
      </c>
      <c r="BQ45" s="27">
        <v>5200</v>
      </c>
      <c r="BR45" s="27">
        <v>5200</v>
      </c>
      <c r="BS45" s="28">
        <v>5200</v>
      </c>
      <c r="BT45" s="28">
        <v>5200</v>
      </c>
      <c r="BU45" s="28">
        <v>5200</v>
      </c>
      <c r="BV45" s="28">
        <v>5200</v>
      </c>
    </row>
    <row r="46" spans="1:74" ht="17.399999999999999" x14ac:dyDescent="0.25">
      <c r="A46" s="69">
        <v>68</v>
      </c>
      <c r="B46" s="71" t="s">
        <v>872</v>
      </c>
      <c r="C46" s="73" t="s">
        <v>243</v>
      </c>
      <c r="D46" s="71" t="s">
        <v>749</v>
      </c>
      <c r="E46" s="71" t="s">
        <v>712</v>
      </c>
      <c r="F46" s="71" t="s">
        <v>873</v>
      </c>
      <c r="G46" s="71" t="s">
        <v>860</v>
      </c>
      <c r="H46" s="71" t="s">
        <v>861</v>
      </c>
      <c r="I46" s="71"/>
      <c r="J46" s="71"/>
      <c r="K46" s="71" t="s">
        <v>874</v>
      </c>
      <c r="L46" s="80">
        <v>600000</v>
      </c>
      <c r="M46" s="71" t="s">
        <v>367</v>
      </c>
      <c r="N46" s="71" t="s">
        <v>754</v>
      </c>
      <c r="O46" s="71"/>
      <c r="P46" s="71"/>
      <c r="Q46" s="103">
        <v>0.2</v>
      </c>
      <c r="R46" s="75">
        <v>40000</v>
      </c>
      <c r="S46" s="71"/>
      <c r="T46" s="76">
        <v>200000</v>
      </c>
      <c r="U46" s="80">
        <v>50000</v>
      </c>
      <c r="V46" s="80">
        <v>50000</v>
      </c>
      <c r="W46" s="80">
        <v>50000</v>
      </c>
      <c r="X46" s="80">
        <v>50000</v>
      </c>
      <c r="Y46" s="80">
        <v>50000</v>
      </c>
      <c r="Z46" s="80">
        <v>50000</v>
      </c>
      <c r="AA46" s="80">
        <v>50000</v>
      </c>
      <c r="AB46" s="80">
        <v>50000</v>
      </c>
      <c r="AC46" s="77">
        <v>50000</v>
      </c>
      <c r="AD46" s="75">
        <v>50000</v>
      </c>
      <c r="AE46" s="75">
        <v>50000</v>
      </c>
      <c r="AF46" s="75">
        <v>50000</v>
      </c>
      <c r="AG46" s="75">
        <v>50000</v>
      </c>
      <c r="AH46" s="75">
        <v>50000</v>
      </c>
      <c r="AI46" s="75">
        <v>50000</v>
      </c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0" t="s">
        <v>719</v>
      </c>
      <c r="AW46" s="10" t="s">
        <v>689</v>
      </c>
      <c r="AX46" s="10" t="s">
        <v>261</v>
      </c>
      <c r="AY46" s="10" t="s">
        <v>730</v>
      </c>
      <c r="AZ46" s="10"/>
      <c r="BA46" s="10"/>
      <c r="BB46" s="10"/>
      <c r="BC46" s="12"/>
      <c r="BD46" s="12"/>
      <c r="BE46" s="12"/>
      <c r="BF46" s="12"/>
      <c r="BG46" s="49"/>
      <c r="BH46" s="49"/>
      <c r="BI46" s="49"/>
      <c r="BJ46" s="49"/>
      <c r="BK46" s="49"/>
      <c r="BL46" s="49"/>
      <c r="BM46" s="12"/>
      <c r="BN46" s="12"/>
      <c r="BO46" s="16">
        <v>10000</v>
      </c>
      <c r="BP46" s="16">
        <v>10000</v>
      </c>
      <c r="BQ46" s="16">
        <v>10000</v>
      </c>
      <c r="BR46" s="16">
        <v>10000</v>
      </c>
      <c r="BS46" s="17">
        <v>10000</v>
      </c>
      <c r="BT46" s="17">
        <v>10000</v>
      </c>
      <c r="BU46" s="17">
        <v>10000</v>
      </c>
      <c r="BV46" s="17">
        <v>10000</v>
      </c>
    </row>
    <row r="47" spans="1:74" ht="17.399999999999999" x14ac:dyDescent="0.25">
      <c r="A47" s="69">
        <v>69</v>
      </c>
      <c r="B47" s="73" t="s">
        <v>788</v>
      </c>
      <c r="C47" s="71" t="s">
        <v>243</v>
      </c>
      <c r="D47" s="71" t="s">
        <v>789</v>
      </c>
      <c r="E47" s="71" t="s">
        <v>712</v>
      </c>
      <c r="F47" s="86" t="s">
        <v>790</v>
      </c>
      <c r="G47" s="71" t="s">
        <v>809</v>
      </c>
      <c r="H47" s="71" t="s">
        <v>810</v>
      </c>
      <c r="I47" s="71"/>
      <c r="J47" s="71"/>
      <c r="K47" s="71" t="s">
        <v>792</v>
      </c>
      <c r="L47" s="80">
        <v>30000</v>
      </c>
      <c r="M47" s="72" t="s">
        <v>361</v>
      </c>
      <c r="N47" s="73" t="s">
        <v>793</v>
      </c>
      <c r="O47" s="71" t="s">
        <v>95</v>
      </c>
      <c r="P47" s="71" t="s">
        <v>95</v>
      </c>
      <c r="Q47" s="100">
        <v>3</v>
      </c>
      <c r="R47" s="75">
        <v>36000</v>
      </c>
      <c r="S47" s="91"/>
      <c r="T47" s="76">
        <v>12000</v>
      </c>
      <c r="U47" s="80">
        <v>3000</v>
      </c>
      <c r="V47" s="80">
        <v>3000</v>
      </c>
      <c r="W47" s="80">
        <v>3000</v>
      </c>
      <c r="X47" s="80">
        <v>3000</v>
      </c>
      <c r="Y47" s="80">
        <v>3000</v>
      </c>
      <c r="Z47" s="80">
        <v>3000</v>
      </c>
      <c r="AA47" s="80">
        <v>3000</v>
      </c>
      <c r="AB47" s="80">
        <v>3000</v>
      </c>
      <c r="AC47" s="77">
        <v>3000</v>
      </c>
      <c r="AD47" s="75">
        <v>3000</v>
      </c>
      <c r="AE47" s="75">
        <v>3000</v>
      </c>
      <c r="AF47" s="75">
        <v>3000</v>
      </c>
      <c r="AG47" s="75">
        <v>3000</v>
      </c>
      <c r="AH47" s="75">
        <v>3000</v>
      </c>
      <c r="AI47" s="75">
        <v>3000</v>
      </c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19" t="s">
        <v>719</v>
      </c>
      <c r="AW47" s="19" t="s">
        <v>689</v>
      </c>
      <c r="AX47" s="19" t="s">
        <v>794</v>
      </c>
      <c r="AY47" s="19" t="s">
        <v>720</v>
      </c>
      <c r="AZ47" s="19"/>
      <c r="BA47" s="19"/>
      <c r="BB47" s="19"/>
      <c r="BC47" s="22"/>
      <c r="BD47" s="22"/>
      <c r="BE47" s="22"/>
      <c r="BF47" s="22"/>
      <c r="BG47" s="48"/>
      <c r="BH47" s="48"/>
      <c r="BI47" s="48"/>
      <c r="BJ47" s="48"/>
      <c r="BK47" s="48"/>
      <c r="BL47" s="48"/>
      <c r="BM47" s="22"/>
      <c r="BN47" s="22"/>
      <c r="BO47" s="27">
        <v>9000</v>
      </c>
      <c r="BP47" s="27">
        <v>9000</v>
      </c>
      <c r="BQ47" s="27">
        <v>9000</v>
      </c>
      <c r="BR47" s="27">
        <v>9000</v>
      </c>
      <c r="BS47" s="28">
        <v>9000</v>
      </c>
      <c r="BT47" s="28">
        <v>9000</v>
      </c>
      <c r="BU47" s="28">
        <v>9000</v>
      </c>
      <c r="BV47" s="28">
        <v>9000</v>
      </c>
    </row>
    <row r="48" spans="1:74" ht="17.399999999999999" x14ac:dyDescent="0.25">
      <c r="A48" s="69">
        <v>70</v>
      </c>
      <c r="B48" s="73" t="s">
        <v>875</v>
      </c>
      <c r="C48" s="71" t="s">
        <v>243</v>
      </c>
      <c r="D48" s="71" t="s">
        <v>764</v>
      </c>
      <c r="E48" s="71" t="s">
        <v>712</v>
      </c>
      <c r="F48" s="71" t="s">
        <v>782</v>
      </c>
      <c r="G48" s="71" t="s">
        <v>803</v>
      </c>
      <c r="H48" s="71" t="s">
        <v>804</v>
      </c>
      <c r="I48" s="71"/>
      <c r="J48" s="71"/>
      <c r="K48" s="73" t="s">
        <v>876</v>
      </c>
      <c r="L48" s="80"/>
      <c r="M48" s="72" t="s">
        <v>251</v>
      </c>
      <c r="N48" s="73" t="s">
        <v>877</v>
      </c>
      <c r="O48" s="71"/>
      <c r="P48" s="71"/>
      <c r="Q48" s="100">
        <v>0.52</v>
      </c>
      <c r="R48" s="75">
        <v>41600</v>
      </c>
      <c r="S48" s="88"/>
      <c r="T48" s="76">
        <v>80000</v>
      </c>
      <c r="U48" s="80"/>
      <c r="V48" s="80"/>
      <c r="W48" s="80"/>
      <c r="X48" s="80">
        <v>20000</v>
      </c>
      <c r="Y48" s="80">
        <v>20000</v>
      </c>
      <c r="Z48" s="80">
        <v>20000</v>
      </c>
      <c r="AA48" s="80">
        <v>20000</v>
      </c>
      <c r="AB48" s="80">
        <v>20000</v>
      </c>
      <c r="AC48" s="77">
        <v>20000</v>
      </c>
      <c r="AD48" s="75">
        <v>20000</v>
      </c>
      <c r="AE48" s="75">
        <v>20000</v>
      </c>
      <c r="AF48" s="75">
        <v>20000</v>
      </c>
      <c r="AG48" s="75">
        <v>20000</v>
      </c>
      <c r="AH48" s="75">
        <v>20000</v>
      </c>
      <c r="AI48" s="75">
        <v>20000</v>
      </c>
      <c r="AJ48" s="3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0" t="s">
        <v>719</v>
      </c>
      <c r="AW48" s="10" t="s">
        <v>689</v>
      </c>
      <c r="AX48" s="10" t="s">
        <v>261</v>
      </c>
      <c r="AY48" s="10" t="s">
        <v>767</v>
      </c>
      <c r="AZ48" s="10" t="s">
        <v>768</v>
      </c>
      <c r="BA48" s="10" t="s">
        <v>878</v>
      </c>
      <c r="BB48" s="10" t="s">
        <v>879</v>
      </c>
      <c r="BC48" s="10" t="s">
        <v>880</v>
      </c>
      <c r="BD48" s="10"/>
      <c r="BE48" s="10" t="s">
        <v>881</v>
      </c>
      <c r="BF48" s="13"/>
      <c r="BG48" s="10"/>
      <c r="BH48" s="14"/>
      <c r="BI48" s="14"/>
      <c r="BJ48" s="14"/>
      <c r="BK48" s="14"/>
      <c r="BL48" s="14"/>
      <c r="BM48" s="35"/>
      <c r="BN48" s="11"/>
      <c r="BO48" s="16">
        <v>10400</v>
      </c>
      <c r="BP48" s="16">
        <v>10400</v>
      </c>
      <c r="BQ48" s="16">
        <v>10400</v>
      </c>
      <c r="BR48" s="16">
        <v>10400</v>
      </c>
      <c r="BS48" s="17">
        <v>10400</v>
      </c>
      <c r="BT48" s="17">
        <v>10400</v>
      </c>
      <c r="BU48" s="17">
        <v>10400</v>
      </c>
      <c r="BV48" s="17">
        <v>10400</v>
      </c>
    </row>
    <row r="49" spans="1:74" ht="17.399999999999999" x14ac:dyDescent="0.25">
      <c r="A49" s="69">
        <v>71</v>
      </c>
      <c r="B49" s="73" t="s">
        <v>850</v>
      </c>
      <c r="C49" s="73" t="s">
        <v>235</v>
      </c>
      <c r="D49" s="71" t="s">
        <v>851</v>
      </c>
      <c r="E49" s="71" t="s">
        <v>712</v>
      </c>
      <c r="F49" s="71" t="s">
        <v>852</v>
      </c>
      <c r="G49" s="71" t="s">
        <v>273</v>
      </c>
      <c r="H49" s="86" t="s">
        <v>626</v>
      </c>
      <c r="I49" s="71"/>
      <c r="J49" s="71"/>
      <c r="K49" s="71" t="s">
        <v>882</v>
      </c>
      <c r="L49" s="80">
        <v>510000</v>
      </c>
      <c r="M49" s="72" t="s">
        <v>361</v>
      </c>
      <c r="N49" s="73"/>
      <c r="O49" s="71" t="s">
        <v>883</v>
      </c>
      <c r="P49" s="71"/>
      <c r="Q49" s="100">
        <v>0.17</v>
      </c>
      <c r="R49" s="75">
        <v>13600.000000000002</v>
      </c>
      <c r="S49" s="88"/>
      <c r="T49" s="76">
        <v>80000</v>
      </c>
      <c r="U49" s="80"/>
      <c r="V49" s="72"/>
      <c r="W49" s="72"/>
      <c r="X49" s="72">
        <v>40000</v>
      </c>
      <c r="Y49" s="72">
        <v>20000</v>
      </c>
      <c r="Z49" s="72">
        <v>20000</v>
      </c>
      <c r="AA49" s="72">
        <v>20000</v>
      </c>
      <c r="AB49" s="72">
        <v>20000</v>
      </c>
      <c r="AC49" s="77">
        <v>20000</v>
      </c>
      <c r="AD49" s="75">
        <v>20000</v>
      </c>
      <c r="AE49" s="75">
        <v>20000</v>
      </c>
      <c r="AF49" s="75">
        <v>20000</v>
      </c>
      <c r="AG49" s="75">
        <v>20000</v>
      </c>
      <c r="AH49" s="75">
        <v>20000</v>
      </c>
      <c r="AI49" s="75">
        <v>20000</v>
      </c>
      <c r="AJ49" s="33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19" t="s">
        <v>719</v>
      </c>
      <c r="AW49" s="19" t="s">
        <v>689</v>
      </c>
      <c r="AX49" s="19" t="s">
        <v>261</v>
      </c>
      <c r="AY49" s="19" t="s">
        <v>730</v>
      </c>
      <c r="AZ49" s="19" t="s">
        <v>731</v>
      </c>
      <c r="BA49" s="19" t="s">
        <v>856</v>
      </c>
      <c r="BB49" s="19" t="s">
        <v>884</v>
      </c>
      <c r="BC49" s="19"/>
      <c r="BD49" s="19"/>
      <c r="BE49" s="19"/>
      <c r="BF49" s="24"/>
      <c r="BG49" s="19"/>
      <c r="BH49" s="25"/>
      <c r="BI49" s="25"/>
      <c r="BJ49" s="25"/>
      <c r="BK49" s="25"/>
      <c r="BL49" s="25"/>
      <c r="BM49" s="37"/>
      <c r="BN49" s="21"/>
      <c r="BO49" s="27">
        <v>3400.0000000000005</v>
      </c>
      <c r="BP49" s="27">
        <v>3400.0000000000005</v>
      </c>
      <c r="BQ49" s="27">
        <v>3400.0000000000005</v>
      </c>
      <c r="BR49" s="27">
        <v>3400.0000000000005</v>
      </c>
      <c r="BS49" s="28">
        <v>3400.0000000000005</v>
      </c>
      <c r="BT49" s="28">
        <v>3400.0000000000005</v>
      </c>
      <c r="BU49" s="28">
        <v>3400.0000000000005</v>
      </c>
      <c r="BV49" s="28">
        <v>3400.0000000000005</v>
      </c>
    </row>
    <row r="50" spans="1:74" ht="17.399999999999999" x14ac:dyDescent="0.25">
      <c r="A50" s="69">
        <v>72</v>
      </c>
      <c r="B50" s="73" t="s">
        <v>885</v>
      </c>
      <c r="C50" s="71" t="s">
        <v>243</v>
      </c>
      <c r="D50" s="71" t="s">
        <v>789</v>
      </c>
      <c r="E50" s="71" t="s">
        <v>712</v>
      </c>
      <c r="F50" s="86" t="s">
        <v>790</v>
      </c>
      <c r="G50" s="71" t="s">
        <v>616</v>
      </c>
      <c r="H50" s="71" t="s">
        <v>886</v>
      </c>
      <c r="I50" s="71" t="s">
        <v>887</v>
      </c>
      <c r="J50" s="71"/>
      <c r="K50" s="71" t="s">
        <v>792</v>
      </c>
      <c r="L50" s="80">
        <v>200000</v>
      </c>
      <c r="M50" s="72" t="s">
        <v>361</v>
      </c>
      <c r="N50" s="73" t="s">
        <v>793</v>
      </c>
      <c r="O50" s="71" t="s">
        <v>95</v>
      </c>
      <c r="P50" s="71" t="s">
        <v>95</v>
      </c>
      <c r="Q50" s="100">
        <v>0.32</v>
      </c>
      <c r="R50" s="75">
        <v>29440</v>
      </c>
      <c r="S50" s="91"/>
      <c r="T50" s="76">
        <v>92000</v>
      </c>
      <c r="U50" s="80">
        <v>23000</v>
      </c>
      <c r="V50" s="80">
        <v>23000</v>
      </c>
      <c r="W50" s="80">
        <v>23000</v>
      </c>
      <c r="X50" s="80">
        <v>23000</v>
      </c>
      <c r="Y50" s="80">
        <v>23000</v>
      </c>
      <c r="Z50" s="80">
        <v>23000</v>
      </c>
      <c r="AA50" s="80"/>
      <c r="AB50" s="80"/>
      <c r="AC50" s="77">
        <v>23000</v>
      </c>
      <c r="AD50" s="75">
        <v>23000</v>
      </c>
      <c r="AE50" s="75">
        <v>23000</v>
      </c>
      <c r="AF50" s="75">
        <v>23000</v>
      </c>
      <c r="AG50" s="75">
        <v>23000</v>
      </c>
      <c r="AH50" s="75">
        <v>23000</v>
      </c>
      <c r="AI50" s="75">
        <v>23000</v>
      </c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0" t="s">
        <v>719</v>
      </c>
      <c r="AW50" s="10" t="s">
        <v>689</v>
      </c>
      <c r="AX50" s="10" t="s">
        <v>261</v>
      </c>
      <c r="AY50" s="10" t="s">
        <v>720</v>
      </c>
      <c r="AZ50" s="10"/>
      <c r="BA50" s="10"/>
      <c r="BB50" s="10"/>
      <c r="BC50" s="12"/>
      <c r="BD50" s="12"/>
      <c r="BE50" s="12"/>
      <c r="BF50" s="12"/>
      <c r="BG50" s="49"/>
      <c r="BH50" s="49"/>
      <c r="BI50" s="49"/>
      <c r="BJ50" s="49"/>
      <c r="BK50" s="49"/>
      <c r="BL50" s="49"/>
      <c r="BM50" s="12"/>
      <c r="BN50" s="12"/>
      <c r="BO50" s="16">
        <v>7360</v>
      </c>
      <c r="BP50" s="16">
        <v>7360</v>
      </c>
      <c r="BQ50" s="16">
        <v>0</v>
      </c>
      <c r="BR50" s="16">
        <v>0</v>
      </c>
      <c r="BS50" s="17">
        <v>7360</v>
      </c>
      <c r="BT50" s="17">
        <v>7360</v>
      </c>
      <c r="BU50" s="17">
        <v>7360</v>
      </c>
      <c r="BV50" s="17">
        <v>7360</v>
      </c>
    </row>
    <row r="51" spans="1:74" ht="17.399999999999999" x14ac:dyDescent="0.25">
      <c r="A51" s="69">
        <v>73</v>
      </c>
      <c r="B51" s="71" t="s">
        <v>888</v>
      </c>
      <c r="C51" s="71" t="s">
        <v>243</v>
      </c>
      <c r="D51" s="86" t="s">
        <v>725</v>
      </c>
      <c r="E51" s="71" t="s">
        <v>712</v>
      </c>
      <c r="F51" s="86" t="s">
        <v>726</v>
      </c>
      <c r="G51" s="86" t="s">
        <v>621</v>
      </c>
      <c r="H51" s="86" t="s">
        <v>622</v>
      </c>
      <c r="I51" s="86"/>
      <c r="J51" s="86"/>
      <c r="K51" s="86" t="s">
        <v>889</v>
      </c>
      <c r="L51" s="80">
        <v>900000</v>
      </c>
      <c r="M51" s="73" t="s">
        <v>382</v>
      </c>
      <c r="N51" s="73"/>
      <c r="O51" s="86" t="s">
        <v>95</v>
      </c>
      <c r="P51" s="90"/>
      <c r="Q51" s="103">
        <v>0.3</v>
      </c>
      <c r="R51" s="75">
        <v>26400</v>
      </c>
      <c r="S51" s="73"/>
      <c r="T51" s="76">
        <v>88000</v>
      </c>
      <c r="U51" s="80">
        <v>22000</v>
      </c>
      <c r="V51" s="80">
        <v>22000</v>
      </c>
      <c r="W51" s="80"/>
      <c r="X51" s="80">
        <v>22000</v>
      </c>
      <c r="Y51" s="80">
        <v>22000</v>
      </c>
      <c r="Z51" s="80">
        <v>22000</v>
      </c>
      <c r="AA51" s="80">
        <v>22000</v>
      </c>
      <c r="AB51" s="80">
        <v>22000</v>
      </c>
      <c r="AC51" s="77">
        <v>22000</v>
      </c>
      <c r="AD51" s="75">
        <v>22000</v>
      </c>
      <c r="AE51" s="75">
        <v>22000</v>
      </c>
      <c r="AF51" s="75">
        <v>22000</v>
      </c>
      <c r="AG51" s="75">
        <v>22000</v>
      </c>
      <c r="AH51" s="75">
        <v>22000</v>
      </c>
      <c r="AI51" s="75">
        <v>22000</v>
      </c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19" t="s">
        <v>719</v>
      </c>
      <c r="AW51" s="19" t="s">
        <v>689</v>
      </c>
      <c r="AX51" s="19" t="s">
        <v>261</v>
      </c>
      <c r="AY51" s="19" t="s">
        <v>756</v>
      </c>
      <c r="AZ51" s="19"/>
      <c r="BA51" s="19"/>
      <c r="BB51" s="19"/>
      <c r="BC51" s="22"/>
      <c r="BD51" s="22"/>
      <c r="BE51" s="22"/>
      <c r="BF51" s="22"/>
      <c r="BG51" s="48"/>
      <c r="BH51" s="48"/>
      <c r="BI51" s="48"/>
      <c r="BJ51" s="48"/>
      <c r="BK51" s="48"/>
      <c r="BL51" s="48"/>
      <c r="BM51" s="22"/>
      <c r="BN51" s="22"/>
      <c r="BO51" s="27">
        <v>6600</v>
      </c>
      <c r="BP51" s="27">
        <v>6600</v>
      </c>
      <c r="BQ51" s="27">
        <v>6600</v>
      </c>
      <c r="BR51" s="27">
        <v>6600</v>
      </c>
      <c r="BS51" s="28">
        <v>6600</v>
      </c>
      <c r="BT51" s="28">
        <v>6600</v>
      </c>
      <c r="BU51" s="28">
        <v>6600</v>
      </c>
      <c r="BV51" s="28">
        <v>6600</v>
      </c>
    </row>
    <row r="52" spans="1:74" ht="17.399999999999999" x14ac:dyDescent="0.25">
      <c r="A52" s="69">
        <v>74</v>
      </c>
      <c r="B52" s="71" t="s">
        <v>890</v>
      </c>
      <c r="C52" s="73" t="s">
        <v>243</v>
      </c>
      <c r="D52" s="71" t="s">
        <v>749</v>
      </c>
      <c r="E52" s="71" t="s">
        <v>712</v>
      </c>
      <c r="F52" s="71" t="s">
        <v>864</v>
      </c>
      <c r="G52" s="71" t="s">
        <v>891</v>
      </c>
      <c r="H52" s="71"/>
      <c r="I52" s="71"/>
      <c r="J52" s="71"/>
      <c r="K52" s="71" t="s">
        <v>867</v>
      </c>
      <c r="L52" s="80">
        <v>600000</v>
      </c>
      <c r="M52" s="71" t="s">
        <v>251</v>
      </c>
      <c r="N52" s="71" t="s">
        <v>868</v>
      </c>
      <c r="O52" s="71" t="s">
        <v>892</v>
      </c>
      <c r="P52" s="71"/>
      <c r="Q52" s="103">
        <v>0.13</v>
      </c>
      <c r="R52" s="75">
        <v>0</v>
      </c>
      <c r="S52" s="71"/>
      <c r="T52" s="76">
        <v>0</v>
      </c>
      <c r="U52" s="80">
        <v>0</v>
      </c>
      <c r="V52" s="80">
        <v>0</v>
      </c>
      <c r="W52" s="80">
        <v>0</v>
      </c>
      <c r="X52" s="80"/>
      <c r="Y52" s="80"/>
      <c r="Z52" s="80"/>
      <c r="AA52" s="80"/>
      <c r="AB52" s="80"/>
      <c r="AC52" s="77"/>
      <c r="AD52" s="75"/>
      <c r="AE52" s="75"/>
      <c r="AF52" s="75"/>
      <c r="AG52" s="75">
        <v>0</v>
      </c>
      <c r="AH52" s="75"/>
      <c r="AI52" s="75">
        <v>0</v>
      </c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 t="s">
        <v>689</v>
      </c>
      <c r="AX52" s="10" t="s">
        <v>258</v>
      </c>
      <c r="AY52" s="10"/>
      <c r="AZ52" s="10"/>
      <c r="BA52" s="10"/>
      <c r="BB52" s="10"/>
      <c r="BC52" s="12"/>
      <c r="BD52" s="12"/>
      <c r="BE52" s="12"/>
      <c r="BF52" s="12"/>
      <c r="BG52" s="49"/>
      <c r="BH52" s="49"/>
      <c r="BI52" s="49"/>
      <c r="BJ52" s="49"/>
      <c r="BK52" s="49"/>
      <c r="BL52" s="49"/>
      <c r="BM52" s="12"/>
      <c r="BN52" s="12"/>
      <c r="BO52" s="16">
        <v>0</v>
      </c>
      <c r="BP52" s="16">
        <v>0</v>
      </c>
      <c r="BQ52" s="16">
        <v>0</v>
      </c>
      <c r="BR52" s="16">
        <v>0</v>
      </c>
      <c r="BS52" s="17">
        <v>0</v>
      </c>
      <c r="BT52" s="17">
        <v>0</v>
      </c>
      <c r="BU52" s="17">
        <v>0</v>
      </c>
      <c r="BV52" s="17">
        <v>0</v>
      </c>
    </row>
    <row r="53" spans="1:74" ht="17.399999999999999" x14ac:dyDescent="0.25">
      <c r="A53" s="69">
        <v>75</v>
      </c>
      <c r="B53" s="71" t="s">
        <v>893</v>
      </c>
      <c r="C53" s="73" t="s">
        <v>243</v>
      </c>
      <c r="D53" s="71" t="s">
        <v>749</v>
      </c>
      <c r="E53" s="71" t="s">
        <v>712</v>
      </c>
      <c r="F53" s="71" t="s">
        <v>864</v>
      </c>
      <c r="G53" s="71" t="s">
        <v>891</v>
      </c>
      <c r="H53" s="71"/>
      <c r="I53" s="71"/>
      <c r="J53" s="71"/>
      <c r="K53" s="71" t="s">
        <v>867</v>
      </c>
      <c r="L53" s="80">
        <v>500000</v>
      </c>
      <c r="M53" s="71" t="s">
        <v>251</v>
      </c>
      <c r="N53" s="71" t="s">
        <v>894</v>
      </c>
      <c r="O53" s="71" t="s">
        <v>892</v>
      </c>
      <c r="P53" s="71"/>
      <c r="Q53" s="103">
        <v>0.13</v>
      </c>
      <c r="R53" s="75">
        <v>0</v>
      </c>
      <c r="S53" s="71"/>
      <c r="T53" s="76">
        <v>0</v>
      </c>
      <c r="U53" s="80">
        <v>0</v>
      </c>
      <c r="V53" s="80">
        <v>0</v>
      </c>
      <c r="W53" s="80">
        <v>0</v>
      </c>
      <c r="X53" s="80"/>
      <c r="Y53" s="80"/>
      <c r="Z53" s="80"/>
      <c r="AA53" s="80"/>
      <c r="AB53" s="80"/>
      <c r="AC53" s="77"/>
      <c r="AD53" s="75"/>
      <c r="AE53" s="75"/>
      <c r="AF53" s="75"/>
      <c r="AG53" s="75">
        <v>0</v>
      </c>
      <c r="AH53" s="75"/>
      <c r="AI53" s="75">
        <v>0</v>
      </c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 t="s">
        <v>689</v>
      </c>
      <c r="AX53" s="19" t="s">
        <v>258</v>
      </c>
      <c r="AY53" s="19"/>
      <c r="AZ53" s="19"/>
      <c r="BA53" s="19"/>
      <c r="BB53" s="19"/>
      <c r="BC53" s="22"/>
      <c r="BD53" s="22"/>
      <c r="BE53" s="22"/>
      <c r="BF53" s="22"/>
      <c r="BG53" s="48"/>
      <c r="BH53" s="48"/>
      <c r="BI53" s="48"/>
      <c r="BJ53" s="48"/>
      <c r="BK53" s="48"/>
      <c r="BL53" s="48"/>
      <c r="BM53" s="22"/>
      <c r="BN53" s="22"/>
      <c r="BO53" s="27">
        <v>0</v>
      </c>
      <c r="BP53" s="27">
        <v>0</v>
      </c>
      <c r="BQ53" s="27">
        <v>0</v>
      </c>
      <c r="BR53" s="27">
        <v>0</v>
      </c>
      <c r="BS53" s="28">
        <v>0</v>
      </c>
      <c r="BT53" s="28">
        <v>0</v>
      </c>
      <c r="BU53" s="28">
        <v>0</v>
      </c>
      <c r="BV53" s="28">
        <v>0</v>
      </c>
    </row>
    <row r="54" spans="1:74" ht="17.399999999999999" x14ac:dyDescent="0.25">
      <c r="A54" s="69">
        <v>76</v>
      </c>
      <c r="B54" s="70" t="s">
        <v>895</v>
      </c>
      <c r="C54" s="71" t="s">
        <v>243</v>
      </c>
      <c r="D54" s="70" t="s">
        <v>725</v>
      </c>
      <c r="E54" s="71" t="s">
        <v>712</v>
      </c>
      <c r="F54" s="70" t="s">
        <v>726</v>
      </c>
      <c r="G54" s="70" t="s">
        <v>357</v>
      </c>
      <c r="H54" s="70" t="s">
        <v>358</v>
      </c>
      <c r="I54" s="70"/>
      <c r="J54" s="70"/>
      <c r="K54" s="70" t="s">
        <v>805</v>
      </c>
      <c r="L54" s="80">
        <v>300000</v>
      </c>
      <c r="M54" s="73" t="s">
        <v>361</v>
      </c>
      <c r="N54" s="73"/>
      <c r="O54" s="70"/>
      <c r="P54" s="83"/>
      <c r="Q54" s="103">
        <v>0.45</v>
      </c>
      <c r="R54" s="75">
        <v>21600</v>
      </c>
      <c r="S54" s="73"/>
      <c r="T54" s="76">
        <v>48000</v>
      </c>
      <c r="U54" s="80">
        <v>12000</v>
      </c>
      <c r="V54" s="80">
        <v>12000</v>
      </c>
      <c r="W54" s="80">
        <v>12000</v>
      </c>
      <c r="X54" s="80">
        <v>12000</v>
      </c>
      <c r="Y54" s="80">
        <v>12000</v>
      </c>
      <c r="Z54" s="80">
        <v>12000</v>
      </c>
      <c r="AA54" s="80">
        <v>12000</v>
      </c>
      <c r="AB54" s="80">
        <v>12000</v>
      </c>
      <c r="AC54" s="77">
        <v>12000</v>
      </c>
      <c r="AD54" s="75">
        <v>12000</v>
      </c>
      <c r="AE54" s="75">
        <v>12000</v>
      </c>
      <c r="AF54" s="75">
        <v>12000</v>
      </c>
      <c r="AG54" s="75">
        <v>12000</v>
      </c>
      <c r="AH54" s="75">
        <v>12000</v>
      </c>
      <c r="AI54" s="75">
        <v>12000</v>
      </c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0" t="s">
        <v>719</v>
      </c>
      <c r="AW54" s="10" t="s">
        <v>689</v>
      </c>
      <c r="AX54" s="10" t="s">
        <v>261</v>
      </c>
      <c r="AY54" s="10" t="s">
        <v>767</v>
      </c>
      <c r="AZ54" s="10" t="s">
        <v>768</v>
      </c>
      <c r="BA54" s="10" t="s">
        <v>769</v>
      </c>
      <c r="BB54" s="10" t="s">
        <v>770</v>
      </c>
      <c r="BC54" s="12"/>
      <c r="BD54" s="12"/>
      <c r="BE54" s="12"/>
      <c r="BF54" s="12"/>
      <c r="BG54" s="49"/>
      <c r="BH54" s="49"/>
      <c r="BI54" s="49"/>
      <c r="BJ54" s="49"/>
      <c r="BK54" s="49"/>
      <c r="BL54" s="49"/>
      <c r="BM54" s="12"/>
      <c r="BN54" s="12"/>
      <c r="BO54" s="16">
        <v>5400</v>
      </c>
      <c r="BP54" s="16">
        <v>5400</v>
      </c>
      <c r="BQ54" s="16">
        <v>5400</v>
      </c>
      <c r="BR54" s="16">
        <v>5400</v>
      </c>
      <c r="BS54" s="17">
        <v>5400</v>
      </c>
      <c r="BT54" s="17">
        <v>5400</v>
      </c>
      <c r="BU54" s="17">
        <v>5400</v>
      </c>
      <c r="BV54" s="17">
        <v>5400</v>
      </c>
    </row>
    <row r="55" spans="1:74" ht="17.399999999999999" x14ac:dyDescent="0.25">
      <c r="A55" s="69">
        <v>77</v>
      </c>
      <c r="B55" s="71" t="s">
        <v>896</v>
      </c>
      <c r="C55" s="73" t="s">
        <v>243</v>
      </c>
      <c r="D55" s="71" t="s">
        <v>749</v>
      </c>
      <c r="E55" s="71" t="s">
        <v>712</v>
      </c>
      <c r="F55" s="71" t="s">
        <v>808</v>
      </c>
      <c r="G55" s="71" t="s">
        <v>305</v>
      </c>
      <c r="H55" s="71" t="s">
        <v>306</v>
      </c>
      <c r="I55" s="71"/>
      <c r="J55" s="71"/>
      <c r="K55" s="71" t="s">
        <v>830</v>
      </c>
      <c r="L55" s="80">
        <v>240000</v>
      </c>
      <c r="M55" s="71" t="s">
        <v>361</v>
      </c>
      <c r="N55" s="71" t="s">
        <v>812</v>
      </c>
      <c r="O55" s="71"/>
      <c r="P55" s="71"/>
      <c r="Q55" s="103">
        <v>0.23</v>
      </c>
      <c r="R55" s="75">
        <v>18400</v>
      </c>
      <c r="S55" s="71"/>
      <c r="T55" s="76">
        <v>80000</v>
      </c>
      <c r="U55" s="80">
        <v>20000</v>
      </c>
      <c r="V55" s="80">
        <v>20000</v>
      </c>
      <c r="W55" s="80">
        <v>20000</v>
      </c>
      <c r="X55" s="80">
        <v>20000</v>
      </c>
      <c r="Y55" s="80">
        <v>20000</v>
      </c>
      <c r="Z55" s="80">
        <v>20000</v>
      </c>
      <c r="AA55" s="80">
        <v>20000</v>
      </c>
      <c r="AB55" s="80">
        <v>20000</v>
      </c>
      <c r="AC55" s="77">
        <v>20000</v>
      </c>
      <c r="AD55" s="75">
        <v>20000</v>
      </c>
      <c r="AE55" s="75">
        <v>20000</v>
      </c>
      <c r="AF55" s="75">
        <v>20000</v>
      </c>
      <c r="AG55" s="75">
        <v>20000</v>
      </c>
      <c r="AH55" s="75">
        <v>20000</v>
      </c>
      <c r="AI55" s="75">
        <v>20000</v>
      </c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19" t="s">
        <v>719</v>
      </c>
      <c r="AW55" s="19" t="s">
        <v>689</v>
      </c>
      <c r="AX55" s="19" t="s">
        <v>261</v>
      </c>
      <c r="AY55" s="19" t="s">
        <v>720</v>
      </c>
      <c r="AZ55" s="19"/>
      <c r="BA55" s="19"/>
      <c r="BB55" s="19"/>
      <c r="BC55" s="22"/>
      <c r="BD55" s="22"/>
      <c r="BE55" s="22"/>
      <c r="BF55" s="22"/>
      <c r="BG55" s="48"/>
      <c r="BH55" s="48"/>
      <c r="BI55" s="48"/>
      <c r="BJ55" s="48"/>
      <c r="BK55" s="48"/>
      <c r="BL55" s="48"/>
      <c r="BM55" s="22"/>
      <c r="BN55" s="22"/>
      <c r="BO55" s="27">
        <v>4600</v>
      </c>
      <c r="BP55" s="27">
        <v>4600</v>
      </c>
      <c r="BQ55" s="27">
        <v>4600</v>
      </c>
      <c r="BR55" s="27">
        <v>4600</v>
      </c>
      <c r="BS55" s="28">
        <v>4600</v>
      </c>
      <c r="BT55" s="28">
        <v>4600</v>
      </c>
      <c r="BU55" s="28">
        <v>4600</v>
      </c>
      <c r="BV55" s="28">
        <v>4600</v>
      </c>
    </row>
    <row r="56" spans="1:74" ht="17.399999999999999" x14ac:dyDescent="0.25">
      <c r="A56" s="69">
        <v>78</v>
      </c>
      <c r="B56" s="71" t="s">
        <v>897</v>
      </c>
      <c r="C56" s="73" t="s">
        <v>243</v>
      </c>
      <c r="D56" s="71" t="s">
        <v>749</v>
      </c>
      <c r="E56" s="71" t="s">
        <v>712</v>
      </c>
      <c r="F56" s="71" t="s">
        <v>873</v>
      </c>
      <c r="G56" s="71" t="s">
        <v>337</v>
      </c>
      <c r="H56" s="71" t="s">
        <v>338</v>
      </c>
      <c r="I56" s="71"/>
      <c r="J56" s="71"/>
      <c r="K56" s="71" t="s">
        <v>898</v>
      </c>
      <c r="L56" s="80">
        <v>110000</v>
      </c>
      <c r="M56" s="71" t="s">
        <v>361</v>
      </c>
      <c r="N56" s="71" t="s">
        <v>754</v>
      </c>
      <c r="O56" s="71"/>
      <c r="P56" s="71"/>
      <c r="Q56" s="103">
        <v>0.4</v>
      </c>
      <c r="R56" s="75">
        <v>0</v>
      </c>
      <c r="S56" s="71"/>
      <c r="T56" s="76">
        <v>0</v>
      </c>
      <c r="U56" s="80"/>
      <c r="V56" s="80">
        <v>10000</v>
      </c>
      <c r="W56" s="80">
        <v>10000</v>
      </c>
      <c r="X56" s="80"/>
      <c r="Y56" s="80"/>
      <c r="Z56" s="80"/>
      <c r="AA56" s="80"/>
      <c r="AB56" s="80"/>
      <c r="AC56" s="77"/>
      <c r="AD56" s="75"/>
      <c r="AE56" s="75"/>
      <c r="AF56" s="75"/>
      <c r="AG56" s="75">
        <v>0</v>
      </c>
      <c r="AH56" s="75"/>
      <c r="AI56" s="75">
        <v>0</v>
      </c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0" t="s">
        <v>719</v>
      </c>
      <c r="AW56" s="10" t="s">
        <v>689</v>
      </c>
      <c r="AX56" s="10" t="s">
        <v>261</v>
      </c>
      <c r="AY56" s="10" t="s">
        <v>767</v>
      </c>
      <c r="AZ56" s="10"/>
      <c r="BA56" s="10"/>
      <c r="BB56" s="10"/>
      <c r="BC56" s="12"/>
      <c r="BD56" s="12"/>
      <c r="BE56" s="12"/>
      <c r="BF56" s="12"/>
      <c r="BG56" s="49"/>
      <c r="BH56" s="49"/>
      <c r="BI56" s="49"/>
      <c r="BJ56" s="49"/>
      <c r="BK56" s="49"/>
      <c r="BL56" s="49"/>
      <c r="BM56" s="12"/>
      <c r="BN56" s="12"/>
      <c r="BO56" s="16">
        <v>0</v>
      </c>
      <c r="BP56" s="16">
        <v>0</v>
      </c>
      <c r="BQ56" s="16">
        <v>0</v>
      </c>
      <c r="BR56" s="16">
        <v>0</v>
      </c>
      <c r="BS56" s="17">
        <v>0</v>
      </c>
      <c r="BT56" s="17">
        <v>0</v>
      </c>
      <c r="BU56" s="17">
        <v>0</v>
      </c>
      <c r="BV56" s="17">
        <v>0</v>
      </c>
    </row>
    <row r="57" spans="1:74" ht="17.399999999999999" x14ac:dyDescent="0.25">
      <c r="A57" s="69">
        <v>79</v>
      </c>
      <c r="B57" s="71" t="s">
        <v>899</v>
      </c>
      <c r="C57" s="73" t="s">
        <v>243</v>
      </c>
      <c r="D57" s="71" t="s">
        <v>749</v>
      </c>
      <c r="E57" s="71" t="s">
        <v>712</v>
      </c>
      <c r="F57" s="71" t="s">
        <v>750</v>
      </c>
      <c r="G57" s="71" t="s">
        <v>900</v>
      </c>
      <c r="H57" s="71" t="s">
        <v>901</v>
      </c>
      <c r="I57" s="71"/>
      <c r="J57" s="71"/>
      <c r="K57" s="71" t="s">
        <v>902</v>
      </c>
      <c r="L57" s="80">
        <v>72000</v>
      </c>
      <c r="M57" s="71" t="s">
        <v>361</v>
      </c>
      <c r="N57" s="71" t="s">
        <v>812</v>
      </c>
      <c r="O57" s="71"/>
      <c r="P57" s="71"/>
      <c r="Q57" s="100">
        <v>0.45</v>
      </c>
      <c r="R57" s="75">
        <v>10800</v>
      </c>
      <c r="S57" s="71"/>
      <c r="T57" s="76">
        <v>24000</v>
      </c>
      <c r="U57" s="80">
        <v>6000</v>
      </c>
      <c r="V57" s="80">
        <v>6000</v>
      </c>
      <c r="W57" s="80">
        <v>6000</v>
      </c>
      <c r="X57" s="80">
        <v>6000</v>
      </c>
      <c r="Y57" s="80">
        <v>6000</v>
      </c>
      <c r="Z57" s="80">
        <v>6000</v>
      </c>
      <c r="AA57" s="80">
        <v>6000</v>
      </c>
      <c r="AB57" s="80">
        <v>6000</v>
      </c>
      <c r="AC57" s="77">
        <v>6000</v>
      </c>
      <c r="AD57" s="75">
        <v>6000</v>
      </c>
      <c r="AE57" s="75">
        <v>6000</v>
      </c>
      <c r="AF57" s="75">
        <v>6000</v>
      </c>
      <c r="AG57" s="75">
        <v>6000</v>
      </c>
      <c r="AH57" s="75">
        <v>6000</v>
      </c>
      <c r="AI57" s="75">
        <v>6000</v>
      </c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19" t="s">
        <v>719</v>
      </c>
      <c r="AW57" s="19" t="s">
        <v>689</v>
      </c>
      <c r="AX57" s="19" t="s">
        <v>261</v>
      </c>
      <c r="AY57" s="19" t="s">
        <v>903</v>
      </c>
      <c r="AZ57" s="19"/>
      <c r="BA57" s="19"/>
      <c r="BB57" s="19"/>
      <c r="BC57" s="22"/>
      <c r="BD57" s="22"/>
      <c r="BE57" s="22"/>
      <c r="BF57" s="22"/>
      <c r="BG57" s="48"/>
      <c r="BH57" s="48"/>
      <c r="BI57" s="48"/>
      <c r="BJ57" s="48"/>
      <c r="BK57" s="48"/>
      <c r="BL57" s="48"/>
      <c r="BM57" s="22"/>
      <c r="BN57" s="22"/>
      <c r="BO57" s="27">
        <v>2700</v>
      </c>
      <c r="BP57" s="27">
        <v>2700</v>
      </c>
      <c r="BQ57" s="27">
        <v>2700</v>
      </c>
      <c r="BR57" s="27">
        <v>2700</v>
      </c>
      <c r="BS57" s="28">
        <v>2700</v>
      </c>
      <c r="BT57" s="28">
        <v>2700</v>
      </c>
      <c r="BU57" s="28">
        <v>2700</v>
      </c>
      <c r="BV57" s="28">
        <v>2700</v>
      </c>
    </row>
    <row r="58" spans="1:74" ht="17.399999999999999" x14ac:dyDescent="0.25">
      <c r="A58" s="69">
        <v>80</v>
      </c>
      <c r="B58" s="73" t="s">
        <v>904</v>
      </c>
      <c r="C58" s="73" t="s">
        <v>243</v>
      </c>
      <c r="D58" s="71" t="s">
        <v>789</v>
      </c>
      <c r="E58" s="71" t="s">
        <v>712</v>
      </c>
      <c r="F58" s="86" t="s">
        <v>790</v>
      </c>
      <c r="G58" s="71" t="s">
        <v>273</v>
      </c>
      <c r="H58" s="86" t="s">
        <v>626</v>
      </c>
      <c r="I58" s="71"/>
      <c r="J58" s="71"/>
      <c r="K58" s="71" t="s">
        <v>792</v>
      </c>
      <c r="L58" s="80">
        <v>100000</v>
      </c>
      <c r="M58" s="72" t="s">
        <v>361</v>
      </c>
      <c r="N58" s="73" t="s">
        <v>793</v>
      </c>
      <c r="O58" s="71" t="s">
        <v>95</v>
      </c>
      <c r="P58" s="71" t="s">
        <v>95</v>
      </c>
      <c r="Q58" s="100">
        <v>0.19</v>
      </c>
      <c r="R58" s="75">
        <v>9120</v>
      </c>
      <c r="S58" s="91"/>
      <c r="T58" s="76">
        <v>48000</v>
      </c>
      <c r="U58" s="80">
        <v>12000</v>
      </c>
      <c r="V58" s="80">
        <v>12000</v>
      </c>
      <c r="W58" s="80">
        <v>12000</v>
      </c>
      <c r="X58" s="80">
        <v>12000</v>
      </c>
      <c r="Y58" s="80">
        <v>12000</v>
      </c>
      <c r="Z58" s="80">
        <v>12000</v>
      </c>
      <c r="AA58" s="80">
        <v>12000</v>
      </c>
      <c r="AB58" s="80">
        <v>12000</v>
      </c>
      <c r="AC58" s="77">
        <v>12000</v>
      </c>
      <c r="AD58" s="75">
        <v>12000</v>
      </c>
      <c r="AE58" s="75">
        <v>12000</v>
      </c>
      <c r="AF58" s="75">
        <v>12000</v>
      </c>
      <c r="AG58" s="75">
        <v>12000</v>
      </c>
      <c r="AH58" s="75">
        <v>12000</v>
      </c>
      <c r="AI58" s="75">
        <v>12000</v>
      </c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0" t="s">
        <v>719</v>
      </c>
      <c r="AW58" s="10" t="s">
        <v>689</v>
      </c>
      <c r="AX58" s="10" t="s">
        <v>261</v>
      </c>
      <c r="AY58" s="10" t="s">
        <v>720</v>
      </c>
      <c r="AZ58" s="10"/>
      <c r="BA58" s="10"/>
      <c r="BB58" s="10"/>
      <c r="BC58" s="12"/>
      <c r="BD58" s="12"/>
      <c r="BE58" s="12"/>
      <c r="BF58" s="12"/>
      <c r="BG58" s="49"/>
      <c r="BH58" s="49"/>
      <c r="BI58" s="49"/>
      <c r="BJ58" s="49"/>
      <c r="BK58" s="49"/>
      <c r="BL58" s="49"/>
      <c r="BM58" s="12"/>
      <c r="BN58" s="12"/>
      <c r="BO58" s="16">
        <v>2280</v>
      </c>
      <c r="BP58" s="16">
        <v>2280</v>
      </c>
      <c r="BQ58" s="16">
        <v>2280</v>
      </c>
      <c r="BR58" s="16">
        <v>2280</v>
      </c>
      <c r="BS58" s="17">
        <v>2280</v>
      </c>
      <c r="BT58" s="17">
        <v>2280</v>
      </c>
      <c r="BU58" s="17">
        <v>2280</v>
      </c>
      <c r="BV58" s="17">
        <v>2280</v>
      </c>
    </row>
    <row r="59" spans="1:74" ht="17.399999999999999" x14ac:dyDescent="0.25">
      <c r="A59" s="69">
        <v>81</v>
      </c>
      <c r="B59" s="71" t="s">
        <v>905</v>
      </c>
      <c r="C59" s="73" t="s">
        <v>243</v>
      </c>
      <c r="D59" s="71" t="s">
        <v>749</v>
      </c>
      <c r="E59" s="71" t="s">
        <v>712</v>
      </c>
      <c r="F59" s="71" t="s">
        <v>873</v>
      </c>
      <c r="G59" s="71" t="s">
        <v>139</v>
      </c>
      <c r="H59" s="71" t="s">
        <v>291</v>
      </c>
      <c r="I59" s="71"/>
      <c r="J59" s="71"/>
      <c r="K59" s="71" t="s">
        <v>906</v>
      </c>
      <c r="L59" s="80">
        <v>400000</v>
      </c>
      <c r="M59" s="71" t="s">
        <v>251</v>
      </c>
      <c r="N59" s="71" t="s">
        <v>754</v>
      </c>
      <c r="O59" s="71"/>
      <c r="P59" s="71"/>
      <c r="Q59" s="103">
        <v>0.62</v>
      </c>
      <c r="R59" s="75">
        <v>12400</v>
      </c>
      <c r="S59" s="71"/>
      <c r="T59" s="76">
        <v>20000</v>
      </c>
      <c r="U59" s="80"/>
      <c r="V59" s="80"/>
      <c r="W59" s="80"/>
      <c r="X59" s="80"/>
      <c r="Y59" s="80"/>
      <c r="Z59" s="80">
        <v>5000</v>
      </c>
      <c r="AA59" s="80">
        <v>5000</v>
      </c>
      <c r="AB59" s="80">
        <v>5000</v>
      </c>
      <c r="AC59" s="77">
        <v>5000</v>
      </c>
      <c r="AD59" s="75">
        <v>5000</v>
      </c>
      <c r="AE59" s="75">
        <v>5000</v>
      </c>
      <c r="AF59" s="75">
        <v>5000</v>
      </c>
      <c r="AG59" s="75">
        <v>5000</v>
      </c>
      <c r="AH59" s="75">
        <v>5000</v>
      </c>
      <c r="AI59" s="75">
        <v>5000</v>
      </c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19" t="s">
        <v>719</v>
      </c>
      <c r="AW59" s="19" t="s">
        <v>689</v>
      </c>
      <c r="AX59" s="19" t="s">
        <v>261</v>
      </c>
      <c r="AY59" s="19" t="s">
        <v>767</v>
      </c>
      <c r="AZ59" s="19" t="s">
        <v>767</v>
      </c>
      <c r="BA59" s="19" t="s">
        <v>785</v>
      </c>
      <c r="BB59" s="19" t="s">
        <v>786</v>
      </c>
      <c r="BC59" s="42" t="s">
        <v>907</v>
      </c>
      <c r="BD59" s="22"/>
      <c r="BE59" s="22"/>
      <c r="BF59" s="22"/>
      <c r="BG59" s="48"/>
      <c r="BH59" s="48"/>
      <c r="BI59" s="48"/>
      <c r="BJ59" s="48"/>
      <c r="BK59" s="48"/>
      <c r="BL59" s="48"/>
      <c r="BM59" s="22"/>
      <c r="BN59" s="22"/>
      <c r="BO59" s="27">
        <v>0</v>
      </c>
      <c r="BP59" s="27">
        <v>3100</v>
      </c>
      <c r="BQ59" s="27">
        <v>3100</v>
      </c>
      <c r="BR59" s="27">
        <v>3100</v>
      </c>
      <c r="BS59" s="28">
        <v>3100</v>
      </c>
      <c r="BT59" s="28">
        <v>3100</v>
      </c>
      <c r="BU59" s="28">
        <v>3100</v>
      </c>
      <c r="BV59" s="28">
        <v>3100</v>
      </c>
    </row>
    <row r="60" spans="1:74" ht="17.399999999999999" x14ac:dyDescent="0.25">
      <c r="A60" s="69">
        <v>82</v>
      </c>
      <c r="B60" s="71" t="s">
        <v>850</v>
      </c>
      <c r="C60" s="73" t="s">
        <v>235</v>
      </c>
      <c r="D60" s="71" t="s">
        <v>851</v>
      </c>
      <c r="E60" s="71" t="s">
        <v>712</v>
      </c>
      <c r="F60" s="71" t="s">
        <v>852</v>
      </c>
      <c r="G60" s="71" t="s">
        <v>908</v>
      </c>
      <c r="H60" s="71" t="s">
        <v>909</v>
      </c>
      <c r="I60" s="71"/>
      <c r="J60" s="71"/>
      <c r="K60" s="71" t="s">
        <v>855</v>
      </c>
      <c r="L60" s="80">
        <v>270000</v>
      </c>
      <c r="M60" s="71" t="s">
        <v>361</v>
      </c>
      <c r="N60" s="73"/>
      <c r="O60" s="71"/>
      <c r="P60" s="71"/>
      <c r="Q60" s="103">
        <v>0.32</v>
      </c>
      <c r="R60" s="75">
        <v>11520</v>
      </c>
      <c r="S60" s="71"/>
      <c r="T60" s="76">
        <v>36000</v>
      </c>
      <c r="U60" s="80"/>
      <c r="V60" s="72"/>
      <c r="W60" s="72"/>
      <c r="X60" s="72">
        <v>9000</v>
      </c>
      <c r="Y60" s="72">
        <v>9000</v>
      </c>
      <c r="Z60" s="72">
        <v>9000</v>
      </c>
      <c r="AA60" s="72">
        <v>9000</v>
      </c>
      <c r="AB60" s="72">
        <v>9000</v>
      </c>
      <c r="AC60" s="77">
        <v>9000</v>
      </c>
      <c r="AD60" s="75">
        <v>9000</v>
      </c>
      <c r="AE60" s="75">
        <v>9000</v>
      </c>
      <c r="AF60" s="75">
        <v>9000</v>
      </c>
      <c r="AG60" s="75">
        <v>9000</v>
      </c>
      <c r="AH60" s="75">
        <v>9000</v>
      </c>
      <c r="AI60" s="75">
        <v>9000</v>
      </c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0" t="s">
        <v>719</v>
      </c>
      <c r="AW60" s="10" t="s">
        <v>689</v>
      </c>
      <c r="AX60" s="10" t="s">
        <v>261</v>
      </c>
      <c r="AY60" s="10" t="s">
        <v>730</v>
      </c>
      <c r="AZ60" s="10" t="s">
        <v>731</v>
      </c>
      <c r="BA60" s="10" t="s">
        <v>856</v>
      </c>
      <c r="BB60" s="10" t="s">
        <v>857</v>
      </c>
      <c r="BC60" s="43"/>
      <c r="BD60" s="12"/>
      <c r="BE60" s="12"/>
      <c r="BF60" s="12"/>
      <c r="BG60" s="49"/>
      <c r="BH60" s="49"/>
      <c r="BI60" s="49"/>
      <c r="BJ60" s="49"/>
      <c r="BK60" s="49"/>
      <c r="BL60" s="49"/>
      <c r="BM60" s="12"/>
      <c r="BN60" s="12"/>
      <c r="BO60" s="16">
        <v>2880</v>
      </c>
      <c r="BP60" s="16">
        <v>2880</v>
      </c>
      <c r="BQ60" s="16">
        <v>2880</v>
      </c>
      <c r="BR60" s="16">
        <v>2880</v>
      </c>
      <c r="BS60" s="17">
        <v>2880</v>
      </c>
      <c r="BT60" s="17">
        <v>2880</v>
      </c>
      <c r="BU60" s="17">
        <v>2880</v>
      </c>
      <c r="BV60" s="17">
        <v>2880</v>
      </c>
    </row>
    <row r="61" spans="1:74" ht="17.399999999999999" x14ac:dyDescent="0.25">
      <c r="A61" s="69">
        <v>83</v>
      </c>
      <c r="B61" s="73" t="s">
        <v>910</v>
      </c>
      <c r="C61" s="73" t="s">
        <v>243</v>
      </c>
      <c r="D61" s="71" t="s">
        <v>851</v>
      </c>
      <c r="E61" s="71" t="s">
        <v>712</v>
      </c>
      <c r="F61" s="71" t="s">
        <v>852</v>
      </c>
      <c r="G61" s="71" t="s">
        <v>911</v>
      </c>
      <c r="H61" s="71" t="s">
        <v>912</v>
      </c>
      <c r="I61" s="71"/>
      <c r="J61" s="71"/>
      <c r="K61" s="71" t="s">
        <v>913</v>
      </c>
      <c r="L61" s="80">
        <v>40000</v>
      </c>
      <c r="M61" s="72" t="s">
        <v>361</v>
      </c>
      <c r="N61" s="73"/>
      <c r="O61" s="73"/>
      <c r="P61" s="73"/>
      <c r="Q61" s="100">
        <v>0.54</v>
      </c>
      <c r="R61" s="75">
        <v>6480</v>
      </c>
      <c r="S61" s="73"/>
      <c r="T61" s="76">
        <v>12000</v>
      </c>
      <c r="U61" s="80"/>
      <c r="V61" s="80"/>
      <c r="W61" s="80"/>
      <c r="X61" s="80">
        <v>0</v>
      </c>
      <c r="Y61" s="80">
        <v>3000</v>
      </c>
      <c r="Z61" s="80">
        <v>3000</v>
      </c>
      <c r="AA61" s="80">
        <v>3000</v>
      </c>
      <c r="AB61" s="80">
        <v>3000</v>
      </c>
      <c r="AC61" s="77">
        <v>3000</v>
      </c>
      <c r="AD61" s="75">
        <v>3000</v>
      </c>
      <c r="AE61" s="75">
        <v>3000</v>
      </c>
      <c r="AF61" s="75">
        <v>3000</v>
      </c>
      <c r="AG61" s="75">
        <v>3000</v>
      </c>
      <c r="AH61" s="75">
        <v>3000</v>
      </c>
      <c r="AI61" s="75">
        <v>3000</v>
      </c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19" t="s">
        <v>719</v>
      </c>
      <c r="AW61" s="19" t="s">
        <v>689</v>
      </c>
      <c r="AX61" s="19" t="s">
        <v>261</v>
      </c>
      <c r="AY61" s="19" t="s">
        <v>756</v>
      </c>
      <c r="AZ61" s="19" t="s">
        <v>914</v>
      </c>
      <c r="BA61" s="19" t="s">
        <v>915</v>
      </c>
      <c r="BB61" s="19" t="s">
        <v>916</v>
      </c>
      <c r="BC61" s="22"/>
      <c r="BD61" s="22"/>
      <c r="BE61" s="22"/>
      <c r="BF61" s="22"/>
      <c r="BG61" s="48"/>
      <c r="BH61" s="48"/>
      <c r="BI61" s="48"/>
      <c r="BJ61" s="48"/>
      <c r="BK61" s="48"/>
      <c r="BL61" s="48"/>
      <c r="BM61" s="22"/>
      <c r="BN61" s="22"/>
      <c r="BO61" s="27">
        <v>1620</v>
      </c>
      <c r="BP61" s="27">
        <v>1620</v>
      </c>
      <c r="BQ61" s="27">
        <v>1620</v>
      </c>
      <c r="BR61" s="27">
        <v>1620</v>
      </c>
      <c r="BS61" s="28">
        <v>1620</v>
      </c>
      <c r="BT61" s="28">
        <v>1620</v>
      </c>
      <c r="BU61" s="28">
        <v>1620</v>
      </c>
      <c r="BV61" s="28">
        <v>1620</v>
      </c>
    </row>
    <row r="62" spans="1:74" ht="17.399999999999999" x14ac:dyDescent="0.25">
      <c r="A62" s="69">
        <v>84</v>
      </c>
      <c r="B62" s="71" t="s">
        <v>829</v>
      </c>
      <c r="C62" s="73" t="s">
        <v>243</v>
      </c>
      <c r="D62" s="71" t="s">
        <v>749</v>
      </c>
      <c r="E62" s="71" t="s">
        <v>712</v>
      </c>
      <c r="F62" s="71" t="s">
        <v>808</v>
      </c>
      <c r="G62" s="71" t="s">
        <v>269</v>
      </c>
      <c r="H62" s="71" t="s">
        <v>270</v>
      </c>
      <c r="I62" s="71"/>
      <c r="J62" s="71"/>
      <c r="K62" s="71" t="s">
        <v>830</v>
      </c>
      <c r="L62" s="80">
        <v>36000</v>
      </c>
      <c r="M62" s="71" t="s">
        <v>361</v>
      </c>
      <c r="N62" s="71" t="s">
        <v>812</v>
      </c>
      <c r="O62" s="71"/>
      <c r="P62" s="71"/>
      <c r="Q62" s="103">
        <v>0.5</v>
      </c>
      <c r="R62" s="75">
        <v>6000</v>
      </c>
      <c r="S62" s="71"/>
      <c r="T62" s="76">
        <v>12000</v>
      </c>
      <c r="U62" s="80">
        <v>3000</v>
      </c>
      <c r="V62" s="80">
        <v>3000</v>
      </c>
      <c r="W62" s="80">
        <v>3000</v>
      </c>
      <c r="X62" s="80">
        <v>3000</v>
      </c>
      <c r="Y62" s="80">
        <v>3000</v>
      </c>
      <c r="Z62" s="80">
        <v>3000</v>
      </c>
      <c r="AA62" s="80">
        <v>3000</v>
      </c>
      <c r="AB62" s="80">
        <v>3000</v>
      </c>
      <c r="AC62" s="77">
        <v>3000</v>
      </c>
      <c r="AD62" s="75">
        <v>3000</v>
      </c>
      <c r="AE62" s="75">
        <v>3000</v>
      </c>
      <c r="AF62" s="75">
        <v>3000</v>
      </c>
      <c r="AG62" s="75">
        <v>3000</v>
      </c>
      <c r="AH62" s="75">
        <v>3000</v>
      </c>
      <c r="AI62" s="75">
        <v>3000</v>
      </c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0" t="s">
        <v>719</v>
      </c>
      <c r="AW62" s="10" t="s">
        <v>689</v>
      </c>
      <c r="AX62" s="10" t="s">
        <v>258</v>
      </c>
      <c r="AY62" s="10" t="s">
        <v>720</v>
      </c>
      <c r="AZ62" s="10"/>
      <c r="BA62" s="10"/>
      <c r="BB62" s="10"/>
      <c r="BC62" s="12"/>
      <c r="BD62" s="12"/>
      <c r="BE62" s="12"/>
      <c r="BF62" s="12"/>
      <c r="BG62" s="49"/>
      <c r="BH62" s="49"/>
      <c r="BI62" s="49"/>
      <c r="BJ62" s="49"/>
      <c r="BK62" s="49"/>
      <c r="BL62" s="49"/>
      <c r="BM62" s="12"/>
      <c r="BN62" s="12"/>
      <c r="BO62" s="16">
        <v>1500</v>
      </c>
      <c r="BP62" s="16">
        <v>1500</v>
      </c>
      <c r="BQ62" s="16">
        <v>1500</v>
      </c>
      <c r="BR62" s="16">
        <v>1500</v>
      </c>
      <c r="BS62" s="17">
        <v>1500</v>
      </c>
      <c r="BT62" s="17">
        <v>1500</v>
      </c>
      <c r="BU62" s="17">
        <v>1500</v>
      </c>
      <c r="BV62" s="17">
        <v>1500</v>
      </c>
    </row>
    <row r="63" spans="1:74" ht="17.399999999999999" x14ac:dyDescent="0.25">
      <c r="A63" s="69">
        <v>85</v>
      </c>
      <c r="B63" s="73" t="s">
        <v>788</v>
      </c>
      <c r="C63" s="73" t="s">
        <v>243</v>
      </c>
      <c r="D63" s="71" t="s">
        <v>789</v>
      </c>
      <c r="E63" s="71" t="s">
        <v>712</v>
      </c>
      <c r="F63" s="86" t="s">
        <v>790</v>
      </c>
      <c r="G63" s="71" t="s">
        <v>616</v>
      </c>
      <c r="H63" s="71" t="s">
        <v>886</v>
      </c>
      <c r="I63" s="71"/>
      <c r="J63" s="71"/>
      <c r="K63" s="71" t="s">
        <v>792</v>
      </c>
      <c r="L63" s="80">
        <v>70000</v>
      </c>
      <c r="M63" s="72" t="s">
        <v>361</v>
      </c>
      <c r="N63" s="73" t="s">
        <v>793</v>
      </c>
      <c r="O63" s="71" t="s">
        <v>95</v>
      </c>
      <c r="P63" s="71" t="s">
        <v>95</v>
      </c>
      <c r="Q63" s="100">
        <v>0.19</v>
      </c>
      <c r="R63" s="75">
        <v>5320</v>
      </c>
      <c r="S63" s="91"/>
      <c r="T63" s="76">
        <v>28000</v>
      </c>
      <c r="U63" s="80">
        <v>7000</v>
      </c>
      <c r="V63" s="80">
        <v>7000</v>
      </c>
      <c r="W63" s="80">
        <v>7000</v>
      </c>
      <c r="X63" s="80">
        <v>7000</v>
      </c>
      <c r="Y63" s="80">
        <v>7000</v>
      </c>
      <c r="Z63" s="80">
        <v>7000</v>
      </c>
      <c r="AA63" s="80"/>
      <c r="AB63" s="80"/>
      <c r="AC63" s="77">
        <v>7000</v>
      </c>
      <c r="AD63" s="75">
        <v>7000</v>
      </c>
      <c r="AE63" s="75">
        <v>7000</v>
      </c>
      <c r="AF63" s="75">
        <v>7000</v>
      </c>
      <c r="AG63" s="75">
        <v>7000</v>
      </c>
      <c r="AH63" s="75">
        <v>7000</v>
      </c>
      <c r="AI63" s="75">
        <v>7000</v>
      </c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19" t="s">
        <v>719</v>
      </c>
      <c r="AW63" s="19" t="s">
        <v>689</v>
      </c>
      <c r="AX63" s="19" t="s">
        <v>261</v>
      </c>
      <c r="AY63" s="19" t="s">
        <v>720</v>
      </c>
      <c r="AZ63" s="19"/>
      <c r="BA63" s="19"/>
      <c r="BB63" s="19"/>
      <c r="BC63" s="22"/>
      <c r="BD63" s="22"/>
      <c r="BE63" s="22"/>
      <c r="BF63" s="22"/>
      <c r="BG63" s="48"/>
      <c r="BH63" s="48"/>
      <c r="BI63" s="48"/>
      <c r="BJ63" s="48"/>
      <c r="BK63" s="48"/>
      <c r="BL63" s="48"/>
      <c r="BM63" s="22"/>
      <c r="BN63" s="22"/>
      <c r="BO63" s="27">
        <v>1330</v>
      </c>
      <c r="BP63" s="27">
        <v>1330</v>
      </c>
      <c r="BQ63" s="27">
        <v>0</v>
      </c>
      <c r="BR63" s="27">
        <v>0</v>
      </c>
      <c r="BS63" s="28">
        <v>1330</v>
      </c>
      <c r="BT63" s="28">
        <v>1330</v>
      </c>
      <c r="BU63" s="28">
        <v>1330</v>
      </c>
      <c r="BV63" s="28">
        <v>1330</v>
      </c>
    </row>
    <row r="64" spans="1:74" ht="17.399999999999999" x14ac:dyDescent="0.25">
      <c r="A64" s="69">
        <v>86</v>
      </c>
      <c r="B64" s="73" t="s">
        <v>885</v>
      </c>
      <c r="C64" s="73" t="s">
        <v>243</v>
      </c>
      <c r="D64" s="71" t="s">
        <v>789</v>
      </c>
      <c r="E64" s="71" t="s">
        <v>712</v>
      </c>
      <c r="F64" s="86" t="s">
        <v>790</v>
      </c>
      <c r="G64" s="71" t="s">
        <v>305</v>
      </c>
      <c r="H64" s="71" t="s">
        <v>306</v>
      </c>
      <c r="I64" s="71"/>
      <c r="J64" s="71"/>
      <c r="K64" s="71" t="s">
        <v>792</v>
      </c>
      <c r="L64" s="80">
        <v>10000</v>
      </c>
      <c r="M64" s="72" t="s">
        <v>361</v>
      </c>
      <c r="N64" s="73" t="s">
        <v>793</v>
      </c>
      <c r="O64" s="71" t="s">
        <v>95</v>
      </c>
      <c r="P64" s="71" t="s">
        <v>95</v>
      </c>
      <c r="Q64" s="100">
        <v>0.3</v>
      </c>
      <c r="R64" s="75">
        <v>1380</v>
      </c>
      <c r="S64" s="91"/>
      <c r="T64" s="76">
        <v>4600</v>
      </c>
      <c r="U64" s="80">
        <v>1150</v>
      </c>
      <c r="V64" s="80">
        <v>1150</v>
      </c>
      <c r="W64" s="80">
        <v>1150</v>
      </c>
      <c r="X64" s="80">
        <v>1150</v>
      </c>
      <c r="Y64" s="80">
        <v>1150</v>
      </c>
      <c r="Z64" s="80">
        <v>1150</v>
      </c>
      <c r="AA64" s="80">
        <v>1150</v>
      </c>
      <c r="AB64" s="80">
        <v>1150</v>
      </c>
      <c r="AC64" s="77">
        <v>1150</v>
      </c>
      <c r="AD64" s="75">
        <v>1150</v>
      </c>
      <c r="AE64" s="75">
        <v>1150</v>
      </c>
      <c r="AF64" s="75">
        <v>1150</v>
      </c>
      <c r="AG64" s="75">
        <v>1150</v>
      </c>
      <c r="AH64" s="75">
        <v>1150</v>
      </c>
      <c r="AI64" s="75">
        <v>1150</v>
      </c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0" t="s">
        <v>719</v>
      </c>
      <c r="AW64" s="10" t="s">
        <v>689</v>
      </c>
      <c r="AX64" s="10" t="s">
        <v>261</v>
      </c>
      <c r="AY64" s="10" t="s">
        <v>720</v>
      </c>
      <c r="AZ64" s="10"/>
      <c r="BA64" s="10"/>
      <c r="BB64" s="10"/>
      <c r="BC64" s="12"/>
      <c r="BD64" s="12"/>
      <c r="BE64" s="12"/>
      <c r="BF64" s="12"/>
      <c r="BG64" s="49"/>
      <c r="BH64" s="49"/>
      <c r="BI64" s="49"/>
      <c r="BJ64" s="49"/>
      <c r="BK64" s="49"/>
      <c r="BL64" s="49"/>
      <c r="BM64" s="12"/>
      <c r="BN64" s="12"/>
      <c r="BO64" s="16">
        <v>345</v>
      </c>
      <c r="BP64" s="16">
        <v>345</v>
      </c>
      <c r="BQ64" s="16">
        <v>345</v>
      </c>
      <c r="BR64" s="16">
        <v>345</v>
      </c>
      <c r="BS64" s="17">
        <v>345</v>
      </c>
      <c r="BT64" s="17">
        <v>345</v>
      </c>
      <c r="BU64" s="17">
        <v>345</v>
      </c>
      <c r="BV64" s="17">
        <v>345</v>
      </c>
    </row>
    <row r="65" spans="1:74" ht="17.399999999999999" x14ac:dyDescent="0.25">
      <c r="A65" s="69">
        <v>87</v>
      </c>
      <c r="B65" s="73" t="s">
        <v>917</v>
      </c>
      <c r="C65" s="73" t="s">
        <v>243</v>
      </c>
      <c r="D65" s="71" t="s">
        <v>725</v>
      </c>
      <c r="E65" s="71" t="s">
        <v>712</v>
      </c>
      <c r="F65" s="86" t="s">
        <v>799</v>
      </c>
      <c r="G65" s="86" t="s">
        <v>273</v>
      </c>
      <c r="H65" s="86" t="s">
        <v>626</v>
      </c>
      <c r="I65" s="86"/>
      <c r="J65" s="86"/>
      <c r="K65" s="86" t="s">
        <v>800</v>
      </c>
      <c r="L65" s="89">
        <v>3000000</v>
      </c>
      <c r="M65" s="73" t="s">
        <v>382</v>
      </c>
      <c r="N65" s="73"/>
      <c r="O65" s="86" t="s">
        <v>835</v>
      </c>
      <c r="P65" s="71"/>
      <c r="Q65" s="100">
        <v>0.12</v>
      </c>
      <c r="R65" s="75">
        <v>0</v>
      </c>
      <c r="S65" s="88"/>
      <c r="T65" s="76">
        <v>0</v>
      </c>
      <c r="U65" s="80"/>
      <c r="V65" s="80"/>
      <c r="W65" s="80"/>
      <c r="X65" s="80"/>
      <c r="Y65" s="80"/>
      <c r="Z65" s="80"/>
      <c r="AA65" s="80"/>
      <c r="AB65" s="80"/>
      <c r="AC65" s="77"/>
      <c r="AD65" s="75"/>
      <c r="AE65" s="75"/>
      <c r="AF65" s="75"/>
      <c r="AG65" s="75">
        <v>0</v>
      </c>
      <c r="AH65" s="75"/>
      <c r="AI65" s="75">
        <v>0</v>
      </c>
      <c r="AJ65" s="33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19" t="s">
        <v>719</v>
      </c>
      <c r="AW65" s="19" t="s">
        <v>689</v>
      </c>
      <c r="AX65" s="19" t="s">
        <v>261</v>
      </c>
      <c r="AY65" s="19" t="s">
        <v>720</v>
      </c>
      <c r="AZ65" s="19"/>
      <c r="BA65" s="19"/>
      <c r="BB65" s="19"/>
      <c r="BC65" s="19"/>
      <c r="BD65" s="19"/>
      <c r="BE65" s="19"/>
      <c r="BF65" s="24"/>
      <c r="BG65" s="19"/>
      <c r="BH65" s="25"/>
      <c r="BI65" s="25"/>
      <c r="BJ65" s="25"/>
      <c r="BK65" s="25"/>
      <c r="BL65" s="25"/>
      <c r="BM65" s="37"/>
      <c r="BN65" s="21"/>
      <c r="BO65" s="27">
        <v>0</v>
      </c>
      <c r="BP65" s="27">
        <v>0</v>
      </c>
      <c r="BQ65" s="27">
        <v>0</v>
      </c>
      <c r="BR65" s="27">
        <v>0</v>
      </c>
      <c r="BS65" s="28">
        <v>0</v>
      </c>
      <c r="BT65" s="28">
        <v>0</v>
      </c>
      <c r="BU65" s="28">
        <v>0</v>
      </c>
      <c r="BV65" s="28">
        <v>0</v>
      </c>
    </row>
    <row r="66" spans="1:74" ht="17.399999999999999" x14ac:dyDescent="0.25">
      <c r="A66" s="69">
        <v>88</v>
      </c>
      <c r="B66" s="73" t="s">
        <v>918</v>
      </c>
      <c r="C66" s="73" t="s">
        <v>243</v>
      </c>
      <c r="D66" s="71" t="s">
        <v>725</v>
      </c>
      <c r="E66" s="71" t="s">
        <v>712</v>
      </c>
      <c r="F66" s="86" t="s">
        <v>919</v>
      </c>
      <c r="G66" s="73" t="s">
        <v>920</v>
      </c>
      <c r="H66" s="86" t="s">
        <v>921</v>
      </c>
      <c r="I66" s="86"/>
      <c r="J66" s="86"/>
      <c r="K66" s="86" t="s">
        <v>827</v>
      </c>
      <c r="L66" s="89"/>
      <c r="M66" s="73" t="s">
        <v>251</v>
      </c>
      <c r="N66" s="73"/>
      <c r="O66" s="86" t="s">
        <v>828</v>
      </c>
      <c r="P66" s="71"/>
      <c r="Q66" s="100">
        <v>0.22</v>
      </c>
      <c r="R66" s="75">
        <v>0</v>
      </c>
      <c r="S66" s="88"/>
      <c r="T66" s="76">
        <v>0</v>
      </c>
      <c r="U66" s="80"/>
      <c r="V66" s="80"/>
      <c r="W66" s="80"/>
      <c r="X66" s="80"/>
      <c r="Y66" s="80"/>
      <c r="Z66" s="80"/>
      <c r="AA66" s="80"/>
      <c r="AB66" s="80"/>
      <c r="AC66" s="77"/>
      <c r="AD66" s="75"/>
      <c r="AE66" s="75"/>
      <c r="AF66" s="75"/>
      <c r="AG66" s="75">
        <v>0</v>
      </c>
      <c r="AH66" s="75"/>
      <c r="AI66" s="75">
        <v>0</v>
      </c>
      <c r="AJ66" s="3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0" t="s">
        <v>719</v>
      </c>
      <c r="AW66" s="10" t="s">
        <v>689</v>
      </c>
      <c r="AX66" s="10" t="s">
        <v>261</v>
      </c>
      <c r="AY66" s="10" t="s">
        <v>720</v>
      </c>
      <c r="AZ66" s="10"/>
      <c r="BA66" s="10"/>
      <c r="BB66" s="10"/>
      <c r="BC66" s="10"/>
      <c r="BD66" s="10"/>
      <c r="BE66" s="10"/>
      <c r="BF66" s="13"/>
      <c r="BG66" s="10"/>
      <c r="BH66" s="14"/>
      <c r="BI66" s="14"/>
      <c r="BJ66" s="14"/>
      <c r="BK66" s="14"/>
      <c r="BL66" s="14"/>
      <c r="BM66" s="35"/>
      <c r="BN66" s="11"/>
      <c r="BO66" s="16">
        <v>0</v>
      </c>
      <c r="BP66" s="16">
        <v>0</v>
      </c>
      <c r="BQ66" s="16">
        <v>0</v>
      </c>
      <c r="BR66" s="16">
        <v>0</v>
      </c>
      <c r="BS66" s="17">
        <v>0</v>
      </c>
      <c r="BT66" s="17">
        <v>0</v>
      </c>
      <c r="BU66" s="17">
        <v>0</v>
      </c>
      <c r="BV66" s="17">
        <v>0</v>
      </c>
    </row>
    <row r="67" spans="1:74" ht="17.399999999999999" x14ac:dyDescent="0.25">
      <c r="A67" s="69">
        <v>89</v>
      </c>
      <c r="B67" s="73" t="s">
        <v>922</v>
      </c>
      <c r="C67" s="73" t="s">
        <v>243</v>
      </c>
      <c r="D67" s="71" t="s">
        <v>725</v>
      </c>
      <c r="E67" s="71" t="s">
        <v>712</v>
      </c>
      <c r="F67" s="86" t="s">
        <v>919</v>
      </c>
      <c r="G67" s="86" t="s">
        <v>286</v>
      </c>
      <c r="H67" s="86" t="s">
        <v>287</v>
      </c>
      <c r="I67" s="86"/>
      <c r="J67" s="86"/>
      <c r="K67" s="86" t="s">
        <v>923</v>
      </c>
      <c r="L67" s="89">
        <v>1000000</v>
      </c>
      <c r="M67" s="73" t="s">
        <v>251</v>
      </c>
      <c r="N67" s="73"/>
      <c r="O67" s="86"/>
      <c r="P67" s="71"/>
      <c r="Q67" s="100">
        <v>0.115</v>
      </c>
      <c r="R67" s="75">
        <v>0</v>
      </c>
      <c r="S67" s="88"/>
      <c r="T67" s="76">
        <v>0</v>
      </c>
      <c r="U67" s="80"/>
      <c r="V67" s="80"/>
      <c r="W67" s="80"/>
      <c r="X67" s="80"/>
      <c r="Y67" s="80"/>
      <c r="Z67" s="80"/>
      <c r="AA67" s="80"/>
      <c r="AB67" s="80"/>
      <c r="AC67" s="77"/>
      <c r="AD67" s="75"/>
      <c r="AE67" s="75"/>
      <c r="AF67" s="75"/>
      <c r="AG67" s="75">
        <v>0</v>
      </c>
      <c r="AH67" s="75"/>
      <c r="AI67" s="75">
        <v>0</v>
      </c>
      <c r="AJ67" s="33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19" t="s">
        <v>719</v>
      </c>
      <c r="AW67" s="19" t="s">
        <v>689</v>
      </c>
      <c r="AX67" s="19" t="s">
        <v>261</v>
      </c>
      <c r="AY67" s="19" t="s">
        <v>720</v>
      </c>
      <c r="AZ67" s="19"/>
      <c r="BA67" s="19"/>
      <c r="BB67" s="19"/>
      <c r="BC67" s="19"/>
      <c r="BD67" s="19"/>
      <c r="BE67" s="19"/>
      <c r="BF67" s="24"/>
      <c r="BG67" s="19"/>
      <c r="BH67" s="25"/>
      <c r="BI67" s="25"/>
      <c r="BJ67" s="25"/>
      <c r="BK67" s="25"/>
      <c r="BL67" s="25"/>
      <c r="BM67" s="37"/>
      <c r="BN67" s="21"/>
      <c r="BO67" s="27">
        <v>0</v>
      </c>
      <c r="BP67" s="27">
        <v>0</v>
      </c>
      <c r="BQ67" s="27">
        <v>0</v>
      </c>
      <c r="BR67" s="27">
        <v>0</v>
      </c>
      <c r="BS67" s="28">
        <v>0</v>
      </c>
      <c r="BT67" s="28">
        <v>0</v>
      </c>
      <c r="BU67" s="28">
        <v>0</v>
      </c>
      <c r="BV67" s="28">
        <v>0</v>
      </c>
    </row>
    <row r="68" spans="1:74" ht="17.399999999999999" x14ac:dyDescent="0.25">
      <c r="A68" s="69">
        <v>90</v>
      </c>
      <c r="B68" s="73" t="s">
        <v>732</v>
      </c>
      <c r="C68" s="73" t="s">
        <v>290</v>
      </c>
      <c r="D68" s="71" t="s">
        <v>725</v>
      </c>
      <c r="E68" s="71" t="s">
        <v>712</v>
      </c>
      <c r="F68" s="86" t="s">
        <v>726</v>
      </c>
      <c r="G68" s="86" t="s">
        <v>924</v>
      </c>
      <c r="H68" s="86" t="s">
        <v>925</v>
      </c>
      <c r="I68" s="86"/>
      <c r="J68" s="86"/>
      <c r="K68" s="86" t="s">
        <v>735</v>
      </c>
      <c r="L68" s="89">
        <v>3000000</v>
      </c>
      <c r="M68" s="73" t="s">
        <v>251</v>
      </c>
      <c r="N68" s="73"/>
      <c r="O68" s="86" t="s">
        <v>926</v>
      </c>
      <c r="P68" s="71"/>
      <c r="Q68" s="103">
        <v>0.25</v>
      </c>
      <c r="R68" s="75">
        <v>0</v>
      </c>
      <c r="S68" s="88"/>
      <c r="T68" s="76">
        <v>0</v>
      </c>
      <c r="U68" s="80"/>
      <c r="V68" s="80"/>
      <c r="W68" s="80"/>
      <c r="X68" s="80"/>
      <c r="Y68" s="80"/>
      <c r="Z68" s="80"/>
      <c r="AA68" s="80"/>
      <c r="AB68" s="80"/>
      <c r="AC68" s="77"/>
      <c r="AD68" s="75"/>
      <c r="AE68" s="75"/>
      <c r="AF68" s="75"/>
      <c r="AG68" s="75">
        <v>0</v>
      </c>
      <c r="AH68" s="75"/>
      <c r="AI68" s="75">
        <v>0</v>
      </c>
      <c r="AJ68" s="3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0"/>
      <c r="AW68" s="10" t="s">
        <v>689</v>
      </c>
      <c r="AX68" s="10" t="s">
        <v>261</v>
      </c>
      <c r="AY68" s="10"/>
      <c r="AZ68" s="10"/>
      <c r="BA68" s="10"/>
      <c r="BB68" s="10"/>
      <c r="BC68" s="10"/>
      <c r="BD68" s="10"/>
      <c r="BE68" s="10"/>
      <c r="BF68" s="13"/>
      <c r="BG68" s="10"/>
      <c r="BH68" s="10"/>
      <c r="BI68" s="10"/>
      <c r="BJ68" s="10"/>
      <c r="BK68" s="10"/>
      <c r="BL68" s="10"/>
      <c r="BM68" s="12"/>
      <c r="BN68" s="12"/>
      <c r="BO68" s="16">
        <v>0</v>
      </c>
      <c r="BP68" s="16">
        <v>0</v>
      </c>
      <c r="BQ68" s="16">
        <v>0</v>
      </c>
      <c r="BR68" s="16">
        <v>0</v>
      </c>
      <c r="BS68" s="17">
        <v>0</v>
      </c>
      <c r="BT68" s="17">
        <v>0</v>
      </c>
      <c r="BU68" s="17">
        <v>0</v>
      </c>
      <c r="BV68" s="17">
        <v>0</v>
      </c>
    </row>
    <row r="69" spans="1:74" ht="17.399999999999999" x14ac:dyDescent="0.25">
      <c r="A69" s="69">
        <v>91</v>
      </c>
      <c r="B69" s="73" t="s">
        <v>736</v>
      </c>
      <c r="C69" s="73" t="s">
        <v>243</v>
      </c>
      <c r="D69" s="71" t="s">
        <v>725</v>
      </c>
      <c r="E69" s="71" t="s">
        <v>712</v>
      </c>
      <c r="F69" s="86" t="s">
        <v>726</v>
      </c>
      <c r="G69" s="73" t="s">
        <v>920</v>
      </c>
      <c r="H69" s="86" t="s">
        <v>921</v>
      </c>
      <c r="I69" s="86"/>
      <c r="J69" s="86"/>
      <c r="K69" s="86" t="s">
        <v>738</v>
      </c>
      <c r="L69" s="89"/>
      <c r="M69" s="73" t="s">
        <v>251</v>
      </c>
      <c r="N69" s="73"/>
      <c r="O69" s="86" t="s">
        <v>927</v>
      </c>
      <c r="P69" s="73"/>
      <c r="Q69" s="100">
        <v>0.22</v>
      </c>
      <c r="R69" s="75">
        <v>0</v>
      </c>
      <c r="S69" s="88"/>
      <c r="T69" s="76">
        <v>0</v>
      </c>
      <c r="U69" s="80"/>
      <c r="V69" s="80"/>
      <c r="W69" s="80"/>
      <c r="X69" s="80"/>
      <c r="Y69" s="80"/>
      <c r="Z69" s="80"/>
      <c r="AA69" s="80"/>
      <c r="AB69" s="80"/>
      <c r="AC69" s="77"/>
      <c r="AD69" s="75"/>
      <c r="AE69" s="75"/>
      <c r="AF69" s="75"/>
      <c r="AG69" s="75">
        <v>0</v>
      </c>
      <c r="AH69" s="75"/>
      <c r="AI69" s="75">
        <v>0</v>
      </c>
      <c r="AJ69" s="33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19" t="s">
        <v>719</v>
      </c>
      <c r="AW69" s="19" t="s">
        <v>689</v>
      </c>
      <c r="AX69" s="19" t="s">
        <v>261</v>
      </c>
      <c r="AY69" s="19" t="s">
        <v>720</v>
      </c>
      <c r="AZ69" s="19"/>
      <c r="BA69" s="19"/>
      <c r="BB69" s="19"/>
      <c r="BC69" s="19"/>
      <c r="BD69" s="19"/>
      <c r="BE69" s="19"/>
      <c r="BF69" s="24"/>
      <c r="BG69" s="19"/>
      <c r="BH69" s="19"/>
      <c r="BI69" s="19"/>
      <c r="BJ69" s="19"/>
      <c r="BK69" s="19"/>
      <c r="BL69" s="19"/>
      <c r="BM69" s="22"/>
      <c r="BN69" s="22"/>
      <c r="BO69" s="27">
        <v>0</v>
      </c>
      <c r="BP69" s="27">
        <v>0</v>
      </c>
      <c r="BQ69" s="27">
        <v>0</v>
      </c>
      <c r="BR69" s="27">
        <v>0</v>
      </c>
      <c r="BS69" s="28">
        <v>0</v>
      </c>
      <c r="BT69" s="28">
        <v>0</v>
      </c>
      <c r="BU69" s="28">
        <v>0</v>
      </c>
      <c r="BV69" s="28">
        <v>0</v>
      </c>
    </row>
    <row r="70" spans="1:74" ht="17.399999999999999" x14ac:dyDescent="0.25">
      <c r="A70" s="69">
        <v>92</v>
      </c>
      <c r="B70" s="73" t="s">
        <v>928</v>
      </c>
      <c r="C70" s="73" t="s">
        <v>243</v>
      </c>
      <c r="D70" s="86" t="s">
        <v>725</v>
      </c>
      <c r="E70" s="71" t="s">
        <v>712</v>
      </c>
      <c r="F70" s="86" t="s">
        <v>726</v>
      </c>
      <c r="G70" s="86" t="s">
        <v>929</v>
      </c>
      <c r="H70" s="71" t="s">
        <v>930</v>
      </c>
      <c r="I70" s="86"/>
      <c r="J70" s="86"/>
      <c r="K70" s="86" t="s">
        <v>931</v>
      </c>
      <c r="L70" s="89">
        <v>100000000</v>
      </c>
      <c r="M70" s="73" t="s">
        <v>251</v>
      </c>
      <c r="N70" s="73"/>
      <c r="O70" s="86"/>
      <c r="P70" s="71"/>
      <c r="Q70" s="104"/>
      <c r="R70" s="75">
        <v>0</v>
      </c>
      <c r="S70" s="88"/>
      <c r="T70" s="76">
        <v>0</v>
      </c>
      <c r="U70" s="80"/>
      <c r="V70" s="80"/>
      <c r="W70" s="80"/>
      <c r="X70" s="80"/>
      <c r="Y70" s="80"/>
      <c r="Z70" s="80"/>
      <c r="AA70" s="80"/>
      <c r="AB70" s="80"/>
      <c r="AC70" s="77"/>
      <c r="AD70" s="75"/>
      <c r="AE70" s="75"/>
      <c r="AF70" s="75"/>
      <c r="AG70" s="75">
        <v>0</v>
      </c>
      <c r="AH70" s="75"/>
      <c r="AI70" s="75">
        <v>0</v>
      </c>
      <c r="AJ70" s="3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0"/>
      <c r="AW70" s="10" t="s">
        <v>689</v>
      </c>
      <c r="AX70" s="10" t="s">
        <v>261</v>
      </c>
      <c r="AY70" s="10"/>
      <c r="AZ70" s="10"/>
      <c r="BA70" s="10"/>
      <c r="BB70" s="10"/>
      <c r="BC70" s="10"/>
      <c r="BD70" s="10"/>
      <c r="BE70" s="10"/>
      <c r="BF70" s="13"/>
      <c r="BG70" s="10"/>
      <c r="BH70" s="10"/>
      <c r="BI70" s="10"/>
      <c r="BJ70" s="10"/>
      <c r="BK70" s="10"/>
      <c r="BL70" s="10"/>
      <c r="BM70" s="12"/>
      <c r="BN70" s="12"/>
      <c r="BO70" s="16">
        <v>0</v>
      </c>
      <c r="BP70" s="16">
        <v>0</v>
      </c>
      <c r="BQ70" s="16">
        <v>0</v>
      </c>
      <c r="BR70" s="16">
        <v>0</v>
      </c>
      <c r="BS70" s="17">
        <v>0</v>
      </c>
      <c r="BT70" s="17">
        <v>0</v>
      </c>
      <c r="BU70" s="17">
        <v>0</v>
      </c>
      <c r="BV70" s="17">
        <v>0</v>
      </c>
    </row>
    <row r="71" spans="1:74" ht="17.399999999999999" x14ac:dyDescent="0.25">
      <c r="A71" s="69">
        <v>93</v>
      </c>
      <c r="B71" s="73" t="s">
        <v>928</v>
      </c>
      <c r="C71" s="73" t="s">
        <v>243</v>
      </c>
      <c r="D71" s="86" t="s">
        <v>725</v>
      </c>
      <c r="E71" s="71" t="s">
        <v>712</v>
      </c>
      <c r="F71" s="86" t="s">
        <v>726</v>
      </c>
      <c r="G71" s="86" t="s">
        <v>924</v>
      </c>
      <c r="H71" s="86" t="s">
        <v>925</v>
      </c>
      <c r="I71" s="86"/>
      <c r="J71" s="86"/>
      <c r="K71" s="86" t="s">
        <v>931</v>
      </c>
      <c r="L71" s="89">
        <v>50000000</v>
      </c>
      <c r="M71" s="73" t="s">
        <v>251</v>
      </c>
      <c r="N71" s="73"/>
      <c r="O71" s="86"/>
      <c r="P71" s="71"/>
      <c r="Q71" s="100"/>
      <c r="R71" s="75">
        <v>0</v>
      </c>
      <c r="S71" s="88"/>
      <c r="T71" s="76">
        <v>0</v>
      </c>
      <c r="U71" s="80"/>
      <c r="V71" s="80"/>
      <c r="W71" s="80"/>
      <c r="X71" s="80"/>
      <c r="Y71" s="80"/>
      <c r="Z71" s="80"/>
      <c r="AA71" s="80"/>
      <c r="AB71" s="80"/>
      <c r="AC71" s="77"/>
      <c r="AD71" s="75"/>
      <c r="AE71" s="75"/>
      <c r="AF71" s="75"/>
      <c r="AG71" s="75">
        <v>0</v>
      </c>
      <c r="AH71" s="75"/>
      <c r="AI71" s="75">
        <v>0</v>
      </c>
      <c r="AJ71" s="33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19"/>
      <c r="AW71" s="19" t="s">
        <v>689</v>
      </c>
      <c r="AX71" s="19" t="s">
        <v>261</v>
      </c>
      <c r="AY71" s="19"/>
      <c r="AZ71" s="19"/>
      <c r="BA71" s="19"/>
      <c r="BB71" s="19"/>
      <c r="BC71" s="19"/>
      <c r="BD71" s="19"/>
      <c r="BE71" s="19"/>
      <c r="BF71" s="24"/>
      <c r="BG71" s="19"/>
      <c r="BH71" s="25"/>
      <c r="BI71" s="25"/>
      <c r="BJ71" s="25"/>
      <c r="BK71" s="25"/>
      <c r="BL71" s="25"/>
      <c r="BM71" s="37"/>
      <c r="BN71" s="21"/>
      <c r="BO71" s="27">
        <v>0</v>
      </c>
      <c r="BP71" s="27">
        <v>0</v>
      </c>
      <c r="BQ71" s="27">
        <v>0</v>
      </c>
      <c r="BR71" s="27">
        <v>0</v>
      </c>
      <c r="BS71" s="28">
        <v>0</v>
      </c>
      <c r="BT71" s="28">
        <v>0</v>
      </c>
      <c r="BU71" s="28">
        <v>0</v>
      </c>
      <c r="BV71" s="28">
        <v>0</v>
      </c>
    </row>
    <row r="72" spans="1:74" ht="17.399999999999999" x14ac:dyDescent="0.25">
      <c r="A72" s="69">
        <v>94</v>
      </c>
      <c r="B72" s="73" t="s">
        <v>932</v>
      </c>
      <c r="C72" s="73" t="s">
        <v>243</v>
      </c>
      <c r="D72" s="86" t="s">
        <v>725</v>
      </c>
      <c r="E72" s="71" t="s">
        <v>712</v>
      </c>
      <c r="F72" s="86" t="s">
        <v>726</v>
      </c>
      <c r="G72" s="86" t="s">
        <v>929</v>
      </c>
      <c r="H72" s="71" t="s">
        <v>930</v>
      </c>
      <c r="I72" s="86"/>
      <c r="J72" s="86"/>
      <c r="K72" s="86" t="s">
        <v>931</v>
      </c>
      <c r="L72" s="89">
        <v>100000000</v>
      </c>
      <c r="M72" s="73" t="s">
        <v>251</v>
      </c>
      <c r="N72" s="73"/>
      <c r="O72" s="86" t="s">
        <v>95</v>
      </c>
      <c r="P72" s="71"/>
      <c r="Q72" s="100"/>
      <c r="R72" s="75">
        <v>0</v>
      </c>
      <c r="S72" s="88"/>
      <c r="T72" s="76">
        <v>0</v>
      </c>
      <c r="U72" s="80"/>
      <c r="V72" s="80"/>
      <c r="W72" s="80"/>
      <c r="X72" s="80"/>
      <c r="Y72" s="80"/>
      <c r="Z72" s="80"/>
      <c r="AA72" s="80"/>
      <c r="AB72" s="80"/>
      <c r="AC72" s="77"/>
      <c r="AD72" s="75"/>
      <c r="AE72" s="75"/>
      <c r="AF72" s="75"/>
      <c r="AG72" s="75">
        <v>0</v>
      </c>
      <c r="AH72" s="75"/>
      <c r="AI72" s="75">
        <v>0</v>
      </c>
      <c r="AJ72" s="3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0"/>
      <c r="AW72" s="10" t="s">
        <v>689</v>
      </c>
      <c r="AX72" s="10" t="s">
        <v>261</v>
      </c>
      <c r="AY72" s="10"/>
      <c r="AZ72" s="10"/>
      <c r="BA72" s="10"/>
      <c r="BB72" s="10"/>
      <c r="BC72" s="10"/>
      <c r="BD72" s="10"/>
      <c r="BE72" s="10"/>
      <c r="BF72" s="13"/>
      <c r="BG72" s="10"/>
      <c r="BH72" s="14"/>
      <c r="BI72" s="14"/>
      <c r="BJ72" s="14"/>
      <c r="BK72" s="14"/>
      <c r="BL72" s="14"/>
      <c r="BM72" s="35"/>
      <c r="BN72" s="11"/>
      <c r="BO72" s="16">
        <v>0</v>
      </c>
      <c r="BP72" s="16">
        <v>0</v>
      </c>
      <c r="BQ72" s="16">
        <v>0</v>
      </c>
      <c r="BR72" s="16">
        <v>0</v>
      </c>
      <c r="BS72" s="17">
        <v>0</v>
      </c>
      <c r="BT72" s="17">
        <v>0</v>
      </c>
      <c r="BU72" s="17">
        <v>0</v>
      </c>
      <c r="BV72" s="17">
        <v>0</v>
      </c>
    </row>
    <row r="73" spans="1:74" ht="17.399999999999999" x14ac:dyDescent="0.25">
      <c r="A73" s="69">
        <v>95</v>
      </c>
      <c r="B73" s="73" t="s">
        <v>933</v>
      </c>
      <c r="C73" s="73" t="s">
        <v>243</v>
      </c>
      <c r="D73" s="86" t="s">
        <v>725</v>
      </c>
      <c r="E73" s="71" t="s">
        <v>712</v>
      </c>
      <c r="F73" s="86" t="s">
        <v>726</v>
      </c>
      <c r="G73" s="86" t="s">
        <v>929</v>
      </c>
      <c r="H73" s="71" t="s">
        <v>930</v>
      </c>
      <c r="I73" s="86"/>
      <c r="J73" s="86"/>
      <c r="K73" s="86" t="s">
        <v>931</v>
      </c>
      <c r="L73" s="89">
        <v>10000000</v>
      </c>
      <c r="M73" s="73" t="s">
        <v>251</v>
      </c>
      <c r="N73" s="73"/>
      <c r="O73" s="86" t="s">
        <v>95</v>
      </c>
      <c r="P73" s="71"/>
      <c r="Q73" s="100"/>
      <c r="R73" s="75">
        <v>0</v>
      </c>
      <c r="S73" s="88"/>
      <c r="T73" s="76">
        <v>0</v>
      </c>
      <c r="U73" s="80"/>
      <c r="V73" s="80"/>
      <c r="W73" s="80"/>
      <c r="X73" s="80"/>
      <c r="Y73" s="80"/>
      <c r="Z73" s="80"/>
      <c r="AA73" s="80"/>
      <c r="AB73" s="80"/>
      <c r="AC73" s="77"/>
      <c r="AD73" s="75"/>
      <c r="AE73" s="75"/>
      <c r="AF73" s="75"/>
      <c r="AG73" s="75">
        <v>0</v>
      </c>
      <c r="AH73" s="75"/>
      <c r="AI73" s="75">
        <v>0</v>
      </c>
      <c r="AJ73" s="33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19"/>
      <c r="AW73" s="19" t="s">
        <v>689</v>
      </c>
      <c r="AX73" s="19" t="s">
        <v>261</v>
      </c>
      <c r="AY73" s="19"/>
      <c r="AZ73" s="19"/>
      <c r="BA73" s="19"/>
      <c r="BB73" s="19"/>
      <c r="BC73" s="19"/>
      <c r="BD73" s="19"/>
      <c r="BE73" s="19"/>
      <c r="BF73" s="24"/>
      <c r="BG73" s="19"/>
      <c r="BH73" s="25"/>
      <c r="BI73" s="25"/>
      <c r="BJ73" s="25"/>
      <c r="BK73" s="25"/>
      <c r="BL73" s="25"/>
      <c r="BM73" s="37"/>
      <c r="BN73" s="21"/>
      <c r="BO73" s="27">
        <v>0</v>
      </c>
      <c r="BP73" s="27">
        <v>0</v>
      </c>
      <c r="BQ73" s="27">
        <v>0</v>
      </c>
      <c r="BR73" s="27">
        <v>0</v>
      </c>
      <c r="BS73" s="28">
        <v>0</v>
      </c>
      <c r="BT73" s="28">
        <v>0</v>
      </c>
      <c r="BU73" s="28">
        <v>0</v>
      </c>
      <c r="BV73" s="28">
        <v>0</v>
      </c>
    </row>
    <row r="74" spans="1:74" ht="17.399999999999999" x14ac:dyDescent="0.25">
      <c r="A74" s="69">
        <v>96</v>
      </c>
      <c r="B74" s="73" t="s">
        <v>933</v>
      </c>
      <c r="C74" s="73" t="s">
        <v>243</v>
      </c>
      <c r="D74" s="86" t="s">
        <v>725</v>
      </c>
      <c r="E74" s="71" t="s">
        <v>712</v>
      </c>
      <c r="F74" s="86" t="s">
        <v>726</v>
      </c>
      <c r="G74" s="86" t="s">
        <v>934</v>
      </c>
      <c r="H74" s="86"/>
      <c r="I74" s="86"/>
      <c r="J74" s="86"/>
      <c r="K74" s="86" t="s">
        <v>931</v>
      </c>
      <c r="L74" s="89">
        <v>10000000</v>
      </c>
      <c r="M74" s="73" t="s">
        <v>251</v>
      </c>
      <c r="N74" s="73"/>
      <c r="O74" s="86" t="s">
        <v>95</v>
      </c>
      <c r="P74" s="71"/>
      <c r="Q74" s="100"/>
      <c r="R74" s="75">
        <v>0</v>
      </c>
      <c r="S74" s="88"/>
      <c r="T74" s="76">
        <v>0</v>
      </c>
      <c r="U74" s="80"/>
      <c r="V74" s="80"/>
      <c r="W74" s="80"/>
      <c r="X74" s="80"/>
      <c r="Y74" s="80"/>
      <c r="Z74" s="80"/>
      <c r="AA74" s="80"/>
      <c r="AB74" s="80"/>
      <c r="AC74" s="77"/>
      <c r="AD74" s="75"/>
      <c r="AE74" s="75"/>
      <c r="AF74" s="75"/>
      <c r="AG74" s="75">
        <v>0</v>
      </c>
      <c r="AH74" s="75"/>
      <c r="AI74" s="75">
        <v>0</v>
      </c>
      <c r="AJ74" s="3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0"/>
      <c r="AW74" s="10" t="s">
        <v>689</v>
      </c>
      <c r="AX74" s="10" t="s">
        <v>258</v>
      </c>
      <c r="AY74" s="10"/>
      <c r="AZ74" s="10"/>
      <c r="BA74" s="10"/>
      <c r="BB74" s="10"/>
      <c r="BC74" s="10"/>
      <c r="BD74" s="10"/>
      <c r="BE74" s="10"/>
      <c r="BF74" s="13"/>
      <c r="BG74" s="10"/>
      <c r="BH74" s="14"/>
      <c r="BI74" s="14"/>
      <c r="BJ74" s="14"/>
      <c r="BK74" s="14"/>
      <c r="BL74" s="14"/>
      <c r="BM74" s="35"/>
      <c r="BN74" s="11"/>
      <c r="BO74" s="16">
        <v>0</v>
      </c>
      <c r="BP74" s="16">
        <v>0</v>
      </c>
      <c r="BQ74" s="16">
        <v>0</v>
      </c>
      <c r="BR74" s="16">
        <v>0</v>
      </c>
      <c r="BS74" s="17">
        <v>0</v>
      </c>
      <c r="BT74" s="17">
        <v>0</v>
      </c>
      <c r="BU74" s="17">
        <v>0</v>
      </c>
      <c r="BV74" s="17">
        <v>0</v>
      </c>
    </row>
    <row r="75" spans="1:74" ht="17.399999999999999" x14ac:dyDescent="0.25">
      <c r="A75" s="69">
        <v>97</v>
      </c>
      <c r="B75" s="73" t="s">
        <v>935</v>
      </c>
      <c r="C75" s="73" t="s">
        <v>243</v>
      </c>
      <c r="D75" s="86" t="s">
        <v>725</v>
      </c>
      <c r="E75" s="71" t="s">
        <v>712</v>
      </c>
      <c r="F75" s="86" t="s">
        <v>726</v>
      </c>
      <c r="G75" s="86" t="s">
        <v>924</v>
      </c>
      <c r="H75" s="86" t="s">
        <v>925</v>
      </c>
      <c r="I75" s="86"/>
      <c r="J75" s="86"/>
      <c r="K75" s="86" t="s">
        <v>936</v>
      </c>
      <c r="L75" s="89">
        <v>20000000</v>
      </c>
      <c r="M75" s="73" t="s">
        <v>251</v>
      </c>
      <c r="N75" s="73"/>
      <c r="O75" s="86" t="s">
        <v>926</v>
      </c>
      <c r="P75" s="71"/>
      <c r="Q75" s="100"/>
      <c r="R75" s="75">
        <v>0</v>
      </c>
      <c r="S75" s="88"/>
      <c r="T75" s="76">
        <v>0</v>
      </c>
      <c r="U75" s="80"/>
      <c r="V75" s="80"/>
      <c r="W75" s="80"/>
      <c r="X75" s="80"/>
      <c r="Y75" s="80"/>
      <c r="Z75" s="80"/>
      <c r="AA75" s="80"/>
      <c r="AB75" s="80"/>
      <c r="AC75" s="77"/>
      <c r="AD75" s="75"/>
      <c r="AE75" s="75"/>
      <c r="AF75" s="75"/>
      <c r="AG75" s="75">
        <v>0</v>
      </c>
      <c r="AH75" s="75"/>
      <c r="AI75" s="75">
        <v>0</v>
      </c>
      <c r="AJ75" s="33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19"/>
      <c r="AW75" s="19" t="s">
        <v>689</v>
      </c>
      <c r="AX75" s="19" t="s">
        <v>261</v>
      </c>
      <c r="AY75" s="19"/>
      <c r="AZ75" s="19"/>
      <c r="BA75" s="19"/>
      <c r="BB75" s="19"/>
      <c r="BC75" s="19"/>
      <c r="BD75" s="19"/>
      <c r="BE75" s="19"/>
      <c r="BF75" s="24"/>
      <c r="BG75" s="19"/>
      <c r="BH75" s="25"/>
      <c r="BI75" s="25"/>
      <c r="BJ75" s="25"/>
      <c r="BK75" s="25"/>
      <c r="BL75" s="25"/>
      <c r="BM75" s="37"/>
      <c r="BN75" s="21"/>
      <c r="BO75" s="27">
        <v>0</v>
      </c>
      <c r="BP75" s="27">
        <v>0</v>
      </c>
      <c r="BQ75" s="27">
        <v>0</v>
      </c>
      <c r="BR75" s="27">
        <v>0</v>
      </c>
      <c r="BS75" s="28">
        <v>0</v>
      </c>
      <c r="BT75" s="28">
        <v>0</v>
      </c>
      <c r="BU75" s="28">
        <v>0</v>
      </c>
      <c r="BV75" s="28">
        <v>0</v>
      </c>
    </row>
    <row r="76" spans="1:74" ht="17.399999999999999" x14ac:dyDescent="0.25">
      <c r="A76" s="69">
        <v>98</v>
      </c>
      <c r="B76" s="73" t="s">
        <v>937</v>
      </c>
      <c r="C76" s="73" t="s">
        <v>243</v>
      </c>
      <c r="D76" s="86" t="s">
        <v>725</v>
      </c>
      <c r="E76" s="71" t="s">
        <v>712</v>
      </c>
      <c r="F76" s="86" t="s">
        <v>726</v>
      </c>
      <c r="G76" s="86" t="s">
        <v>929</v>
      </c>
      <c r="H76" s="71" t="s">
        <v>930</v>
      </c>
      <c r="I76" s="86"/>
      <c r="J76" s="86"/>
      <c r="K76" s="86" t="s">
        <v>931</v>
      </c>
      <c r="L76" s="89">
        <v>2000000</v>
      </c>
      <c r="M76" s="73" t="s">
        <v>361</v>
      </c>
      <c r="N76" s="73"/>
      <c r="O76" s="86" t="s">
        <v>95</v>
      </c>
      <c r="P76" s="71"/>
      <c r="Q76" s="100"/>
      <c r="R76" s="75">
        <v>0</v>
      </c>
      <c r="S76" s="88"/>
      <c r="T76" s="76">
        <v>0</v>
      </c>
      <c r="U76" s="80"/>
      <c r="V76" s="80"/>
      <c r="W76" s="80"/>
      <c r="X76" s="80"/>
      <c r="Y76" s="80"/>
      <c r="Z76" s="80"/>
      <c r="AA76" s="80"/>
      <c r="AB76" s="80"/>
      <c r="AC76" s="77"/>
      <c r="AD76" s="75"/>
      <c r="AE76" s="75"/>
      <c r="AF76" s="75"/>
      <c r="AG76" s="75">
        <v>0</v>
      </c>
      <c r="AH76" s="75"/>
      <c r="AI76" s="75">
        <v>0</v>
      </c>
      <c r="AJ76" s="3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0"/>
      <c r="AW76" s="10" t="s">
        <v>689</v>
      </c>
      <c r="AX76" s="10" t="s">
        <v>261</v>
      </c>
      <c r="AY76" s="10"/>
      <c r="AZ76" s="10"/>
      <c r="BA76" s="10"/>
      <c r="BB76" s="10"/>
      <c r="BC76" s="10"/>
      <c r="BD76" s="10"/>
      <c r="BE76" s="10"/>
      <c r="BF76" s="13"/>
      <c r="BG76" s="10"/>
      <c r="BH76" s="14"/>
      <c r="BI76" s="14"/>
      <c r="BJ76" s="14"/>
      <c r="BK76" s="14"/>
      <c r="BL76" s="14"/>
      <c r="BM76" s="35"/>
      <c r="BN76" s="11"/>
      <c r="BO76" s="16">
        <v>0</v>
      </c>
      <c r="BP76" s="16">
        <v>0</v>
      </c>
      <c r="BQ76" s="16">
        <v>0</v>
      </c>
      <c r="BR76" s="16">
        <v>0</v>
      </c>
      <c r="BS76" s="17">
        <v>0</v>
      </c>
      <c r="BT76" s="17">
        <v>0</v>
      </c>
      <c r="BU76" s="17">
        <v>0</v>
      </c>
      <c r="BV76" s="17">
        <v>0</v>
      </c>
    </row>
    <row r="77" spans="1:74" ht="17.399999999999999" x14ac:dyDescent="0.25">
      <c r="A77" s="69">
        <v>99</v>
      </c>
      <c r="B77" s="73" t="s">
        <v>938</v>
      </c>
      <c r="C77" s="73" t="s">
        <v>243</v>
      </c>
      <c r="D77" s="86" t="s">
        <v>725</v>
      </c>
      <c r="E77" s="71" t="s">
        <v>712</v>
      </c>
      <c r="F77" s="86" t="s">
        <v>726</v>
      </c>
      <c r="G77" s="86" t="s">
        <v>924</v>
      </c>
      <c r="H77" s="86" t="s">
        <v>925</v>
      </c>
      <c r="I77" s="86"/>
      <c r="J77" s="86"/>
      <c r="K77" s="86" t="s">
        <v>939</v>
      </c>
      <c r="L77" s="89">
        <v>2000000</v>
      </c>
      <c r="M77" s="73" t="s">
        <v>251</v>
      </c>
      <c r="N77" s="73"/>
      <c r="O77" s="86" t="s">
        <v>940</v>
      </c>
      <c r="P77" s="71"/>
      <c r="Q77" s="100"/>
      <c r="R77" s="75">
        <v>0</v>
      </c>
      <c r="S77" s="88"/>
      <c r="T77" s="76">
        <v>0</v>
      </c>
      <c r="U77" s="80"/>
      <c r="V77" s="80"/>
      <c r="W77" s="80"/>
      <c r="X77" s="80"/>
      <c r="Y77" s="80"/>
      <c r="Z77" s="80"/>
      <c r="AA77" s="80"/>
      <c r="AB77" s="80"/>
      <c r="AC77" s="77"/>
      <c r="AD77" s="75"/>
      <c r="AE77" s="75"/>
      <c r="AF77" s="75"/>
      <c r="AG77" s="75">
        <v>0</v>
      </c>
      <c r="AH77" s="75"/>
      <c r="AI77" s="75">
        <v>0</v>
      </c>
      <c r="AJ77" s="33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19"/>
      <c r="AW77" s="19" t="s">
        <v>689</v>
      </c>
      <c r="AX77" s="19" t="s">
        <v>261</v>
      </c>
      <c r="AY77" s="19"/>
      <c r="AZ77" s="19"/>
      <c r="BA77" s="19"/>
      <c r="BB77" s="19"/>
      <c r="BC77" s="19"/>
      <c r="BD77" s="19"/>
      <c r="BE77" s="19"/>
      <c r="BF77" s="24"/>
      <c r="BG77" s="19"/>
      <c r="BH77" s="25"/>
      <c r="BI77" s="25"/>
      <c r="BJ77" s="25"/>
      <c r="BK77" s="25"/>
      <c r="BL77" s="25"/>
      <c r="BM77" s="37"/>
      <c r="BN77" s="21"/>
      <c r="BO77" s="27">
        <v>0</v>
      </c>
      <c r="BP77" s="27">
        <v>0</v>
      </c>
      <c r="BQ77" s="27">
        <v>0</v>
      </c>
      <c r="BR77" s="27">
        <v>0</v>
      </c>
      <c r="BS77" s="28">
        <v>0</v>
      </c>
      <c r="BT77" s="28">
        <v>0</v>
      </c>
      <c r="BU77" s="28">
        <v>0</v>
      </c>
      <c r="BV77" s="28">
        <v>0</v>
      </c>
    </row>
    <row r="78" spans="1:74" ht="17.399999999999999" x14ac:dyDescent="0.25">
      <c r="A78" s="69">
        <v>100</v>
      </c>
      <c r="B78" s="73" t="s">
        <v>941</v>
      </c>
      <c r="C78" s="73" t="s">
        <v>243</v>
      </c>
      <c r="D78" s="86" t="s">
        <v>725</v>
      </c>
      <c r="E78" s="71" t="s">
        <v>712</v>
      </c>
      <c r="F78" s="86" t="s">
        <v>726</v>
      </c>
      <c r="G78" s="86" t="s">
        <v>929</v>
      </c>
      <c r="H78" s="71" t="s">
        <v>930</v>
      </c>
      <c r="I78" s="86"/>
      <c r="J78" s="86"/>
      <c r="K78" s="86" t="s">
        <v>939</v>
      </c>
      <c r="L78" s="89">
        <v>2000000</v>
      </c>
      <c r="M78" s="73" t="s">
        <v>251</v>
      </c>
      <c r="N78" s="73"/>
      <c r="O78" s="86"/>
      <c r="P78" s="71"/>
      <c r="Q78" s="100"/>
      <c r="R78" s="75">
        <v>0</v>
      </c>
      <c r="S78" s="88"/>
      <c r="T78" s="76">
        <v>0</v>
      </c>
      <c r="U78" s="80"/>
      <c r="V78" s="80"/>
      <c r="W78" s="80"/>
      <c r="X78" s="80"/>
      <c r="Y78" s="80"/>
      <c r="Z78" s="80"/>
      <c r="AA78" s="80"/>
      <c r="AB78" s="80"/>
      <c r="AC78" s="77"/>
      <c r="AD78" s="75"/>
      <c r="AE78" s="75"/>
      <c r="AF78" s="75"/>
      <c r="AG78" s="75">
        <v>0</v>
      </c>
      <c r="AH78" s="75"/>
      <c r="AI78" s="75">
        <v>0</v>
      </c>
      <c r="AJ78" s="3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0"/>
      <c r="AW78" s="10" t="s">
        <v>689</v>
      </c>
      <c r="AX78" s="10" t="s">
        <v>261</v>
      </c>
      <c r="AY78" s="10"/>
      <c r="AZ78" s="10"/>
      <c r="BA78" s="10"/>
      <c r="BB78" s="10"/>
      <c r="BC78" s="10"/>
      <c r="BD78" s="10"/>
      <c r="BE78" s="10"/>
      <c r="BF78" s="13"/>
      <c r="BG78" s="10"/>
      <c r="BH78" s="14"/>
      <c r="BI78" s="14"/>
      <c r="BJ78" s="14"/>
      <c r="BK78" s="14"/>
      <c r="BL78" s="14"/>
      <c r="BM78" s="35"/>
      <c r="BN78" s="11"/>
      <c r="BO78" s="16">
        <v>0</v>
      </c>
      <c r="BP78" s="16">
        <v>0</v>
      </c>
      <c r="BQ78" s="16">
        <v>0</v>
      </c>
      <c r="BR78" s="16">
        <v>0</v>
      </c>
      <c r="BS78" s="17">
        <v>0</v>
      </c>
      <c r="BT78" s="17">
        <v>0</v>
      </c>
      <c r="BU78" s="17">
        <v>0</v>
      </c>
      <c r="BV78" s="17">
        <v>0</v>
      </c>
    </row>
    <row r="79" spans="1:74" ht="17.399999999999999" x14ac:dyDescent="0.25">
      <c r="A79" s="69">
        <v>101</v>
      </c>
      <c r="B79" s="73" t="s">
        <v>942</v>
      </c>
      <c r="C79" s="73" t="s">
        <v>243</v>
      </c>
      <c r="D79" s="86" t="s">
        <v>725</v>
      </c>
      <c r="E79" s="71" t="s">
        <v>712</v>
      </c>
      <c r="F79" s="86" t="s">
        <v>726</v>
      </c>
      <c r="G79" s="86" t="s">
        <v>929</v>
      </c>
      <c r="H79" s="71" t="s">
        <v>930</v>
      </c>
      <c r="I79" s="86"/>
      <c r="J79" s="86"/>
      <c r="K79" s="86" t="s">
        <v>931</v>
      </c>
      <c r="L79" s="89"/>
      <c r="M79" s="73" t="s">
        <v>251</v>
      </c>
      <c r="N79" s="73"/>
      <c r="O79" s="86"/>
      <c r="P79" s="71"/>
      <c r="Q79" s="100"/>
      <c r="R79" s="75">
        <v>0</v>
      </c>
      <c r="S79" s="88"/>
      <c r="T79" s="76">
        <v>0</v>
      </c>
      <c r="U79" s="80"/>
      <c r="V79" s="80"/>
      <c r="W79" s="80"/>
      <c r="X79" s="80"/>
      <c r="Y79" s="80"/>
      <c r="Z79" s="80"/>
      <c r="AA79" s="80"/>
      <c r="AB79" s="80"/>
      <c r="AC79" s="77"/>
      <c r="AD79" s="75"/>
      <c r="AE79" s="75"/>
      <c r="AF79" s="75"/>
      <c r="AG79" s="75">
        <v>0</v>
      </c>
      <c r="AH79" s="75"/>
      <c r="AI79" s="75">
        <v>0</v>
      </c>
      <c r="AJ79" s="33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19"/>
      <c r="AW79" s="19" t="s">
        <v>689</v>
      </c>
      <c r="AX79" s="19" t="s">
        <v>261</v>
      </c>
      <c r="AY79" s="19"/>
      <c r="AZ79" s="19"/>
      <c r="BA79" s="19"/>
      <c r="BB79" s="19"/>
      <c r="BC79" s="19"/>
      <c r="BD79" s="19"/>
      <c r="BE79" s="19"/>
      <c r="BF79" s="24"/>
      <c r="BG79" s="19"/>
      <c r="BH79" s="25"/>
      <c r="BI79" s="25"/>
      <c r="BJ79" s="25"/>
      <c r="BK79" s="25"/>
      <c r="BL79" s="25"/>
      <c r="BM79" s="37"/>
      <c r="BN79" s="21"/>
      <c r="BO79" s="27">
        <v>0</v>
      </c>
      <c r="BP79" s="27">
        <v>0</v>
      </c>
      <c r="BQ79" s="27">
        <v>0</v>
      </c>
      <c r="BR79" s="27">
        <v>0</v>
      </c>
      <c r="BS79" s="28">
        <v>0</v>
      </c>
      <c r="BT79" s="28">
        <v>0</v>
      </c>
      <c r="BU79" s="28">
        <v>0</v>
      </c>
      <c r="BV79" s="28">
        <v>0</v>
      </c>
    </row>
    <row r="80" spans="1:74" ht="17.399999999999999" x14ac:dyDescent="0.25">
      <c r="A80" s="69">
        <v>102</v>
      </c>
      <c r="B80" s="71" t="s">
        <v>943</v>
      </c>
      <c r="C80" s="73" t="s">
        <v>243</v>
      </c>
      <c r="D80" s="86" t="s">
        <v>725</v>
      </c>
      <c r="E80" s="71" t="s">
        <v>712</v>
      </c>
      <c r="F80" s="86" t="s">
        <v>919</v>
      </c>
      <c r="G80" s="86" t="s">
        <v>277</v>
      </c>
      <c r="H80" s="86" t="s">
        <v>727</v>
      </c>
      <c r="I80" s="86"/>
      <c r="J80" s="86"/>
      <c r="K80" s="86" t="s">
        <v>944</v>
      </c>
      <c r="L80" s="89">
        <v>600000</v>
      </c>
      <c r="M80" s="72" t="s">
        <v>361</v>
      </c>
      <c r="N80" s="73"/>
      <c r="O80" s="86" t="s">
        <v>945</v>
      </c>
      <c r="P80" s="90"/>
      <c r="Q80" s="103">
        <v>0.18</v>
      </c>
      <c r="R80" s="75">
        <v>0</v>
      </c>
      <c r="S80" s="88"/>
      <c r="T80" s="76">
        <v>0</v>
      </c>
      <c r="U80" s="80"/>
      <c r="V80" s="80"/>
      <c r="W80" s="80"/>
      <c r="X80" s="80"/>
      <c r="Y80" s="80"/>
      <c r="Z80" s="80"/>
      <c r="AA80" s="80"/>
      <c r="AB80" s="80"/>
      <c r="AC80" s="77"/>
      <c r="AD80" s="75"/>
      <c r="AE80" s="75"/>
      <c r="AF80" s="75"/>
      <c r="AG80" s="75">
        <v>0</v>
      </c>
      <c r="AH80" s="75"/>
      <c r="AI80" s="75">
        <v>0</v>
      </c>
      <c r="AJ80" s="3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0" t="s">
        <v>719</v>
      </c>
      <c r="AW80" s="10" t="s">
        <v>689</v>
      </c>
      <c r="AX80" s="10" t="s">
        <v>261</v>
      </c>
      <c r="AY80" s="10" t="s">
        <v>756</v>
      </c>
      <c r="AZ80" s="10" t="s">
        <v>946</v>
      </c>
      <c r="BA80" s="10" t="s">
        <v>947</v>
      </c>
      <c r="BB80" s="10" t="s">
        <v>948</v>
      </c>
      <c r="BC80" s="10"/>
      <c r="BD80" s="10"/>
      <c r="BE80" s="10"/>
      <c r="BF80" s="13"/>
      <c r="BG80" s="10"/>
      <c r="BH80" s="10"/>
      <c r="BI80" s="10"/>
      <c r="BJ80" s="10"/>
      <c r="BK80" s="10"/>
      <c r="BL80" s="10"/>
      <c r="BM80" s="12"/>
      <c r="BN80" s="12"/>
      <c r="BO80" s="16">
        <v>0</v>
      </c>
      <c r="BP80" s="16">
        <v>0</v>
      </c>
      <c r="BQ80" s="16">
        <v>0</v>
      </c>
      <c r="BR80" s="16">
        <v>0</v>
      </c>
      <c r="BS80" s="17">
        <v>0</v>
      </c>
      <c r="BT80" s="17">
        <v>0</v>
      </c>
      <c r="BU80" s="17">
        <v>0</v>
      </c>
      <c r="BV80" s="17">
        <v>0</v>
      </c>
    </row>
    <row r="81" spans="1:74" ht="17.399999999999999" x14ac:dyDescent="0.25">
      <c r="A81" s="69">
        <v>103</v>
      </c>
      <c r="B81" s="70" t="s">
        <v>949</v>
      </c>
      <c r="C81" s="73" t="s">
        <v>243</v>
      </c>
      <c r="D81" s="70" t="s">
        <v>725</v>
      </c>
      <c r="E81" s="71" t="s">
        <v>712</v>
      </c>
      <c r="F81" s="70" t="s">
        <v>726</v>
      </c>
      <c r="G81" s="70" t="s">
        <v>547</v>
      </c>
      <c r="H81" s="71" t="s">
        <v>246</v>
      </c>
      <c r="I81" s="70"/>
      <c r="J81" s="70"/>
      <c r="K81" s="70" t="s">
        <v>950</v>
      </c>
      <c r="L81" s="89">
        <v>100000</v>
      </c>
      <c r="M81" s="72" t="s">
        <v>361</v>
      </c>
      <c r="N81" s="73"/>
      <c r="O81" s="70" t="s">
        <v>951</v>
      </c>
      <c r="P81" s="83"/>
      <c r="Q81" s="103">
        <v>2.1</v>
      </c>
      <c r="R81" s="75">
        <v>0</v>
      </c>
      <c r="S81" s="88"/>
      <c r="T81" s="76">
        <v>0</v>
      </c>
      <c r="U81" s="80"/>
      <c r="V81" s="80"/>
      <c r="W81" s="80"/>
      <c r="X81" s="80"/>
      <c r="Y81" s="80"/>
      <c r="Z81" s="80"/>
      <c r="AA81" s="80"/>
      <c r="AB81" s="80"/>
      <c r="AC81" s="77"/>
      <c r="AD81" s="75"/>
      <c r="AE81" s="75"/>
      <c r="AF81" s="75"/>
      <c r="AG81" s="75">
        <v>0</v>
      </c>
      <c r="AH81" s="75"/>
      <c r="AI81" s="75">
        <v>0</v>
      </c>
      <c r="AJ81" s="33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19" t="s">
        <v>719</v>
      </c>
      <c r="AW81" s="19" t="s">
        <v>689</v>
      </c>
      <c r="AX81" s="19" t="s">
        <v>247</v>
      </c>
      <c r="AY81" s="19" t="s">
        <v>767</v>
      </c>
      <c r="AZ81" s="19"/>
      <c r="BA81" s="19"/>
      <c r="BB81" s="19"/>
      <c r="BC81" s="19"/>
      <c r="BD81" s="19"/>
      <c r="BE81" s="19"/>
      <c r="BF81" s="24"/>
      <c r="BG81" s="19"/>
      <c r="BH81" s="25"/>
      <c r="BI81" s="25"/>
      <c r="BJ81" s="25"/>
      <c r="BK81" s="25"/>
      <c r="BL81" s="25"/>
      <c r="BM81" s="37"/>
      <c r="BN81" s="21"/>
      <c r="BO81" s="27">
        <v>0</v>
      </c>
      <c r="BP81" s="27">
        <v>0</v>
      </c>
      <c r="BQ81" s="27">
        <v>0</v>
      </c>
      <c r="BR81" s="27">
        <v>0</v>
      </c>
      <c r="BS81" s="28">
        <v>0</v>
      </c>
      <c r="BT81" s="28">
        <v>0</v>
      </c>
      <c r="BU81" s="28">
        <v>0</v>
      </c>
      <c r="BV81" s="28">
        <v>0</v>
      </c>
    </row>
    <row r="82" spans="1:74" ht="17.399999999999999" x14ac:dyDescent="0.25">
      <c r="A82" s="69">
        <v>104</v>
      </c>
      <c r="B82" s="70" t="s">
        <v>952</v>
      </c>
      <c r="C82" s="73" t="s">
        <v>243</v>
      </c>
      <c r="D82" s="86" t="s">
        <v>725</v>
      </c>
      <c r="E82" s="71" t="s">
        <v>712</v>
      </c>
      <c r="F82" s="86" t="s">
        <v>726</v>
      </c>
      <c r="G82" s="73" t="s">
        <v>920</v>
      </c>
      <c r="H82" s="86" t="s">
        <v>921</v>
      </c>
      <c r="I82" s="86"/>
      <c r="J82" s="86"/>
      <c r="K82" s="86" t="s">
        <v>827</v>
      </c>
      <c r="L82" s="80"/>
      <c r="M82" s="73" t="s">
        <v>251</v>
      </c>
      <c r="N82" s="73"/>
      <c r="O82" s="86" t="s">
        <v>953</v>
      </c>
      <c r="P82" s="90"/>
      <c r="Q82" s="100">
        <v>0.22</v>
      </c>
      <c r="R82" s="75">
        <v>0</v>
      </c>
      <c r="S82" s="73"/>
      <c r="T82" s="76">
        <v>0</v>
      </c>
      <c r="U82" s="80"/>
      <c r="V82" s="80"/>
      <c r="W82" s="80"/>
      <c r="X82" s="80"/>
      <c r="Y82" s="80"/>
      <c r="Z82" s="80"/>
      <c r="AA82" s="80"/>
      <c r="AB82" s="80"/>
      <c r="AC82" s="77"/>
      <c r="AD82" s="75"/>
      <c r="AE82" s="75"/>
      <c r="AF82" s="75"/>
      <c r="AG82" s="75">
        <v>0</v>
      </c>
      <c r="AH82" s="75"/>
      <c r="AI82" s="75">
        <v>0</v>
      </c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0" t="s">
        <v>719</v>
      </c>
      <c r="AW82" s="10" t="s">
        <v>689</v>
      </c>
      <c r="AX82" s="10" t="s">
        <v>261</v>
      </c>
      <c r="AY82" s="10" t="s">
        <v>720</v>
      </c>
      <c r="AZ82" s="10" t="s">
        <v>739</v>
      </c>
      <c r="BA82" s="10" t="s">
        <v>740</v>
      </c>
      <c r="BB82" s="10"/>
      <c r="BC82" s="12"/>
      <c r="BD82" s="12"/>
      <c r="BE82" s="12"/>
      <c r="BF82" s="12"/>
      <c r="BG82" s="49"/>
      <c r="BH82" s="49"/>
      <c r="BI82" s="49"/>
      <c r="BJ82" s="49"/>
      <c r="BK82" s="49"/>
      <c r="BL82" s="49"/>
      <c r="BM82" s="12"/>
      <c r="BN82" s="12"/>
      <c r="BO82" s="16">
        <v>0</v>
      </c>
      <c r="BP82" s="16">
        <v>0</v>
      </c>
      <c r="BQ82" s="16">
        <v>0</v>
      </c>
      <c r="BR82" s="16">
        <v>0</v>
      </c>
      <c r="BS82" s="17">
        <v>0</v>
      </c>
      <c r="BT82" s="17">
        <v>0</v>
      </c>
      <c r="BU82" s="17">
        <v>0</v>
      </c>
      <c r="BV82" s="17">
        <v>0</v>
      </c>
    </row>
    <row r="83" spans="1:74" ht="17.399999999999999" x14ac:dyDescent="0.25">
      <c r="A83" s="69">
        <v>105</v>
      </c>
      <c r="B83" s="71" t="s">
        <v>954</v>
      </c>
      <c r="C83" s="73" t="s">
        <v>243</v>
      </c>
      <c r="D83" s="86" t="s">
        <v>725</v>
      </c>
      <c r="E83" s="71" t="s">
        <v>712</v>
      </c>
      <c r="F83" s="86" t="s">
        <v>726</v>
      </c>
      <c r="G83" s="71" t="s">
        <v>955</v>
      </c>
      <c r="H83" s="71"/>
      <c r="I83" s="71"/>
      <c r="J83" s="71"/>
      <c r="K83" s="86" t="s">
        <v>956</v>
      </c>
      <c r="L83" s="80">
        <v>30000000</v>
      </c>
      <c r="M83" s="71" t="s">
        <v>382</v>
      </c>
      <c r="N83" s="73"/>
      <c r="O83" s="71" t="s">
        <v>957</v>
      </c>
      <c r="P83" s="74"/>
      <c r="Q83" s="100">
        <v>0.17</v>
      </c>
      <c r="R83" s="75">
        <v>0</v>
      </c>
      <c r="S83" s="73"/>
      <c r="T83" s="76">
        <v>0</v>
      </c>
      <c r="U83" s="80"/>
      <c r="V83" s="80"/>
      <c r="W83" s="80"/>
      <c r="X83" s="80"/>
      <c r="Y83" s="80"/>
      <c r="Z83" s="80"/>
      <c r="AA83" s="80"/>
      <c r="AB83" s="80"/>
      <c r="AC83" s="77"/>
      <c r="AD83" s="75"/>
      <c r="AE83" s="75"/>
      <c r="AF83" s="75"/>
      <c r="AG83" s="75">
        <v>0</v>
      </c>
      <c r="AH83" s="75"/>
      <c r="AI83" s="75">
        <v>0</v>
      </c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19" t="s">
        <v>719</v>
      </c>
      <c r="AW83" s="19" t="s">
        <v>689</v>
      </c>
      <c r="AX83" s="19" t="s">
        <v>299</v>
      </c>
      <c r="AY83" s="19" t="s">
        <v>720</v>
      </c>
      <c r="AZ83" s="19"/>
      <c r="BA83" s="19"/>
      <c r="BB83" s="19"/>
      <c r="BC83" s="22"/>
      <c r="BD83" s="22"/>
      <c r="BE83" s="22"/>
      <c r="BF83" s="22"/>
      <c r="BG83" s="48"/>
      <c r="BH83" s="48"/>
      <c r="BI83" s="48"/>
      <c r="BJ83" s="48"/>
      <c r="BK83" s="48"/>
      <c r="BL83" s="48"/>
      <c r="BM83" s="22"/>
      <c r="BN83" s="22"/>
      <c r="BO83" s="27">
        <v>0</v>
      </c>
      <c r="BP83" s="27">
        <v>0</v>
      </c>
      <c r="BQ83" s="27">
        <v>0</v>
      </c>
      <c r="BR83" s="27">
        <v>0</v>
      </c>
      <c r="BS83" s="28">
        <v>0</v>
      </c>
      <c r="BT83" s="28">
        <v>0</v>
      </c>
      <c r="BU83" s="28">
        <v>0</v>
      </c>
      <c r="BV83" s="28">
        <v>0</v>
      </c>
    </row>
    <row r="84" spans="1:74" ht="17.399999999999999" x14ac:dyDescent="0.25">
      <c r="A84" s="69">
        <v>106</v>
      </c>
      <c r="B84" s="70" t="s">
        <v>958</v>
      </c>
      <c r="C84" s="73" t="s">
        <v>243</v>
      </c>
      <c r="D84" s="86" t="s">
        <v>725</v>
      </c>
      <c r="E84" s="71" t="s">
        <v>712</v>
      </c>
      <c r="F84" s="71" t="s">
        <v>726</v>
      </c>
      <c r="G84" s="71" t="s">
        <v>929</v>
      </c>
      <c r="H84" s="71" t="s">
        <v>930</v>
      </c>
      <c r="I84" s="71"/>
      <c r="J84" s="71"/>
      <c r="K84" s="71" t="s">
        <v>959</v>
      </c>
      <c r="L84" s="80"/>
      <c r="M84" s="71" t="s">
        <v>382</v>
      </c>
      <c r="N84" s="73"/>
      <c r="O84" s="71" t="s">
        <v>801</v>
      </c>
      <c r="P84" s="74"/>
      <c r="Q84" s="100"/>
      <c r="R84" s="75">
        <v>0</v>
      </c>
      <c r="S84" s="73"/>
      <c r="T84" s="76">
        <v>0</v>
      </c>
      <c r="U84" s="80"/>
      <c r="V84" s="80"/>
      <c r="W84" s="80"/>
      <c r="X84" s="80"/>
      <c r="Y84" s="80"/>
      <c r="Z84" s="80"/>
      <c r="AA84" s="80"/>
      <c r="AB84" s="80"/>
      <c r="AC84" s="77"/>
      <c r="AD84" s="75"/>
      <c r="AE84" s="75"/>
      <c r="AF84" s="75"/>
      <c r="AG84" s="75">
        <v>0</v>
      </c>
      <c r="AH84" s="75"/>
      <c r="AI84" s="75">
        <v>0</v>
      </c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0" t="s">
        <v>719</v>
      </c>
      <c r="AW84" s="10" t="s">
        <v>689</v>
      </c>
      <c r="AX84" s="10" t="s">
        <v>261</v>
      </c>
      <c r="AY84" s="10" t="s">
        <v>720</v>
      </c>
      <c r="AZ84" s="10"/>
      <c r="BA84" s="10"/>
      <c r="BB84" s="10"/>
      <c r="BC84" s="12"/>
      <c r="BD84" s="12"/>
      <c r="BE84" s="12"/>
      <c r="BF84" s="12"/>
      <c r="BG84" s="49"/>
      <c r="BH84" s="49"/>
      <c r="BI84" s="49"/>
      <c r="BJ84" s="49"/>
      <c r="BK84" s="49"/>
      <c r="BL84" s="49"/>
      <c r="BM84" s="12"/>
      <c r="BN84" s="12"/>
      <c r="BO84" s="16">
        <v>0</v>
      </c>
      <c r="BP84" s="16">
        <v>0</v>
      </c>
      <c r="BQ84" s="16">
        <v>0</v>
      </c>
      <c r="BR84" s="16">
        <v>0</v>
      </c>
      <c r="BS84" s="17">
        <v>0</v>
      </c>
      <c r="BT84" s="17">
        <v>0</v>
      </c>
      <c r="BU84" s="17">
        <v>0</v>
      </c>
      <c r="BV84" s="17">
        <v>0</v>
      </c>
    </row>
    <row r="85" spans="1:74" ht="17.399999999999999" x14ac:dyDescent="0.25">
      <c r="A85" s="69">
        <v>107</v>
      </c>
      <c r="B85" s="73" t="s">
        <v>960</v>
      </c>
      <c r="C85" s="73" t="s">
        <v>290</v>
      </c>
      <c r="D85" s="71" t="s">
        <v>851</v>
      </c>
      <c r="E85" s="71" t="s">
        <v>712</v>
      </c>
      <c r="F85" s="71" t="s">
        <v>852</v>
      </c>
      <c r="G85" s="71" t="s">
        <v>961</v>
      </c>
      <c r="H85" s="71"/>
      <c r="I85" s="71"/>
      <c r="J85" s="71"/>
      <c r="K85" s="71" t="s">
        <v>962</v>
      </c>
      <c r="L85" s="80">
        <v>25000000</v>
      </c>
      <c r="M85" s="71" t="s">
        <v>963</v>
      </c>
      <c r="N85" s="71" t="s">
        <v>964</v>
      </c>
      <c r="O85" s="71"/>
      <c r="P85" s="71"/>
      <c r="Q85" s="100"/>
      <c r="R85" s="75">
        <v>0</v>
      </c>
      <c r="S85" s="71"/>
      <c r="T85" s="76">
        <v>80000</v>
      </c>
      <c r="U85" s="80"/>
      <c r="V85" s="72"/>
      <c r="W85" s="72"/>
      <c r="X85" s="72"/>
      <c r="Y85" s="72"/>
      <c r="Z85" s="72"/>
      <c r="AA85" s="72"/>
      <c r="AB85" s="72"/>
      <c r="AC85" s="77">
        <v>20000</v>
      </c>
      <c r="AD85" s="75">
        <v>20000</v>
      </c>
      <c r="AE85" s="75">
        <v>20000</v>
      </c>
      <c r="AF85" s="75">
        <v>20000</v>
      </c>
      <c r="AG85" s="75">
        <v>20000</v>
      </c>
      <c r="AH85" s="75">
        <v>20000</v>
      </c>
      <c r="AI85" s="75">
        <v>20000</v>
      </c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 t="s">
        <v>719</v>
      </c>
      <c r="AW85" s="19" t="s">
        <v>689</v>
      </c>
      <c r="AX85" s="19" t="s">
        <v>258</v>
      </c>
      <c r="AY85" s="19" t="s">
        <v>730</v>
      </c>
      <c r="AZ85" s="19" t="s">
        <v>731</v>
      </c>
      <c r="BA85" s="19"/>
      <c r="BB85" s="19"/>
      <c r="BC85" s="22"/>
      <c r="BD85" s="22"/>
      <c r="BE85" s="22"/>
      <c r="BF85" s="22"/>
      <c r="BG85" s="48"/>
      <c r="BH85" s="48"/>
      <c r="BI85" s="48"/>
      <c r="BJ85" s="48"/>
      <c r="BK85" s="48"/>
      <c r="BL85" s="48"/>
      <c r="BM85" s="22"/>
      <c r="BN85" s="22"/>
      <c r="BO85" s="27">
        <v>0</v>
      </c>
      <c r="BP85" s="27">
        <v>0</v>
      </c>
      <c r="BQ85" s="27">
        <v>0</v>
      </c>
      <c r="BR85" s="27">
        <v>0</v>
      </c>
      <c r="BS85" s="28">
        <v>0</v>
      </c>
      <c r="BT85" s="28">
        <v>0</v>
      </c>
      <c r="BU85" s="28">
        <v>0</v>
      </c>
      <c r="BV85" s="28">
        <v>0</v>
      </c>
    </row>
    <row r="86" spans="1:74" ht="17.399999999999999" x14ac:dyDescent="0.25">
      <c r="A86" s="69">
        <v>108</v>
      </c>
      <c r="B86" s="73" t="s">
        <v>965</v>
      </c>
      <c r="C86" s="73" t="s">
        <v>235</v>
      </c>
      <c r="D86" s="71" t="s">
        <v>851</v>
      </c>
      <c r="E86" s="71" t="s">
        <v>712</v>
      </c>
      <c r="F86" s="71" t="s">
        <v>852</v>
      </c>
      <c r="G86" s="71" t="s">
        <v>286</v>
      </c>
      <c r="H86" s="86" t="s">
        <v>287</v>
      </c>
      <c r="I86" s="71"/>
      <c r="J86" s="71"/>
      <c r="K86" s="71" t="s">
        <v>966</v>
      </c>
      <c r="L86" s="80">
        <v>1500000</v>
      </c>
      <c r="M86" s="71" t="s">
        <v>251</v>
      </c>
      <c r="N86" s="71" t="s">
        <v>967</v>
      </c>
      <c r="O86" s="73"/>
      <c r="P86" s="73"/>
      <c r="Q86" s="100">
        <v>0.13</v>
      </c>
      <c r="R86" s="75">
        <v>10400</v>
      </c>
      <c r="S86" s="73"/>
      <c r="T86" s="76">
        <v>80000</v>
      </c>
      <c r="U86" s="72"/>
      <c r="V86" s="72"/>
      <c r="W86" s="73"/>
      <c r="X86" s="72">
        <v>20000</v>
      </c>
      <c r="Y86" s="72">
        <v>20000</v>
      </c>
      <c r="Z86" s="72">
        <v>20000</v>
      </c>
      <c r="AA86" s="72">
        <v>20000</v>
      </c>
      <c r="AB86" s="72">
        <v>20000</v>
      </c>
      <c r="AC86" s="77">
        <v>20000</v>
      </c>
      <c r="AD86" s="75">
        <v>20000</v>
      </c>
      <c r="AE86" s="75">
        <v>20000</v>
      </c>
      <c r="AF86" s="75">
        <v>20000</v>
      </c>
      <c r="AG86" s="75">
        <v>20000</v>
      </c>
      <c r="AH86" s="75">
        <v>20000</v>
      </c>
      <c r="AI86" s="75">
        <v>20000</v>
      </c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0" t="s">
        <v>719</v>
      </c>
      <c r="AW86" s="10" t="s">
        <v>689</v>
      </c>
      <c r="AX86" s="10" t="s">
        <v>261</v>
      </c>
      <c r="AY86" s="10" t="s">
        <v>730</v>
      </c>
      <c r="AZ86" s="12"/>
      <c r="BA86" s="12"/>
      <c r="BB86" s="12"/>
      <c r="BC86" s="12"/>
      <c r="BD86" s="12"/>
      <c r="BE86" s="12"/>
      <c r="BF86" s="12"/>
      <c r="BG86" s="49"/>
      <c r="BH86" s="49"/>
      <c r="BI86" s="49"/>
      <c r="BJ86" s="49"/>
      <c r="BK86" s="49"/>
      <c r="BL86" s="49"/>
      <c r="BM86" s="12"/>
      <c r="BN86" s="12"/>
      <c r="BO86" s="16">
        <v>2600</v>
      </c>
      <c r="BP86" s="16">
        <v>2600</v>
      </c>
      <c r="BQ86" s="16">
        <v>2600</v>
      </c>
      <c r="BR86" s="16">
        <v>2600</v>
      </c>
      <c r="BS86" s="17">
        <v>2600</v>
      </c>
      <c r="BT86" s="17">
        <v>2600</v>
      </c>
      <c r="BU86" s="17">
        <v>2600</v>
      </c>
      <c r="BV86" s="17">
        <v>2600</v>
      </c>
    </row>
    <row r="87" spans="1:74" ht="17.399999999999999" x14ac:dyDescent="0.25">
      <c r="A87" s="69">
        <v>109</v>
      </c>
      <c r="B87" s="73" t="s">
        <v>968</v>
      </c>
      <c r="C87" s="73" t="s">
        <v>243</v>
      </c>
      <c r="D87" s="71" t="s">
        <v>851</v>
      </c>
      <c r="E87" s="71" t="s">
        <v>712</v>
      </c>
      <c r="F87" s="73"/>
      <c r="G87" s="71" t="s">
        <v>273</v>
      </c>
      <c r="H87" s="86" t="s">
        <v>626</v>
      </c>
      <c r="I87" s="71"/>
      <c r="J87" s="71"/>
      <c r="K87" s="71" t="s">
        <v>969</v>
      </c>
      <c r="L87" s="73"/>
      <c r="M87" s="71" t="s">
        <v>251</v>
      </c>
      <c r="N87" s="71" t="s">
        <v>970</v>
      </c>
      <c r="O87" s="73"/>
      <c r="P87" s="73"/>
      <c r="Q87" s="100">
        <v>0.17</v>
      </c>
      <c r="R87" s="75">
        <v>0</v>
      </c>
      <c r="S87" s="73"/>
      <c r="T87" s="76">
        <v>0</v>
      </c>
      <c r="U87" s="72"/>
      <c r="V87" s="72"/>
      <c r="W87" s="72"/>
      <c r="X87" s="72"/>
      <c r="Y87" s="72"/>
      <c r="Z87" s="72"/>
      <c r="AA87" s="72"/>
      <c r="AB87" s="72"/>
      <c r="AC87" s="77"/>
      <c r="AD87" s="75"/>
      <c r="AE87" s="75"/>
      <c r="AF87" s="75"/>
      <c r="AG87" s="75">
        <v>0</v>
      </c>
      <c r="AH87" s="75"/>
      <c r="AI87" s="75">
        <v>0</v>
      </c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19" t="s">
        <v>719</v>
      </c>
      <c r="AW87" s="19" t="s">
        <v>689</v>
      </c>
      <c r="AX87" s="19" t="s">
        <v>261</v>
      </c>
      <c r="AY87" s="19" t="s">
        <v>720</v>
      </c>
      <c r="AZ87" s="22"/>
      <c r="BA87" s="22"/>
      <c r="BB87" s="22"/>
      <c r="BC87" s="22"/>
      <c r="BD87" s="22"/>
      <c r="BE87" s="22"/>
      <c r="BF87" s="22"/>
      <c r="BG87" s="48"/>
      <c r="BH87" s="48"/>
      <c r="BI87" s="48"/>
      <c r="BJ87" s="48"/>
      <c r="BK87" s="48"/>
      <c r="BL87" s="48"/>
      <c r="BM87" s="22"/>
      <c r="BN87" s="22"/>
      <c r="BO87" s="27">
        <v>0</v>
      </c>
      <c r="BP87" s="27">
        <v>0</v>
      </c>
      <c r="BQ87" s="27">
        <v>0</v>
      </c>
      <c r="BR87" s="27">
        <v>0</v>
      </c>
      <c r="BS87" s="28">
        <v>0</v>
      </c>
      <c r="BT87" s="28">
        <v>0</v>
      </c>
      <c r="BU87" s="28">
        <v>0</v>
      </c>
      <c r="BV87" s="28">
        <v>0</v>
      </c>
    </row>
    <row r="88" spans="1:74" ht="17.399999999999999" x14ac:dyDescent="0.25">
      <c r="A88" s="69">
        <v>110</v>
      </c>
      <c r="B88" s="71" t="s">
        <v>971</v>
      </c>
      <c r="C88" s="71" t="s">
        <v>235</v>
      </c>
      <c r="D88" s="71" t="s">
        <v>764</v>
      </c>
      <c r="E88" s="71" t="s">
        <v>712</v>
      </c>
      <c r="F88" s="73"/>
      <c r="G88" s="71" t="s">
        <v>305</v>
      </c>
      <c r="H88" s="71" t="s">
        <v>306</v>
      </c>
      <c r="I88" s="71"/>
      <c r="J88" s="71"/>
      <c r="K88" s="73" t="s">
        <v>604</v>
      </c>
      <c r="L88" s="80">
        <v>400000</v>
      </c>
      <c r="M88" s="72" t="s">
        <v>361</v>
      </c>
      <c r="N88" s="73"/>
      <c r="O88" s="73"/>
      <c r="P88" s="73"/>
      <c r="Q88" s="100">
        <v>0.4</v>
      </c>
      <c r="R88" s="75">
        <v>48000</v>
      </c>
      <c r="S88" s="73"/>
      <c r="T88" s="76">
        <v>120000</v>
      </c>
      <c r="U88" s="73"/>
      <c r="V88" s="73"/>
      <c r="W88" s="73"/>
      <c r="X88" s="80">
        <v>30000</v>
      </c>
      <c r="Y88" s="80">
        <v>30000</v>
      </c>
      <c r="Z88" s="80">
        <v>30000</v>
      </c>
      <c r="AA88" s="80">
        <v>30000</v>
      </c>
      <c r="AB88" s="80">
        <v>30000</v>
      </c>
      <c r="AC88" s="77">
        <v>30000</v>
      </c>
      <c r="AD88" s="75">
        <v>30000</v>
      </c>
      <c r="AE88" s="75">
        <v>30000</v>
      </c>
      <c r="AF88" s="75">
        <v>30000</v>
      </c>
      <c r="AG88" s="75">
        <v>30000</v>
      </c>
      <c r="AH88" s="75">
        <v>30000</v>
      </c>
      <c r="AI88" s="75">
        <v>30000</v>
      </c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0" t="s">
        <v>719</v>
      </c>
      <c r="AW88" s="10" t="s">
        <v>689</v>
      </c>
      <c r="AX88" s="10" t="s">
        <v>261</v>
      </c>
      <c r="AY88" s="10" t="s">
        <v>767</v>
      </c>
      <c r="AZ88" s="10" t="s">
        <v>768</v>
      </c>
      <c r="BA88" s="10" t="s">
        <v>769</v>
      </c>
      <c r="BB88" s="10" t="s">
        <v>770</v>
      </c>
      <c r="BC88" s="12"/>
      <c r="BD88" s="12"/>
      <c r="BE88" s="12"/>
      <c r="BF88" s="12"/>
      <c r="BG88" s="49"/>
      <c r="BH88" s="49"/>
      <c r="BI88" s="49"/>
      <c r="BJ88" s="49"/>
      <c r="BK88" s="49"/>
      <c r="BL88" s="49"/>
      <c r="BM88" s="12"/>
      <c r="BN88" s="12"/>
      <c r="BO88" s="16">
        <v>12000</v>
      </c>
      <c r="BP88" s="16">
        <v>12000</v>
      </c>
      <c r="BQ88" s="16">
        <v>12000</v>
      </c>
      <c r="BR88" s="16">
        <v>12000</v>
      </c>
      <c r="BS88" s="17">
        <v>12000</v>
      </c>
      <c r="BT88" s="17">
        <v>12000</v>
      </c>
      <c r="BU88" s="17">
        <v>12000</v>
      </c>
      <c r="BV88" s="17">
        <v>12000</v>
      </c>
    </row>
    <row r="89" spans="1:74" ht="17.399999999999999" x14ac:dyDescent="0.25">
      <c r="A89" s="69">
        <v>111</v>
      </c>
      <c r="B89" s="73" t="s">
        <v>845</v>
      </c>
      <c r="C89" s="71" t="s">
        <v>235</v>
      </c>
      <c r="D89" s="71" t="s">
        <v>764</v>
      </c>
      <c r="E89" s="71" t="s">
        <v>712</v>
      </c>
      <c r="F89" s="73"/>
      <c r="G89" s="71" t="s">
        <v>303</v>
      </c>
      <c r="H89" s="71" t="s">
        <v>304</v>
      </c>
      <c r="I89" s="71"/>
      <c r="J89" s="71"/>
      <c r="K89" s="73" t="s">
        <v>846</v>
      </c>
      <c r="L89" s="80">
        <v>100000</v>
      </c>
      <c r="M89" s="72" t="s">
        <v>361</v>
      </c>
      <c r="N89" s="73"/>
      <c r="O89" s="73"/>
      <c r="P89" s="73"/>
      <c r="Q89" s="100">
        <v>0.5</v>
      </c>
      <c r="R89" s="75">
        <v>20000</v>
      </c>
      <c r="S89" s="73"/>
      <c r="T89" s="76">
        <v>40000</v>
      </c>
      <c r="U89" s="73"/>
      <c r="V89" s="73"/>
      <c r="W89" s="73"/>
      <c r="X89" s="80"/>
      <c r="Y89" s="80"/>
      <c r="Z89" s="80">
        <v>10000</v>
      </c>
      <c r="AA89" s="80">
        <v>10000</v>
      </c>
      <c r="AB89" s="80">
        <v>10000</v>
      </c>
      <c r="AC89" s="77">
        <v>10000</v>
      </c>
      <c r="AD89" s="75">
        <v>10000</v>
      </c>
      <c r="AE89" s="75">
        <v>10000</v>
      </c>
      <c r="AF89" s="75">
        <v>10000</v>
      </c>
      <c r="AG89" s="75">
        <v>10000</v>
      </c>
      <c r="AH89" s="75">
        <v>10000</v>
      </c>
      <c r="AI89" s="75">
        <v>10000</v>
      </c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19" t="s">
        <v>719</v>
      </c>
      <c r="AW89" s="19" t="s">
        <v>689</v>
      </c>
      <c r="AX89" s="19" t="s">
        <v>261</v>
      </c>
      <c r="AY89" s="19" t="s">
        <v>767</v>
      </c>
      <c r="AZ89" s="22"/>
      <c r="BA89" s="22"/>
      <c r="BB89" s="22"/>
      <c r="BC89" s="22"/>
      <c r="BD89" s="22"/>
      <c r="BE89" s="22"/>
      <c r="BF89" s="22"/>
      <c r="BG89" s="48"/>
      <c r="BH89" s="48"/>
      <c r="BI89" s="48"/>
      <c r="BJ89" s="48"/>
      <c r="BK89" s="48"/>
      <c r="BL89" s="48"/>
      <c r="BM89" s="22"/>
      <c r="BN89" s="22"/>
      <c r="BO89" s="27">
        <v>0</v>
      </c>
      <c r="BP89" s="27">
        <v>5000</v>
      </c>
      <c r="BQ89" s="27">
        <v>5000</v>
      </c>
      <c r="BR89" s="27">
        <v>5000</v>
      </c>
      <c r="BS89" s="28">
        <v>5000</v>
      </c>
      <c r="BT89" s="28">
        <v>5000</v>
      </c>
      <c r="BU89" s="28">
        <v>5000</v>
      </c>
      <c r="BV89" s="28">
        <v>5000</v>
      </c>
    </row>
    <row r="90" spans="1:74" ht="17.399999999999999" x14ac:dyDescent="0.25">
      <c r="A90" s="69">
        <v>112</v>
      </c>
      <c r="B90" s="73" t="s">
        <v>972</v>
      </c>
      <c r="C90" s="73" t="s">
        <v>235</v>
      </c>
      <c r="D90" s="73" t="s">
        <v>973</v>
      </c>
      <c r="E90" s="71" t="s">
        <v>712</v>
      </c>
      <c r="F90" s="73"/>
      <c r="G90" s="73" t="s">
        <v>273</v>
      </c>
      <c r="H90" s="86" t="s">
        <v>626</v>
      </c>
      <c r="I90" s="73"/>
      <c r="J90" s="73"/>
      <c r="K90" s="73" t="s">
        <v>743</v>
      </c>
      <c r="L90" s="73"/>
      <c r="M90" s="72" t="s">
        <v>361</v>
      </c>
      <c r="N90" s="73"/>
      <c r="O90" s="73"/>
      <c r="P90" s="73"/>
      <c r="Q90" s="100">
        <v>0.13</v>
      </c>
      <c r="R90" s="75">
        <v>416000</v>
      </c>
      <c r="S90" s="73"/>
      <c r="T90" s="76">
        <v>3200000</v>
      </c>
      <c r="U90" s="73"/>
      <c r="V90" s="73"/>
      <c r="W90" s="73"/>
      <c r="X90" s="80">
        <v>800000</v>
      </c>
      <c r="Y90" s="80">
        <v>800000</v>
      </c>
      <c r="Z90" s="80">
        <v>800000</v>
      </c>
      <c r="AA90" s="80">
        <v>800000</v>
      </c>
      <c r="AB90" s="80">
        <v>800000</v>
      </c>
      <c r="AC90" s="77">
        <v>800000</v>
      </c>
      <c r="AD90" s="75">
        <v>800000</v>
      </c>
      <c r="AE90" s="75">
        <v>800000</v>
      </c>
      <c r="AF90" s="75">
        <v>800000</v>
      </c>
      <c r="AG90" s="75">
        <v>800000</v>
      </c>
      <c r="AH90" s="75">
        <v>800000</v>
      </c>
      <c r="AI90" s="75">
        <v>800000</v>
      </c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0" t="s">
        <v>719</v>
      </c>
      <c r="AW90" s="10" t="s">
        <v>689</v>
      </c>
      <c r="AX90" s="10" t="s">
        <v>261</v>
      </c>
      <c r="AY90" s="10" t="s">
        <v>720</v>
      </c>
      <c r="AZ90" s="12"/>
      <c r="BA90" s="12"/>
      <c r="BB90" s="12"/>
      <c r="BC90" s="12"/>
      <c r="BD90" s="12"/>
      <c r="BE90" s="12"/>
      <c r="BF90" s="12"/>
      <c r="BG90" s="49"/>
      <c r="BH90" s="49"/>
      <c r="BI90" s="49"/>
      <c r="BJ90" s="49"/>
      <c r="BK90" s="49"/>
      <c r="BL90" s="49"/>
      <c r="BM90" s="12"/>
      <c r="BN90" s="12"/>
      <c r="BO90" s="16">
        <v>104000</v>
      </c>
      <c r="BP90" s="16">
        <v>104000</v>
      </c>
      <c r="BQ90" s="16">
        <v>104000</v>
      </c>
      <c r="BR90" s="16">
        <v>104000</v>
      </c>
      <c r="BS90" s="17">
        <v>104000</v>
      </c>
      <c r="BT90" s="17">
        <v>104000</v>
      </c>
      <c r="BU90" s="17">
        <v>104000</v>
      </c>
      <c r="BV90" s="17">
        <v>104000</v>
      </c>
    </row>
    <row r="91" spans="1:74" ht="17.399999999999999" x14ac:dyDescent="0.25">
      <c r="A91" s="69">
        <v>113</v>
      </c>
      <c r="B91" s="73" t="s">
        <v>974</v>
      </c>
      <c r="C91" s="73" t="s">
        <v>235</v>
      </c>
      <c r="D91" s="73" t="s">
        <v>973</v>
      </c>
      <c r="E91" s="71" t="s">
        <v>712</v>
      </c>
      <c r="F91" s="73"/>
      <c r="G91" s="73" t="s">
        <v>273</v>
      </c>
      <c r="H91" s="86" t="s">
        <v>626</v>
      </c>
      <c r="I91" s="73"/>
      <c r="J91" s="73"/>
      <c r="K91" s="73" t="s">
        <v>975</v>
      </c>
      <c r="L91" s="73"/>
      <c r="M91" s="72" t="s">
        <v>361</v>
      </c>
      <c r="N91" s="73"/>
      <c r="O91" s="73"/>
      <c r="P91" s="73"/>
      <c r="Q91" s="100">
        <v>0.13</v>
      </c>
      <c r="R91" s="75">
        <v>260000</v>
      </c>
      <c r="S91" s="73"/>
      <c r="T91" s="76">
        <v>2000000</v>
      </c>
      <c r="U91" s="73"/>
      <c r="V91" s="73"/>
      <c r="W91" s="73"/>
      <c r="X91" s="80">
        <v>500000</v>
      </c>
      <c r="Y91" s="80">
        <v>500000</v>
      </c>
      <c r="Z91" s="80">
        <v>500000</v>
      </c>
      <c r="AA91" s="80">
        <v>500000</v>
      </c>
      <c r="AB91" s="80">
        <v>500000</v>
      </c>
      <c r="AC91" s="77">
        <v>500000</v>
      </c>
      <c r="AD91" s="75">
        <v>500000</v>
      </c>
      <c r="AE91" s="75">
        <v>500000</v>
      </c>
      <c r="AF91" s="75">
        <v>500000</v>
      </c>
      <c r="AG91" s="75">
        <v>500000</v>
      </c>
      <c r="AH91" s="75">
        <v>500000</v>
      </c>
      <c r="AI91" s="75">
        <v>500000</v>
      </c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19" t="s">
        <v>719</v>
      </c>
      <c r="AW91" s="19" t="s">
        <v>689</v>
      </c>
      <c r="AX91" s="19" t="s">
        <v>261</v>
      </c>
      <c r="AY91" s="19" t="s">
        <v>720</v>
      </c>
      <c r="AZ91" s="22"/>
      <c r="BA91" s="22"/>
      <c r="BB91" s="22"/>
      <c r="BC91" s="22"/>
      <c r="BD91" s="22"/>
      <c r="BE91" s="22"/>
      <c r="BF91" s="22"/>
      <c r="BG91" s="48"/>
      <c r="BH91" s="48"/>
      <c r="BI91" s="48"/>
      <c r="BJ91" s="48"/>
      <c r="BK91" s="48"/>
      <c r="BL91" s="48"/>
      <c r="BM91" s="22"/>
      <c r="BN91" s="22"/>
      <c r="BO91" s="27">
        <v>65000</v>
      </c>
      <c r="BP91" s="27">
        <v>65000</v>
      </c>
      <c r="BQ91" s="27">
        <v>65000</v>
      </c>
      <c r="BR91" s="27">
        <v>65000</v>
      </c>
      <c r="BS91" s="28">
        <v>65000</v>
      </c>
      <c r="BT91" s="28">
        <v>65000</v>
      </c>
      <c r="BU91" s="28">
        <v>65000</v>
      </c>
      <c r="BV91" s="28">
        <v>65000</v>
      </c>
    </row>
    <row r="92" spans="1:74" ht="17.399999999999999" x14ac:dyDescent="0.25">
      <c r="A92" s="69">
        <v>114</v>
      </c>
      <c r="B92" s="73" t="s">
        <v>988</v>
      </c>
      <c r="C92" s="73" t="s">
        <v>235</v>
      </c>
      <c r="D92" s="73" t="s">
        <v>988</v>
      </c>
      <c r="E92" s="73" t="s">
        <v>989</v>
      </c>
      <c r="F92" s="73" t="s">
        <v>978</v>
      </c>
      <c r="G92" s="71" t="s">
        <v>990</v>
      </c>
      <c r="H92" s="71" t="s">
        <v>991</v>
      </c>
      <c r="I92" s="87">
        <v>4015</v>
      </c>
      <c r="J92" s="85"/>
      <c r="K92" s="71"/>
      <c r="L92" s="85"/>
      <c r="M92" s="85"/>
      <c r="N92" s="85"/>
      <c r="O92" s="85"/>
      <c r="P92" s="85"/>
      <c r="Q92" s="100">
        <v>0.26500000000000001</v>
      </c>
      <c r="R92" s="75">
        <v>3180000</v>
      </c>
      <c r="S92" s="76"/>
      <c r="T92" s="76">
        <v>12000000</v>
      </c>
      <c r="U92" s="85"/>
      <c r="V92" s="85"/>
      <c r="W92" s="85"/>
      <c r="X92" s="85"/>
      <c r="Y92" s="76"/>
      <c r="Z92" s="76">
        <v>2000000</v>
      </c>
      <c r="AA92" s="76">
        <v>2000000</v>
      </c>
      <c r="AB92" s="76">
        <v>3000000</v>
      </c>
      <c r="AC92" s="77">
        <v>3000000</v>
      </c>
      <c r="AD92" s="75">
        <v>3000000</v>
      </c>
      <c r="AE92" s="75">
        <v>3000000</v>
      </c>
      <c r="AF92" s="75">
        <v>3000000</v>
      </c>
      <c r="AG92" s="75">
        <v>3000000</v>
      </c>
      <c r="AH92" s="75"/>
      <c r="AI92" s="75">
        <v>0</v>
      </c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 t="s">
        <v>689</v>
      </c>
      <c r="AX92" s="19" t="s">
        <v>261</v>
      </c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>
        <v>530000</v>
      </c>
      <c r="BQ92" s="27">
        <v>530000</v>
      </c>
      <c r="BR92" s="27">
        <v>795000</v>
      </c>
      <c r="BS92" s="28">
        <v>795000</v>
      </c>
      <c r="BT92" s="28">
        <v>795000</v>
      </c>
      <c r="BU92" s="28">
        <v>795000</v>
      </c>
      <c r="BV92" s="28">
        <v>795000</v>
      </c>
    </row>
    <row r="93" spans="1:74" ht="17.399999999999999" x14ac:dyDescent="0.25">
      <c r="A93" s="69">
        <v>115</v>
      </c>
      <c r="B93" s="73" t="s">
        <v>1793</v>
      </c>
      <c r="C93" s="71" t="s">
        <v>243</v>
      </c>
      <c r="D93" s="71" t="s">
        <v>851</v>
      </c>
      <c r="E93" s="71" t="s">
        <v>712</v>
      </c>
      <c r="F93" s="71"/>
      <c r="G93" s="71" t="s">
        <v>275</v>
      </c>
      <c r="H93" s="71" t="s">
        <v>1794</v>
      </c>
      <c r="I93" s="71"/>
      <c r="J93" s="71"/>
      <c r="K93" s="73" t="s">
        <v>1795</v>
      </c>
      <c r="L93" s="80">
        <v>600000</v>
      </c>
      <c r="M93" s="72" t="s">
        <v>1796</v>
      </c>
      <c r="N93" s="73"/>
      <c r="O93" s="71"/>
      <c r="P93" s="71"/>
      <c r="Q93" s="100">
        <v>0.22</v>
      </c>
      <c r="R93" s="75">
        <v>88000</v>
      </c>
      <c r="S93" s="91"/>
      <c r="T93" s="76">
        <v>400000</v>
      </c>
      <c r="U93" s="80"/>
      <c r="V93" s="80"/>
      <c r="W93" s="80"/>
      <c r="X93" s="72"/>
      <c r="Y93" s="72"/>
      <c r="Z93" s="72"/>
      <c r="AA93" s="72">
        <v>18000</v>
      </c>
      <c r="AB93" s="72">
        <v>100000</v>
      </c>
      <c r="AC93" s="77">
        <v>100000</v>
      </c>
      <c r="AD93" s="75">
        <v>100000</v>
      </c>
      <c r="AE93" s="75">
        <v>100000</v>
      </c>
      <c r="AF93" s="75">
        <v>100000</v>
      </c>
      <c r="AG93" s="75">
        <v>100000</v>
      </c>
      <c r="AH93" s="75">
        <v>100000</v>
      </c>
      <c r="AI93" s="75">
        <v>100000</v>
      </c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19" t="s">
        <v>719</v>
      </c>
      <c r="AW93" s="19" t="s">
        <v>689</v>
      </c>
      <c r="AX93" s="19" t="s">
        <v>261</v>
      </c>
      <c r="AY93" s="19"/>
      <c r="AZ93" s="19"/>
      <c r="BA93" s="19"/>
      <c r="BB93" s="19"/>
      <c r="BC93" s="19"/>
      <c r="BD93" s="19"/>
      <c r="BE93" s="19"/>
      <c r="BF93" s="24"/>
      <c r="BG93" s="19"/>
      <c r="BH93" s="25"/>
      <c r="BI93" s="25"/>
      <c r="BJ93" s="25"/>
      <c r="BK93" s="25"/>
      <c r="BL93" s="25"/>
      <c r="BM93" s="37"/>
      <c r="BN93" s="21"/>
      <c r="BO93" s="27"/>
      <c r="BP93" s="27"/>
      <c r="BQ93" s="27"/>
      <c r="BR93" s="27">
        <v>22000</v>
      </c>
      <c r="BS93" s="28">
        <v>22000</v>
      </c>
      <c r="BT93" s="28">
        <v>22000</v>
      </c>
      <c r="BU93" s="28">
        <v>22000</v>
      </c>
      <c r="BV93" s="28">
        <v>22000</v>
      </c>
    </row>
    <row r="94" spans="1:74" ht="17.399999999999999" x14ac:dyDescent="0.25">
      <c r="A94" s="69">
        <v>116</v>
      </c>
      <c r="B94" s="73" t="s">
        <v>1817</v>
      </c>
      <c r="C94" s="71" t="s">
        <v>243</v>
      </c>
      <c r="D94" s="71" t="s">
        <v>725</v>
      </c>
      <c r="E94" s="71" t="s">
        <v>712</v>
      </c>
      <c r="F94" s="71" t="s">
        <v>726</v>
      </c>
      <c r="G94" s="71" t="s">
        <v>1818</v>
      </c>
      <c r="H94" s="71" t="s">
        <v>1819</v>
      </c>
      <c r="I94" s="71"/>
      <c r="J94" s="71"/>
      <c r="K94" s="73"/>
      <c r="L94" s="80"/>
      <c r="M94" s="72"/>
      <c r="N94" s="73"/>
      <c r="O94" s="71"/>
      <c r="P94" s="71"/>
      <c r="Q94" s="100">
        <v>0.32</v>
      </c>
      <c r="R94" s="75"/>
      <c r="S94" s="91"/>
      <c r="T94" s="76">
        <v>20000</v>
      </c>
      <c r="U94" s="80"/>
      <c r="V94" s="80"/>
      <c r="W94" s="80"/>
      <c r="X94" s="72"/>
      <c r="Y94" s="72"/>
      <c r="Z94" s="72"/>
      <c r="AA94" s="72"/>
      <c r="AB94" s="72">
        <v>5000</v>
      </c>
      <c r="AC94" s="77">
        <v>5000</v>
      </c>
      <c r="AD94" s="75">
        <v>5000</v>
      </c>
      <c r="AE94" s="75">
        <v>5000</v>
      </c>
      <c r="AF94" s="75">
        <v>5000</v>
      </c>
      <c r="AG94" s="75">
        <v>5000</v>
      </c>
      <c r="AH94" s="75">
        <v>5000</v>
      </c>
      <c r="AI94" s="75">
        <v>5000</v>
      </c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10"/>
      <c r="AW94" s="10" t="s">
        <v>689</v>
      </c>
      <c r="AX94" s="10" t="s">
        <v>258</v>
      </c>
      <c r="AY94" s="10"/>
      <c r="AZ94" s="10"/>
      <c r="BA94" s="10"/>
      <c r="BB94" s="10"/>
      <c r="BC94" s="10"/>
      <c r="BD94" s="10"/>
      <c r="BE94" s="10"/>
      <c r="BF94" s="13"/>
      <c r="BG94" s="10"/>
      <c r="BH94" s="14"/>
      <c r="BI94" s="14"/>
      <c r="BJ94" s="14"/>
      <c r="BK94" s="14"/>
      <c r="BL94" s="14"/>
      <c r="BM94" s="35"/>
      <c r="BN94" s="11"/>
      <c r="BO94" s="16"/>
      <c r="BP94" s="16"/>
      <c r="BQ94" s="16"/>
      <c r="BR94" s="16">
        <v>1600</v>
      </c>
      <c r="BS94" s="17">
        <v>1600</v>
      </c>
      <c r="BT94" s="17">
        <v>1600</v>
      </c>
      <c r="BU94" s="17">
        <v>1600</v>
      </c>
      <c r="BV94" s="17">
        <v>1600</v>
      </c>
    </row>
    <row r="95" spans="1:74" ht="17.399999999999999" x14ac:dyDescent="0.25">
      <c r="A95" s="69">
        <v>117</v>
      </c>
      <c r="B95" s="73" t="s">
        <v>1830</v>
      </c>
      <c r="C95" s="73" t="s">
        <v>235</v>
      </c>
      <c r="D95" s="73" t="s">
        <v>973</v>
      </c>
      <c r="E95" s="71" t="s">
        <v>712</v>
      </c>
      <c r="F95" s="73"/>
      <c r="G95" s="73" t="s">
        <v>1595</v>
      </c>
      <c r="H95" s="86" t="s">
        <v>1831</v>
      </c>
      <c r="I95" s="73"/>
      <c r="J95" s="73"/>
      <c r="K95" s="73"/>
      <c r="L95" s="73"/>
      <c r="M95" s="72"/>
      <c r="N95" s="73"/>
      <c r="O95" s="73"/>
      <c r="P95" s="73"/>
      <c r="Q95" s="100">
        <v>0.245</v>
      </c>
      <c r="R95" s="75"/>
      <c r="S95" s="73"/>
      <c r="T95" s="76">
        <v>480000</v>
      </c>
      <c r="U95" s="73"/>
      <c r="V95" s="73"/>
      <c r="W95" s="73"/>
      <c r="X95" s="80"/>
      <c r="Y95" s="80"/>
      <c r="Z95" s="80"/>
      <c r="AA95" s="80"/>
      <c r="AB95" s="80">
        <v>120000</v>
      </c>
      <c r="AC95" s="77">
        <v>120000</v>
      </c>
      <c r="AD95" s="75">
        <v>120000</v>
      </c>
      <c r="AE95" s="75">
        <v>120000</v>
      </c>
      <c r="AF95" s="75">
        <v>120000</v>
      </c>
      <c r="AG95" s="75">
        <v>120000</v>
      </c>
      <c r="AH95" s="75">
        <v>120000</v>
      </c>
      <c r="AI95" s="75">
        <v>120000</v>
      </c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0"/>
      <c r="AW95" s="10" t="s">
        <v>689</v>
      </c>
      <c r="AX95" s="10" t="s">
        <v>261</v>
      </c>
      <c r="AY95" s="10"/>
      <c r="AZ95" s="12"/>
      <c r="BA95" s="12"/>
      <c r="BB95" s="12"/>
      <c r="BC95" s="12"/>
      <c r="BD95" s="12"/>
      <c r="BE95" s="12"/>
      <c r="BF95" s="12"/>
      <c r="BG95" s="49"/>
      <c r="BH95" s="49"/>
      <c r="BI95" s="49"/>
      <c r="BJ95" s="49"/>
      <c r="BK95" s="49"/>
      <c r="BL95" s="49"/>
      <c r="BM95" s="12"/>
      <c r="BN95" s="12"/>
      <c r="BO95" s="16"/>
      <c r="BP95" s="16"/>
      <c r="BQ95" s="16"/>
      <c r="BR95" s="16">
        <v>29400</v>
      </c>
      <c r="BS95" s="17">
        <v>29400</v>
      </c>
      <c r="BT95" s="17">
        <v>29400</v>
      </c>
      <c r="BU95" s="17">
        <v>29400</v>
      </c>
      <c r="BV95" s="17">
        <v>29400</v>
      </c>
    </row>
    <row r="96" spans="1:74" ht="17.399999999999999" x14ac:dyDescent="0.25">
      <c r="A96" s="69">
        <v>118</v>
      </c>
      <c r="B96" s="73" t="s">
        <v>1834</v>
      </c>
      <c r="C96" s="71" t="s">
        <v>243</v>
      </c>
      <c r="D96" s="71" t="s">
        <v>725</v>
      </c>
      <c r="E96" s="71" t="s">
        <v>712</v>
      </c>
      <c r="F96" s="71"/>
      <c r="G96" s="71" t="s">
        <v>1735</v>
      </c>
      <c r="H96" s="71" t="s">
        <v>1736</v>
      </c>
      <c r="I96" s="71"/>
      <c r="J96" s="71"/>
      <c r="K96" s="73"/>
      <c r="L96" s="80"/>
      <c r="M96" s="72"/>
      <c r="N96" s="73"/>
      <c r="O96" s="71"/>
      <c r="P96" s="71"/>
      <c r="Q96" s="100">
        <v>0.1</v>
      </c>
      <c r="R96" s="75"/>
      <c r="S96" s="91"/>
      <c r="T96" s="76">
        <v>240000</v>
      </c>
      <c r="U96" s="80"/>
      <c r="V96" s="80"/>
      <c r="W96" s="80"/>
      <c r="X96" s="72"/>
      <c r="Y96" s="72"/>
      <c r="Z96" s="72"/>
      <c r="AA96" s="72"/>
      <c r="AB96" s="72">
        <v>60000</v>
      </c>
      <c r="AC96" s="77">
        <v>60000</v>
      </c>
      <c r="AD96" s="75">
        <v>60000</v>
      </c>
      <c r="AE96" s="75">
        <v>60000</v>
      </c>
      <c r="AF96" s="75">
        <v>60000</v>
      </c>
      <c r="AG96" s="75">
        <v>60000</v>
      </c>
      <c r="AH96" s="75">
        <v>60000</v>
      </c>
      <c r="AI96" s="75">
        <v>60000</v>
      </c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19"/>
      <c r="AW96" s="19" t="s">
        <v>689</v>
      </c>
      <c r="AX96" s="19" t="s">
        <v>261</v>
      </c>
      <c r="AY96" s="19"/>
      <c r="AZ96" s="19"/>
      <c r="BA96" s="19"/>
      <c r="BB96" s="19"/>
      <c r="BC96" s="19"/>
      <c r="BD96" s="19"/>
      <c r="BE96" s="19"/>
      <c r="BF96" s="24"/>
      <c r="BG96" s="19"/>
      <c r="BH96" s="25"/>
      <c r="BI96" s="25"/>
      <c r="BJ96" s="25"/>
      <c r="BK96" s="25"/>
      <c r="BL96" s="25"/>
      <c r="BM96" s="37"/>
      <c r="BN96" s="21"/>
      <c r="BO96" s="27"/>
      <c r="BP96" s="27"/>
      <c r="BQ96" s="27"/>
      <c r="BR96" s="27">
        <v>6000</v>
      </c>
      <c r="BS96" s="28">
        <v>6000</v>
      </c>
      <c r="BT96" s="28">
        <v>6000</v>
      </c>
      <c r="BU96" s="28">
        <v>6000</v>
      </c>
      <c r="BV96" s="28">
        <v>6000</v>
      </c>
    </row>
    <row r="97" spans="1:74" ht="17.399999999999999" x14ac:dyDescent="0.25">
      <c r="A97" s="69">
        <v>119</v>
      </c>
      <c r="B97" s="71" t="s">
        <v>1837</v>
      </c>
      <c r="C97" s="71" t="s">
        <v>243</v>
      </c>
      <c r="D97" s="86" t="s">
        <v>725</v>
      </c>
      <c r="E97" s="71" t="s">
        <v>712</v>
      </c>
      <c r="F97" s="86"/>
      <c r="G97" s="86" t="s">
        <v>305</v>
      </c>
      <c r="H97" s="86" t="s">
        <v>306</v>
      </c>
      <c r="I97" s="86"/>
      <c r="J97" s="86"/>
      <c r="K97" s="86"/>
      <c r="L97" s="89"/>
      <c r="M97" s="73"/>
      <c r="N97" s="73"/>
      <c r="O97" s="71"/>
      <c r="P97" s="73"/>
      <c r="Q97" s="100">
        <v>0.20499999999999999</v>
      </c>
      <c r="R97" s="75"/>
      <c r="S97" s="88"/>
      <c r="T97" s="76">
        <v>840000</v>
      </c>
      <c r="U97" s="80"/>
      <c r="V97" s="80"/>
      <c r="W97" s="80"/>
      <c r="X97" s="80"/>
      <c r="Y97" s="80"/>
      <c r="Z97" s="80"/>
      <c r="AA97" s="80"/>
      <c r="AB97" s="80">
        <v>210000</v>
      </c>
      <c r="AC97" s="77">
        <v>210000</v>
      </c>
      <c r="AD97" s="75">
        <v>210000</v>
      </c>
      <c r="AE97" s="75">
        <v>210000</v>
      </c>
      <c r="AF97" s="75">
        <v>210000</v>
      </c>
      <c r="AG97" s="75">
        <v>210000</v>
      </c>
      <c r="AH97" s="75">
        <v>210000</v>
      </c>
      <c r="AI97" s="75">
        <v>210000</v>
      </c>
      <c r="AJ97" s="3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0"/>
      <c r="AW97" s="10" t="s">
        <v>689</v>
      </c>
      <c r="AX97" s="10" t="s">
        <v>261</v>
      </c>
      <c r="AY97" s="10"/>
      <c r="AZ97" s="10"/>
      <c r="BA97" s="10"/>
      <c r="BB97" s="10"/>
      <c r="BC97" s="10"/>
      <c r="BD97" s="10"/>
      <c r="BE97" s="10"/>
      <c r="BF97" s="13"/>
      <c r="BG97" s="10"/>
      <c r="BH97" s="14"/>
      <c r="BI97" s="14"/>
      <c r="BJ97" s="14"/>
      <c r="BK97" s="14"/>
      <c r="BL97" s="14"/>
      <c r="BM97" s="35"/>
      <c r="BN97" s="11"/>
      <c r="BO97" s="16"/>
      <c r="BP97" s="16"/>
      <c r="BQ97" s="16"/>
      <c r="BR97" s="16">
        <v>43050</v>
      </c>
      <c r="BS97" s="17">
        <v>43050</v>
      </c>
      <c r="BT97" s="17">
        <v>43050</v>
      </c>
      <c r="BU97" s="17">
        <v>43050</v>
      </c>
      <c r="BV97" s="17">
        <v>43050</v>
      </c>
    </row>
    <row r="98" spans="1:74" ht="18" x14ac:dyDescent="0.3">
      <c r="A98" s="69">
        <v>120</v>
      </c>
      <c r="B98" s="73" t="s">
        <v>1838</v>
      </c>
      <c r="C98" s="73" t="s">
        <v>243</v>
      </c>
      <c r="D98" s="71" t="s">
        <v>725</v>
      </c>
      <c r="E98" s="71" t="s">
        <v>712</v>
      </c>
      <c r="F98" s="98"/>
      <c r="G98" s="86" t="s">
        <v>273</v>
      </c>
      <c r="H98" s="86" t="s">
        <v>1839</v>
      </c>
      <c r="I98" s="98"/>
      <c r="J98" s="98"/>
      <c r="K98" s="98"/>
      <c r="L98" s="98"/>
      <c r="M98" s="98"/>
      <c r="N98" s="98"/>
      <c r="O98" s="98"/>
      <c r="P98" s="98"/>
      <c r="Q98" s="100">
        <v>0.12</v>
      </c>
      <c r="R98" s="98"/>
      <c r="S98" s="98"/>
      <c r="T98" s="76">
        <v>0</v>
      </c>
      <c r="U98" s="98"/>
      <c r="V98" s="98"/>
      <c r="W98" s="98"/>
      <c r="X98" s="98"/>
      <c r="Y98" s="98"/>
      <c r="Z98" s="98"/>
      <c r="AA98" s="98"/>
      <c r="AB98" s="98"/>
      <c r="AC98" s="116"/>
      <c r="AD98" s="118"/>
      <c r="AE98" s="118"/>
      <c r="AF98" s="118"/>
      <c r="AG98" s="118"/>
      <c r="AH98" s="118"/>
      <c r="AI98" s="75">
        <v>0</v>
      </c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119" t="s">
        <v>689</v>
      </c>
      <c r="AX98" s="19" t="s">
        <v>261</v>
      </c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68"/>
      <c r="BJ98" s="68"/>
      <c r="BK98" s="68"/>
      <c r="BL98" s="68"/>
      <c r="BM98" s="68"/>
      <c r="BN98" s="68"/>
      <c r="BO98" s="68"/>
      <c r="BP98" s="68"/>
      <c r="BQ98" s="68"/>
      <c r="BR98" s="27">
        <v>0</v>
      </c>
      <c r="BS98" s="28">
        <v>0</v>
      </c>
      <c r="BT98" s="28">
        <v>0</v>
      </c>
      <c r="BU98" s="28">
        <v>0</v>
      </c>
      <c r="BV98" s="28">
        <v>0</v>
      </c>
    </row>
    <row r="99" spans="1:74" ht="17.399999999999999" x14ac:dyDescent="0.25">
      <c r="A99" s="69">
        <v>257</v>
      </c>
      <c r="B99" s="73" t="s">
        <v>992</v>
      </c>
      <c r="C99" s="73" t="s">
        <v>235</v>
      </c>
      <c r="D99" s="73" t="s">
        <v>993</v>
      </c>
      <c r="E99" s="73" t="s">
        <v>712</v>
      </c>
      <c r="F99" s="73" t="s">
        <v>712</v>
      </c>
      <c r="G99" s="71" t="s">
        <v>994</v>
      </c>
      <c r="H99" s="71" t="s">
        <v>995</v>
      </c>
      <c r="I99" s="87" t="s">
        <v>996</v>
      </c>
      <c r="J99" s="85"/>
      <c r="K99" s="71" t="s">
        <v>981</v>
      </c>
      <c r="L99" s="85"/>
      <c r="M99" s="85"/>
      <c r="N99" s="85"/>
      <c r="O99" s="85"/>
      <c r="P99" s="85"/>
      <c r="Q99" s="100">
        <v>0.12</v>
      </c>
      <c r="R99" s="75">
        <v>0</v>
      </c>
      <c r="S99" s="76">
        <v>5600000.0000000009</v>
      </c>
      <c r="T99" s="76">
        <v>0</v>
      </c>
      <c r="U99" s="85"/>
      <c r="V99" s="85"/>
      <c r="W99" s="85"/>
      <c r="X99" s="85"/>
      <c r="Y99" s="76">
        <v>5000000</v>
      </c>
      <c r="Z99" s="76"/>
      <c r="AA99" s="76"/>
      <c r="AB99" s="76"/>
      <c r="AC99" s="77"/>
      <c r="AD99" s="75"/>
      <c r="AE99" s="75"/>
      <c r="AF99" s="75"/>
      <c r="AG99" s="75"/>
      <c r="AH99" s="75"/>
      <c r="AI99" s="75">
        <v>0</v>
      </c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16" t="s">
        <v>689</v>
      </c>
      <c r="AX99" s="10" t="s">
        <v>261</v>
      </c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16">
        <v>600000</v>
      </c>
      <c r="BP99" s="16">
        <v>0</v>
      </c>
      <c r="BQ99" s="16">
        <v>0</v>
      </c>
      <c r="BR99" s="16">
        <v>0</v>
      </c>
      <c r="BS99" s="17">
        <v>0</v>
      </c>
      <c r="BT99" s="17">
        <v>0</v>
      </c>
      <c r="BU99" s="17">
        <v>0</v>
      </c>
      <c r="BV99" s="17">
        <v>0</v>
      </c>
    </row>
    <row r="100" spans="1:74" ht="17.399999999999999" x14ac:dyDescent="0.25">
      <c r="A100" s="69">
        <v>258</v>
      </c>
      <c r="B100" s="73" t="s">
        <v>997</v>
      </c>
      <c r="C100" s="73" t="s">
        <v>243</v>
      </c>
      <c r="D100" s="73" t="s">
        <v>998</v>
      </c>
      <c r="E100" s="73" t="s">
        <v>712</v>
      </c>
      <c r="F100" s="73" t="s">
        <v>712</v>
      </c>
      <c r="G100" s="71" t="s">
        <v>322</v>
      </c>
      <c r="H100" s="71" t="s">
        <v>617</v>
      </c>
      <c r="I100" s="87">
        <v>2442</v>
      </c>
      <c r="J100" s="85"/>
      <c r="K100" s="84"/>
      <c r="L100" s="75"/>
      <c r="M100" s="76"/>
      <c r="N100" s="76"/>
      <c r="O100" s="85"/>
      <c r="P100" s="85"/>
      <c r="Q100" s="102">
        <v>0.28000000000000003</v>
      </c>
      <c r="R100" s="75">
        <v>168000.00000000003</v>
      </c>
      <c r="S100" s="76"/>
      <c r="T100" s="76">
        <v>600000</v>
      </c>
      <c r="U100" s="76"/>
      <c r="V100" s="76"/>
      <c r="W100" s="76"/>
      <c r="X100" s="76"/>
      <c r="Y100" s="76">
        <v>150000</v>
      </c>
      <c r="Z100" s="76">
        <v>150000</v>
      </c>
      <c r="AA100" s="76">
        <v>150000</v>
      </c>
      <c r="AB100" s="76">
        <v>150000</v>
      </c>
      <c r="AC100" s="77">
        <v>150000</v>
      </c>
      <c r="AD100" s="75">
        <v>150000</v>
      </c>
      <c r="AE100" s="75">
        <v>150000</v>
      </c>
      <c r="AF100" s="75">
        <v>150000</v>
      </c>
      <c r="AG100" s="75">
        <v>150000</v>
      </c>
      <c r="AH100" s="75"/>
      <c r="AI100" s="75">
        <v>0</v>
      </c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 t="s">
        <v>689</v>
      </c>
      <c r="AX100" s="19" t="s">
        <v>258</v>
      </c>
      <c r="AY100" s="27"/>
      <c r="AZ100" s="27"/>
      <c r="BA100" s="27"/>
      <c r="BB100" s="27"/>
      <c r="BC100" s="27"/>
      <c r="BD100" s="27"/>
      <c r="BE100" s="27"/>
      <c r="BF100" s="27"/>
      <c r="BG100" s="27"/>
      <c r="BH100" s="27"/>
      <c r="BI100" s="27"/>
      <c r="BJ100" s="27"/>
      <c r="BK100" s="27"/>
      <c r="BL100" s="27"/>
      <c r="BM100" s="27"/>
      <c r="BN100" s="27"/>
      <c r="BO100" s="27">
        <v>42000.000000000007</v>
      </c>
      <c r="BP100" s="27">
        <v>42000.000000000007</v>
      </c>
      <c r="BQ100" s="27">
        <v>42000.000000000007</v>
      </c>
      <c r="BR100" s="27">
        <v>42000.000000000007</v>
      </c>
      <c r="BS100" s="28">
        <v>42000.000000000007</v>
      </c>
      <c r="BT100" s="28">
        <v>42000.000000000007</v>
      </c>
      <c r="BU100" s="28">
        <v>42000.000000000007</v>
      </c>
      <c r="BV100" s="28">
        <v>42000.000000000007</v>
      </c>
    </row>
    <row r="101" spans="1:74" ht="17.399999999999999" x14ac:dyDescent="0.25">
      <c r="A101" s="69">
        <v>259</v>
      </c>
      <c r="B101" s="73" t="s">
        <v>999</v>
      </c>
      <c r="C101" s="73" t="s">
        <v>235</v>
      </c>
      <c r="D101" s="73" t="s">
        <v>998</v>
      </c>
      <c r="E101" s="73" t="s">
        <v>712</v>
      </c>
      <c r="F101" s="73" t="s">
        <v>712</v>
      </c>
      <c r="G101" s="71" t="s">
        <v>1000</v>
      </c>
      <c r="H101" s="71" t="s">
        <v>1001</v>
      </c>
      <c r="I101" s="87"/>
      <c r="J101" s="85"/>
      <c r="K101" s="71" t="s">
        <v>981</v>
      </c>
      <c r="L101" s="85"/>
      <c r="M101" s="85"/>
      <c r="N101" s="85"/>
      <c r="O101" s="85"/>
      <c r="P101" s="85"/>
      <c r="Q101" s="100">
        <v>1665</v>
      </c>
      <c r="R101" s="75">
        <v>832500</v>
      </c>
      <c r="S101" s="76">
        <v>1665000</v>
      </c>
      <c r="T101" s="76">
        <v>500</v>
      </c>
      <c r="U101" s="85"/>
      <c r="V101" s="85"/>
      <c r="W101" s="85"/>
      <c r="X101" s="76">
        <v>125</v>
      </c>
      <c r="Y101" s="76">
        <v>125</v>
      </c>
      <c r="Z101" s="76">
        <v>125</v>
      </c>
      <c r="AA101" s="76">
        <v>125</v>
      </c>
      <c r="AB101" s="76">
        <v>125</v>
      </c>
      <c r="AC101" s="77">
        <v>125</v>
      </c>
      <c r="AD101" s="75">
        <v>125</v>
      </c>
      <c r="AE101" s="75">
        <v>125</v>
      </c>
      <c r="AF101" s="75">
        <v>125</v>
      </c>
      <c r="AG101" s="75">
        <v>125</v>
      </c>
      <c r="AH101" s="75"/>
      <c r="AI101" s="75">
        <v>0</v>
      </c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 t="s">
        <v>689</v>
      </c>
      <c r="AX101" s="10" t="s">
        <v>261</v>
      </c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>
        <v>208125</v>
      </c>
      <c r="BP101" s="16">
        <v>208125</v>
      </c>
      <c r="BQ101" s="16">
        <v>208125</v>
      </c>
      <c r="BR101" s="16">
        <v>208125</v>
      </c>
      <c r="BS101" s="17">
        <v>208125</v>
      </c>
      <c r="BT101" s="17">
        <v>208125</v>
      </c>
      <c r="BU101" s="17">
        <v>208125</v>
      </c>
      <c r="BV101" s="17">
        <v>208125</v>
      </c>
    </row>
    <row r="102" spans="1:74" ht="17.399999999999999" x14ac:dyDescent="0.25">
      <c r="A102" s="69">
        <v>260</v>
      </c>
      <c r="B102" s="73" t="s">
        <v>1002</v>
      </c>
      <c r="C102" s="73" t="s">
        <v>243</v>
      </c>
      <c r="D102" s="73" t="s">
        <v>998</v>
      </c>
      <c r="E102" s="73" t="s">
        <v>712</v>
      </c>
      <c r="F102" s="73" t="s">
        <v>712</v>
      </c>
      <c r="G102" s="73" t="s">
        <v>1003</v>
      </c>
      <c r="H102" s="71" t="s">
        <v>1004</v>
      </c>
      <c r="I102" s="87"/>
      <c r="J102" s="85"/>
      <c r="K102" s="85"/>
      <c r="L102" s="85"/>
      <c r="M102" s="85"/>
      <c r="N102" s="85"/>
      <c r="O102" s="85"/>
      <c r="P102" s="85"/>
      <c r="Q102" s="100">
        <v>0.33</v>
      </c>
      <c r="R102" s="75">
        <v>13200</v>
      </c>
      <c r="S102" s="76"/>
      <c r="T102" s="76">
        <v>40000</v>
      </c>
      <c r="U102" s="85"/>
      <c r="V102" s="85"/>
      <c r="W102" s="85"/>
      <c r="X102" s="85"/>
      <c r="Y102" s="76"/>
      <c r="Z102" s="76"/>
      <c r="AA102" s="76"/>
      <c r="AB102" s="76">
        <v>10000</v>
      </c>
      <c r="AC102" s="77">
        <v>10000</v>
      </c>
      <c r="AD102" s="75">
        <v>10000</v>
      </c>
      <c r="AE102" s="75">
        <v>10000</v>
      </c>
      <c r="AF102" s="75">
        <v>10000</v>
      </c>
      <c r="AG102" s="75">
        <v>10000</v>
      </c>
      <c r="AH102" s="75"/>
      <c r="AI102" s="75">
        <v>0</v>
      </c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 t="s">
        <v>689</v>
      </c>
      <c r="AX102" s="19" t="s">
        <v>258</v>
      </c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7"/>
      <c r="BL102" s="27"/>
      <c r="BM102" s="27"/>
      <c r="BN102" s="27"/>
      <c r="BO102" s="27">
        <v>0</v>
      </c>
      <c r="BP102" s="27">
        <v>0</v>
      </c>
      <c r="BQ102" s="27">
        <v>0</v>
      </c>
      <c r="BR102" s="27">
        <v>3300</v>
      </c>
      <c r="BS102" s="28">
        <v>3300</v>
      </c>
      <c r="BT102" s="28">
        <v>3300</v>
      </c>
      <c r="BU102" s="28">
        <v>3300</v>
      </c>
      <c r="BV102" s="28">
        <v>3300</v>
      </c>
    </row>
    <row r="103" spans="1:74" ht="17.399999999999999" x14ac:dyDescent="0.25">
      <c r="A103" s="69">
        <v>261</v>
      </c>
      <c r="B103" s="73" t="s">
        <v>1005</v>
      </c>
      <c r="C103" s="73" t="s">
        <v>243</v>
      </c>
      <c r="D103" s="73" t="s">
        <v>998</v>
      </c>
      <c r="E103" s="73" t="s">
        <v>712</v>
      </c>
      <c r="F103" s="73" t="s">
        <v>712</v>
      </c>
      <c r="G103" s="71" t="s">
        <v>1006</v>
      </c>
      <c r="H103" s="71" t="s">
        <v>1007</v>
      </c>
      <c r="I103" s="87" t="s">
        <v>1008</v>
      </c>
      <c r="J103" s="85"/>
      <c r="K103" s="85"/>
      <c r="L103" s="85"/>
      <c r="M103" s="85"/>
      <c r="N103" s="85"/>
      <c r="O103" s="85"/>
      <c r="P103" s="85"/>
      <c r="Q103" s="100">
        <v>0.25</v>
      </c>
      <c r="R103" s="75">
        <v>0</v>
      </c>
      <c r="S103" s="76">
        <v>0</v>
      </c>
      <c r="T103" s="76">
        <v>0</v>
      </c>
      <c r="U103" s="85"/>
      <c r="V103" s="85"/>
      <c r="W103" s="85"/>
      <c r="X103" s="85"/>
      <c r="Y103" s="76"/>
      <c r="Z103" s="76"/>
      <c r="AA103" s="76"/>
      <c r="AB103" s="76"/>
      <c r="AC103" s="77"/>
      <c r="AD103" s="75"/>
      <c r="AE103" s="75"/>
      <c r="AF103" s="75"/>
      <c r="AG103" s="75">
        <v>0</v>
      </c>
      <c r="AH103" s="75"/>
      <c r="AI103" s="75">
        <v>0</v>
      </c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 t="s">
        <v>689</v>
      </c>
      <c r="AX103" s="10" t="s">
        <v>261</v>
      </c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>
        <v>0</v>
      </c>
      <c r="BP103" s="16">
        <v>0</v>
      </c>
      <c r="BQ103" s="16">
        <v>0</v>
      </c>
      <c r="BR103" s="16">
        <v>0</v>
      </c>
      <c r="BS103" s="17">
        <v>0</v>
      </c>
      <c r="BT103" s="17">
        <v>0</v>
      </c>
      <c r="BU103" s="17">
        <v>0</v>
      </c>
      <c r="BV103" s="17">
        <v>0</v>
      </c>
    </row>
    <row r="104" spans="1:74" ht="17.399999999999999" x14ac:dyDescent="0.25">
      <c r="A104" s="69">
        <v>262</v>
      </c>
      <c r="B104" s="73" t="s">
        <v>1005</v>
      </c>
      <c r="C104" s="73" t="s">
        <v>243</v>
      </c>
      <c r="D104" s="73" t="s">
        <v>998</v>
      </c>
      <c r="E104" s="73" t="s">
        <v>712</v>
      </c>
      <c r="F104" s="73" t="s">
        <v>712</v>
      </c>
      <c r="G104" s="73" t="s">
        <v>1009</v>
      </c>
      <c r="H104" s="71" t="s">
        <v>1010</v>
      </c>
      <c r="I104" s="87">
        <v>2546</v>
      </c>
      <c r="J104" s="85"/>
      <c r="K104" s="85"/>
      <c r="L104" s="85"/>
      <c r="M104" s="85"/>
      <c r="N104" s="85"/>
      <c r="O104" s="85"/>
      <c r="P104" s="85"/>
      <c r="Q104" s="100">
        <v>1.2</v>
      </c>
      <c r="R104" s="75">
        <v>24000</v>
      </c>
      <c r="S104" s="76"/>
      <c r="T104" s="76">
        <v>20000</v>
      </c>
      <c r="U104" s="85"/>
      <c r="V104" s="85"/>
      <c r="W104" s="85"/>
      <c r="X104" s="85"/>
      <c r="Y104" s="76"/>
      <c r="Z104" s="76"/>
      <c r="AA104" s="76"/>
      <c r="AB104" s="76">
        <v>5000</v>
      </c>
      <c r="AC104" s="77">
        <v>5000</v>
      </c>
      <c r="AD104" s="75">
        <v>5000</v>
      </c>
      <c r="AE104" s="75">
        <v>5000</v>
      </c>
      <c r="AF104" s="75">
        <v>5000</v>
      </c>
      <c r="AG104" s="75">
        <v>5000</v>
      </c>
      <c r="AH104" s="75"/>
      <c r="AI104" s="75">
        <v>0</v>
      </c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 t="s">
        <v>689</v>
      </c>
      <c r="AX104" s="19" t="s">
        <v>258</v>
      </c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7"/>
      <c r="BL104" s="27"/>
      <c r="BM104" s="27"/>
      <c r="BN104" s="27"/>
      <c r="BO104" s="27">
        <v>0</v>
      </c>
      <c r="BP104" s="27">
        <v>0</v>
      </c>
      <c r="BQ104" s="27">
        <v>0</v>
      </c>
      <c r="BR104" s="27">
        <v>6000</v>
      </c>
      <c r="BS104" s="28">
        <v>6000</v>
      </c>
      <c r="BT104" s="28">
        <v>6000</v>
      </c>
      <c r="BU104" s="28">
        <v>6000</v>
      </c>
      <c r="BV104" s="28">
        <v>6000</v>
      </c>
    </row>
    <row r="105" spans="1:74" ht="17.399999999999999" x14ac:dyDescent="0.25">
      <c r="A105" s="69">
        <v>263</v>
      </c>
      <c r="B105" s="73" t="s">
        <v>1011</v>
      </c>
      <c r="C105" s="73" t="s">
        <v>243</v>
      </c>
      <c r="D105" s="73" t="s">
        <v>998</v>
      </c>
      <c r="E105" s="73" t="s">
        <v>712</v>
      </c>
      <c r="F105" s="73" t="s">
        <v>712</v>
      </c>
      <c r="G105" s="71" t="s">
        <v>273</v>
      </c>
      <c r="H105" s="71" t="s">
        <v>626</v>
      </c>
      <c r="I105" s="87">
        <v>2402</v>
      </c>
      <c r="J105" s="85"/>
      <c r="K105" s="85"/>
      <c r="L105" s="85"/>
      <c r="M105" s="85"/>
      <c r="N105" s="85"/>
      <c r="O105" s="85"/>
      <c r="P105" s="85"/>
      <c r="Q105" s="100">
        <v>0.13</v>
      </c>
      <c r="R105" s="75">
        <v>0</v>
      </c>
      <c r="S105" s="76"/>
      <c r="T105" s="76">
        <v>0</v>
      </c>
      <c r="U105" s="85"/>
      <c r="V105" s="85"/>
      <c r="W105" s="85"/>
      <c r="X105" s="85"/>
      <c r="Y105" s="76"/>
      <c r="Z105" s="76"/>
      <c r="AA105" s="76"/>
      <c r="AB105" s="76"/>
      <c r="AC105" s="77"/>
      <c r="AD105" s="75"/>
      <c r="AE105" s="75"/>
      <c r="AF105" s="75"/>
      <c r="AG105" s="75">
        <v>0</v>
      </c>
      <c r="AH105" s="75"/>
      <c r="AI105" s="75">
        <v>0</v>
      </c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 t="s">
        <v>689</v>
      </c>
      <c r="AX105" s="10" t="s">
        <v>261</v>
      </c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>
        <v>0</v>
      </c>
      <c r="BP105" s="16">
        <v>0</v>
      </c>
      <c r="BQ105" s="16">
        <v>0</v>
      </c>
      <c r="BR105" s="16">
        <v>0</v>
      </c>
      <c r="BS105" s="17">
        <v>0</v>
      </c>
      <c r="BT105" s="17">
        <v>0</v>
      </c>
      <c r="BU105" s="17">
        <v>0</v>
      </c>
      <c r="BV105" s="17">
        <v>0</v>
      </c>
    </row>
    <row r="106" spans="1:74" ht="17.399999999999999" x14ac:dyDescent="0.25">
      <c r="A106" s="69">
        <v>264</v>
      </c>
      <c r="B106" s="73" t="s">
        <v>1012</v>
      </c>
      <c r="C106" s="73" t="s">
        <v>243</v>
      </c>
      <c r="D106" s="73" t="s">
        <v>998</v>
      </c>
      <c r="E106" s="73" t="s">
        <v>712</v>
      </c>
      <c r="F106" s="73" t="s">
        <v>712</v>
      </c>
      <c r="G106" s="73" t="s">
        <v>288</v>
      </c>
      <c r="H106" s="71" t="s">
        <v>289</v>
      </c>
      <c r="I106" s="87">
        <v>2462</v>
      </c>
      <c r="J106" s="85"/>
      <c r="K106" s="85"/>
      <c r="L106" s="85"/>
      <c r="M106" s="85"/>
      <c r="N106" s="85"/>
      <c r="O106" s="85"/>
      <c r="P106" s="85"/>
      <c r="Q106" s="100">
        <v>0.4</v>
      </c>
      <c r="R106" s="75">
        <v>0</v>
      </c>
      <c r="S106" s="76"/>
      <c r="T106" s="76">
        <v>0</v>
      </c>
      <c r="U106" s="85"/>
      <c r="V106" s="85"/>
      <c r="W106" s="85"/>
      <c r="X106" s="85"/>
      <c r="Y106" s="76"/>
      <c r="Z106" s="76"/>
      <c r="AA106" s="76"/>
      <c r="AB106" s="76"/>
      <c r="AC106" s="77"/>
      <c r="AD106" s="75"/>
      <c r="AE106" s="75"/>
      <c r="AF106" s="75"/>
      <c r="AG106" s="75">
        <v>0</v>
      </c>
      <c r="AH106" s="75"/>
      <c r="AI106" s="75">
        <v>0</v>
      </c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 t="s">
        <v>689</v>
      </c>
      <c r="AX106" s="19" t="s">
        <v>258</v>
      </c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>
        <v>0</v>
      </c>
      <c r="BP106" s="27">
        <v>0</v>
      </c>
      <c r="BQ106" s="27">
        <v>0</v>
      </c>
      <c r="BR106" s="27">
        <v>0</v>
      </c>
      <c r="BS106" s="28">
        <v>0</v>
      </c>
      <c r="BT106" s="28">
        <v>0</v>
      </c>
      <c r="BU106" s="28">
        <v>0</v>
      </c>
      <c r="BV106" s="28">
        <v>0</v>
      </c>
    </row>
    <row r="107" spans="1:74" ht="17.399999999999999" x14ac:dyDescent="0.25">
      <c r="A107" s="69">
        <v>265</v>
      </c>
      <c r="B107" s="73" t="s">
        <v>1013</v>
      </c>
      <c r="C107" s="73" t="s">
        <v>243</v>
      </c>
      <c r="D107" s="73" t="s">
        <v>998</v>
      </c>
      <c r="E107" s="73" t="s">
        <v>712</v>
      </c>
      <c r="F107" s="73" t="s">
        <v>712</v>
      </c>
      <c r="G107" s="73" t="s">
        <v>288</v>
      </c>
      <c r="H107" s="71" t="s">
        <v>289</v>
      </c>
      <c r="I107" s="87">
        <v>2462</v>
      </c>
      <c r="J107" s="85"/>
      <c r="K107" s="85"/>
      <c r="L107" s="85"/>
      <c r="M107" s="85"/>
      <c r="N107" s="85"/>
      <c r="O107" s="85"/>
      <c r="P107" s="85"/>
      <c r="Q107" s="100">
        <v>0.4</v>
      </c>
      <c r="R107" s="75">
        <v>0</v>
      </c>
      <c r="S107" s="76"/>
      <c r="T107" s="76">
        <v>0</v>
      </c>
      <c r="U107" s="85"/>
      <c r="V107" s="85"/>
      <c r="W107" s="85"/>
      <c r="X107" s="85"/>
      <c r="Y107" s="76"/>
      <c r="Z107" s="76"/>
      <c r="AA107" s="76"/>
      <c r="AB107" s="76"/>
      <c r="AC107" s="77"/>
      <c r="AD107" s="75"/>
      <c r="AE107" s="75"/>
      <c r="AF107" s="75"/>
      <c r="AG107" s="75">
        <v>0</v>
      </c>
      <c r="AH107" s="75"/>
      <c r="AI107" s="75">
        <v>0</v>
      </c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 t="s">
        <v>689</v>
      </c>
      <c r="AX107" s="10" t="s">
        <v>258</v>
      </c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>
        <v>0</v>
      </c>
      <c r="BP107" s="16">
        <v>0</v>
      </c>
      <c r="BQ107" s="16">
        <v>0</v>
      </c>
      <c r="BR107" s="16">
        <v>0</v>
      </c>
      <c r="BS107" s="17">
        <v>0</v>
      </c>
      <c r="BT107" s="17">
        <v>0</v>
      </c>
      <c r="BU107" s="17">
        <v>0</v>
      </c>
      <c r="BV107" s="17">
        <v>0</v>
      </c>
    </row>
    <row r="108" spans="1:74" ht="17.399999999999999" x14ac:dyDescent="0.25">
      <c r="A108" s="69">
        <v>266</v>
      </c>
      <c r="B108" s="73" t="s">
        <v>1014</v>
      </c>
      <c r="C108" s="73" t="s">
        <v>243</v>
      </c>
      <c r="D108" s="73" t="s">
        <v>998</v>
      </c>
      <c r="E108" s="73" t="s">
        <v>712</v>
      </c>
      <c r="F108" s="73" t="s">
        <v>712</v>
      </c>
      <c r="G108" s="71" t="s">
        <v>994</v>
      </c>
      <c r="H108" s="71" t="s">
        <v>1015</v>
      </c>
      <c r="I108" s="87" t="s">
        <v>1016</v>
      </c>
      <c r="J108" s="85"/>
      <c r="K108" s="71" t="s">
        <v>981</v>
      </c>
      <c r="L108" s="85"/>
      <c r="M108" s="85"/>
      <c r="N108" s="85"/>
      <c r="O108" s="85"/>
      <c r="P108" s="85"/>
      <c r="Q108" s="100">
        <v>0.15</v>
      </c>
      <c r="R108" s="75">
        <v>0</v>
      </c>
      <c r="S108" s="76">
        <v>0</v>
      </c>
      <c r="T108" s="76">
        <v>0</v>
      </c>
      <c r="U108" s="85"/>
      <c r="V108" s="85"/>
      <c r="W108" s="85"/>
      <c r="X108" s="85"/>
      <c r="Y108" s="76"/>
      <c r="Z108" s="76"/>
      <c r="AA108" s="76"/>
      <c r="AB108" s="76"/>
      <c r="AC108" s="77"/>
      <c r="AD108" s="75"/>
      <c r="AE108" s="75"/>
      <c r="AF108" s="75"/>
      <c r="AG108" s="75">
        <v>0</v>
      </c>
      <c r="AH108" s="75"/>
      <c r="AI108" s="75">
        <v>0</v>
      </c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 t="s">
        <v>689</v>
      </c>
      <c r="AX108" s="19" t="s">
        <v>261</v>
      </c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7"/>
      <c r="BL108" s="27"/>
      <c r="BM108" s="27"/>
      <c r="BN108" s="27"/>
      <c r="BO108" s="27">
        <v>0</v>
      </c>
      <c r="BP108" s="27">
        <v>0</v>
      </c>
      <c r="BQ108" s="27">
        <v>0</v>
      </c>
      <c r="BR108" s="27">
        <v>0</v>
      </c>
      <c r="BS108" s="28">
        <v>0</v>
      </c>
      <c r="BT108" s="28">
        <v>0</v>
      </c>
      <c r="BU108" s="28">
        <v>0</v>
      </c>
      <c r="BV108" s="28">
        <v>0</v>
      </c>
    </row>
    <row r="109" spans="1:74" ht="17.399999999999999" x14ac:dyDescent="0.25">
      <c r="A109" s="69">
        <v>267</v>
      </c>
      <c r="B109" s="73" t="s">
        <v>1017</v>
      </c>
      <c r="C109" s="73" t="s">
        <v>243</v>
      </c>
      <c r="D109" s="73" t="s">
        <v>998</v>
      </c>
      <c r="E109" s="73" t="s">
        <v>712</v>
      </c>
      <c r="F109" s="73" t="s">
        <v>712</v>
      </c>
      <c r="G109" s="73" t="s">
        <v>1018</v>
      </c>
      <c r="H109" s="71" t="s">
        <v>1019</v>
      </c>
      <c r="I109" s="87"/>
      <c r="J109" s="85"/>
      <c r="K109" s="85"/>
      <c r="L109" s="85"/>
      <c r="M109" s="85"/>
      <c r="N109" s="85"/>
      <c r="O109" s="85"/>
      <c r="P109" s="85"/>
      <c r="Q109" s="104">
        <v>2.25</v>
      </c>
      <c r="R109" s="75">
        <v>0</v>
      </c>
      <c r="S109" s="76"/>
      <c r="T109" s="76">
        <v>0</v>
      </c>
      <c r="U109" s="85"/>
      <c r="V109" s="85"/>
      <c r="W109" s="85"/>
      <c r="X109" s="85"/>
      <c r="Y109" s="76"/>
      <c r="Z109" s="76"/>
      <c r="AA109" s="76"/>
      <c r="AB109" s="76"/>
      <c r="AC109" s="77"/>
      <c r="AD109" s="75"/>
      <c r="AE109" s="75"/>
      <c r="AF109" s="75"/>
      <c r="AG109" s="75">
        <v>0</v>
      </c>
      <c r="AH109" s="75"/>
      <c r="AI109" s="75">
        <v>0</v>
      </c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 t="s">
        <v>689</v>
      </c>
      <c r="AX109" s="10" t="s">
        <v>794</v>
      </c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>
        <v>0</v>
      </c>
      <c r="BP109" s="16">
        <v>0</v>
      </c>
      <c r="BQ109" s="16">
        <v>0</v>
      </c>
      <c r="BR109" s="16">
        <v>0</v>
      </c>
      <c r="BS109" s="17">
        <v>0</v>
      </c>
      <c r="BT109" s="17">
        <v>0</v>
      </c>
      <c r="BU109" s="17">
        <v>0</v>
      </c>
      <c r="BV109" s="17">
        <v>0</v>
      </c>
    </row>
    <row r="110" spans="1:74" ht="17.399999999999999" x14ac:dyDescent="0.25">
      <c r="A110" s="69">
        <v>268</v>
      </c>
      <c r="B110" s="73" t="s">
        <v>1020</v>
      </c>
      <c r="C110" s="73" t="s">
        <v>243</v>
      </c>
      <c r="D110" s="73" t="s">
        <v>998</v>
      </c>
      <c r="E110" s="73" t="s">
        <v>712</v>
      </c>
      <c r="F110" s="73" t="s">
        <v>712</v>
      </c>
      <c r="G110" s="73" t="s">
        <v>621</v>
      </c>
      <c r="H110" s="86" t="s">
        <v>622</v>
      </c>
      <c r="I110" s="87">
        <v>2442</v>
      </c>
      <c r="J110" s="85"/>
      <c r="K110" s="85"/>
      <c r="L110" s="85"/>
      <c r="M110" s="85"/>
      <c r="N110" s="85"/>
      <c r="O110" s="85"/>
      <c r="P110" s="85"/>
      <c r="Q110" s="100">
        <v>0.4</v>
      </c>
      <c r="R110" s="75">
        <v>384000</v>
      </c>
      <c r="S110" s="76"/>
      <c r="T110" s="76">
        <v>960000</v>
      </c>
      <c r="U110" s="85"/>
      <c r="V110" s="85"/>
      <c r="W110" s="85"/>
      <c r="X110" s="85"/>
      <c r="Y110" s="76">
        <v>240000</v>
      </c>
      <c r="Z110" s="76">
        <v>240000</v>
      </c>
      <c r="AA110" s="76">
        <v>240000</v>
      </c>
      <c r="AB110" s="76">
        <v>240000</v>
      </c>
      <c r="AC110" s="77">
        <v>240000</v>
      </c>
      <c r="AD110" s="75">
        <v>240000</v>
      </c>
      <c r="AE110" s="75">
        <v>240000</v>
      </c>
      <c r="AF110" s="75">
        <v>240000</v>
      </c>
      <c r="AG110" s="75">
        <v>240000</v>
      </c>
      <c r="AH110" s="75"/>
      <c r="AI110" s="75">
        <v>0</v>
      </c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 t="s">
        <v>689</v>
      </c>
      <c r="AX110" s="19" t="s">
        <v>261</v>
      </c>
      <c r="AY110" s="27"/>
      <c r="AZ110" s="27"/>
      <c r="BA110" s="27"/>
      <c r="BB110" s="27"/>
      <c r="BC110" s="27"/>
      <c r="BD110" s="27"/>
      <c r="BE110" s="27"/>
      <c r="BF110" s="27"/>
      <c r="BG110" s="27"/>
      <c r="BH110" s="27"/>
      <c r="BI110" s="27"/>
      <c r="BJ110" s="27"/>
      <c r="BK110" s="27"/>
      <c r="BL110" s="27"/>
      <c r="BM110" s="27"/>
      <c r="BN110" s="27"/>
      <c r="BO110" s="27">
        <v>96000</v>
      </c>
      <c r="BP110" s="27">
        <v>96000</v>
      </c>
      <c r="BQ110" s="27">
        <v>96000</v>
      </c>
      <c r="BR110" s="27">
        <v>96000</v>
      </c>
      <c r="BS110" s="28">
        <v>96000</v>
      </c>
      <c r="BT110" s="28">
        <v>96000</v>
      </c>
      <c r="BU110" s="28">
        <v>96000</v>
      </c>
      <c r="BV110" s="28">
        <v>96000</v>
      </c>
    </row>
    <row r="111" spans="1:74" ht="17.399999999999999" x14ac:dyDescent="0.25">
      <c r="A111" s="69">
        <v>269</v>
      </c>
      <c r="B111" s="73" t="s">
        <v>1021</v>
      </c>
      <c r="C111" s="73" t="s">
        <v>243</v>
      </c>
      <c r="D111" s="73" t="s">
        <v>998</v>
      </c>
      <c r="E111" s="73" t="s">
        <v>712</v>
      </c>
      <c r="F111" s="73" t="s">
        <v>712</v>
      </c>
      <c r="G111" s="73" t="s">
        <v>1003</v>
      </c>
      <c r="H111" s="71" t="s">
        <v>1004</v>
      </c>
      <c r="I111" s="87"/>
      <c r="J111" s="85"/>
      <c r="K111" s="85"/>
      <c r="L111" s="85"/>
      <c r="M111" s="85"/>
      <c r="N111" s="85"/>
      <c r="O111" s="85"/>
      <c r="P111" s="85"/>
      <c r="Q111" s="100">
        <v>0.33</v>
      </c>
      <c r="R111" s="75">
        <v>0</v>
      </c>
      <c r="S111" s="76"/>
      <c r="T111" s="76">
        <v>0</v>
      </c>
      <c r="U111" s="85"/>
      <c r="V111" s="85"/>
      <c r="W111" s="85"/>
      <c r="X111" s="85"/>
      <c r="Y111" s="76"/>
      <c r="Z111" s="76"/>
      <c r="AA111" s="76"/>
      <c r="AB111" s="76"/>
      <c r="AC111" s="77"/>
      <c r="AD111" s="75"/>
      <c r="AE111" s="75"/>
      <c r="AF111" s="75"/>
      <c r="AG111" s="75">
        <v>0</v>
      </c>
      <c r="AH111" s="75"/>
      <c r="AI111" s="75">
        <v>0</v>
      </c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 t="s">
        <v>689</v>
      </c>
      <c r="AX111" s="10" t="s">
        <v>258</v>
      </c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>
        <v>0</v>
      </c>
      <c r="BP111" s="16">
        <v>0</v>
      </c>
      <c r="BQ111" s="16">
        <v>0</v>
      </c>
      <c r="BR111" s="16">
        <v>0</v>
      </c>
      <c r="BS111" s="17">
        <v>0</v>
      </c>
      <c r="BT111" s="17">
        <v>0</v>
      </c>
      <c r="BU111" s="17">
        <v>0</v>
      </c>
      <c r="BV111" s="17">
        <v>0</v>
      </c>
    </row>
    <row r="112" spans="1:74" ht="17.399999999999999" x14ac:dyDescent="0.25">
      <c r="A112" s="69">
        <v>270</v>
      </c>
      <c r="B112" s="73" t="s">
        <v>1022</v>
      </c>
      <c r="C112" s="73" t="s">
        <v>243</v>
      </c>
      <c r="D112" s="73" t="s">
        <v>998</v>
      </c>
      <c r="E112" s="73" t="s">
        <v>712</v>
      </c>
      <c r="F112" s="73" t="s">
        <v>712</v>
      </c>
      <c r="G112" s="71" t="s">
        <v>273</v>
      </c>
      <c r="H112" s="71" t="s">
        <v>626</v>
      </c>
      <c r="I112" s="87">
        <v>2402</v>
      </c>
      <c r="J112" s="85"/>
      <c r="K112" s="85"/>
      <c r="L112" s="85"/>
      <c r="M112" s="85"/>
      <c r="N112" s="85"/>
      <c r="O112" s="85"/>
      <c r="P112" s="85"/>
      <c r="Q112" s="100">
        <v>0.13</v>
      </c>
      <c r="R112" s="75">
        <v>0</v>
      </c>
      <c r="S112" s="76"/>
      <c r="T112" s="76">
        <v>0</v>
      </c>
      <c r="U112" s="85"/>
      <c r="V112" s="85"/>
      <c r="W112" s="85"/>
      <c r="X112" s="85"/>
      <c r="Y112" s="76"/>
      <c r="Z112" s="76"/>
      <c r="AA112" s="76"/>
      <c r="AB112" s="76"/>
      <c r="AC112" s="77"/>
      <c r="AD112" s="75"/>
      <c r="AE112" s="75"/>
      <c r="AF112" s="75"/>
      <c r="AG112" s="75">
        <v>0</v>
      </c>
      <c r="AH112" s="75"/>
      <c r="AI112" s="75">
        <v>0</v>
      </c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 t="s">
        <v>689</v>
      </c>
      <c r="AX112" s="19" t="s">
        <v>261</v>
      </c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>
        <v>0</v>
      </c>
      <c r="BP112" s="27">
        <v>0</v>
      </c>
      <c r="BQ112" s="27">
        <v>0</v>
      </c>
      <c r="BR112" s="27">
        <v>0</v>
      </c>
      <c r="BS112" s="28">
        <v>0</v>
      </c>
      <c r="BT112" s="28">
        <v>0</v>
      </c>
      <c r="BU112" s="28">
        <v>0</v>
      </c>
      <c r="BV112" s="28">
        <v>0</v>
      </c>
    </row>
    <row r="113" spans="1:74" ht="17.399999999999999" x14ac:dyDescent="0.25">
      <c r="A113" s="69">
        <v>271</v>
      </c>
      <c r="B113" s="73" t="s">
        <v>1022</v>
      </c>
      <c r="C113" s="73" t="s">
        <v>243</v>
      </c>
      <c r="D113" s="73" t="s">
        <v>998</v>
      </c>
      <c r="E113" s="73" t="s">
        <v>712</v>
      </c>
      <c r="F113" s="73" t="s">
        <v>712</v>
      </c>
      <c r="G113" s="71" t="s">
        <v>273</v>
      </c>
      <c r="H113" s="71" t="s">
        <v>274</v>
      </c>
      <c r="I113" s="87">
        <v>2402</v>
      </c>
      <c r="J113" s="85"/>
      <c r="K113" s="85"/>
      <c r="L113" s="85"/>
      <c r="M113" s="85"/>
      <c r="N113" s="85"/>
      <c r="O113" s="85"/>
      <c r="P113" s="85"/>
      <c r="Q113" s="100">
        <v>0.16</v>
      </c>
      <c r="R113" s="75">
        <v>0</v>
      </c>
      <c r="S113" s="76"/>
      <c r="T113" s="76">
        <v>0</v>
      </c>
      <c r="U113" s="85"/>
      <c r="V113" s="85"/>
      <c r="W113" s="85"/>
      <c r="X113" s="85"/>
      <c r="Y113" s="76"/>
      <c r="Z113" s="76"/>
      <c r="AA113" s="76"/>
      <c r="AB113" s="76"/>
      <c r="AC113" s="77"/>
      <c r="AD113" s="75"/>
      <c r="AE113" s="75"/>
      <c r="AF113" s="75"/>
      <c r="AG113" s="75">
        <v>0</v>
      </c>
      <c r="AH113" s="75"/>
      <c r="AI113" s="75">
        <v>0</v>
      </c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 t="s">
        <v>689</v>
      </c>
      <c r="AX113" s="10" t="s">
        <v>261</v>
      </c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>
        <v>0</v>
      </c>
      <c r="BP113" s="16">
        <v>0</v>
      </c>
      <c r="BQ113" s="16">
        <v>0</v>
      </c>
      <c r="BR113" s="16">
        <v>0</v>
      </c>
      <c r="BS113" s="17">
        <v>0</v>
      </c>
      <c r="BT113" s="17">
        <v>0</v>
      </c>
      <c r="BU113" s="17">
        <v>0</v>
      </c>
      <c r="BV113" s="17">
        <v>0</v>
      </c>
    </row>
    <row r="114" spans="1:74" ht="17.399999999999999" x14ac:dyDescent="0.25">
      <c r="A114" s="69">
        <v>272</v>
      </c>
      <c r="B114" s="73" t="s">
        <v>1022</v>
      </c>
      <c r="C114" s="73" t="s">
        <v>243</v>
      </c>
      <c r="D114" s="73" t="s">
        <v>998</v>
      </c>
      <c r="E114" s="73" t="s">
        <v>712</v>
      </c>
      <c r="F114" s="73" t="s">
        <v>712</v>
      </c>
      <c r="G114" s="73" t="s">
        <v>277</v>
      </c>
      <c r="H114" s="71" t="s">
        <v>278</v>
      </c>
      <c r="I114" s="87">
        <v>2402</v>
      </c>
      <c r="J114" s="85"/>
      <c r="K114" s="85"/>
      <c r="L114" s="85"/>
      <c r="M114" s="85"/>
      <c r="N114" s="85"/>
      <c r="O114" s="85"/>
      <c r="P114" s="85"/>
      <c r="Q114" s="100">
        <v>0.16</v>
      </c>
      <c r="R114" s="75">
        <v>64000</v>
      </c>
      <c r="S114" s="76"/>
      <c r="T114" s="76">
        <v>400000</v>
      </c>
      <c r="U114" s="85"/>
      <c r="V114" s="85"/>
      <c r="W114" s="85"/>
      <c r="X114" s="85"/>
      <c r="Y114" s="76">
        <v>100000</v>
      </c>
      <c r="Z114" s="76">
        <v>100000</v>
      </c>
      <c r="AA114" s="76">
        <v>100000</v>
      </c>
      <c r="AB114" s="76">
        <v>100000</v>
      </c>
      <c r="AC114" s="77">
        <v>100000</v>
      </c>
      <c r="AD114" s="75">
        <v>100000</v>
      </c>
      <c r="AE114" s="75">
        <v>100000</v>
      </c>
      <c r="AF114" s="75">
        <v>100000</v>
      </c>
      <c r="AG114" s="75">
        <v>100000</v>
      </c>
      <c r="AH114" s="75"/>
      <c r="AI114" s="75">
        <v>0</v>
      </c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 t="s">
        <v>689</v>
      </c>
      <c r="AX114" s="19" t="s">
        <v>261</v>
      </c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>
        <v>16000</v>
      </c>
      <c r="BP114" s="27">
        <v>16000</v>
      </c>
      <c r="BQ114" s="27">
        <v>16000</v>
      </c>
      <c r="BR114" s="27">
        <v>16000</v>
      </c>
      <c r="BS114" s="28">
        <v>16000</v>
      </c>
      <c r="BT114" s="28">
        <v>16000</v>
      </c>
      <c r="BU114" s="28">
        <v>16000</v>
      </c>
      <c r="BV114" s="28">
        <v>16000</v>
      </c>
    </row>
    <row r="115" spans="1:74" ht="17.399999999999999" x14ac:dyDescent="0.25">
      <c r="A115" s="69">
        <v>273</v>
      </c>
      <c r="B115" s="73" t="s">
        <v>1023</v>
      </c>
      <c r="C115" s="73" t="s">
        <v>243</v>
      </c>
      <c r="D115" s="73" t="s">
        <v>998</v>
      </c>
      <c r="E115" s="73" t="s">
        <v>712</v>
      </c>
      <c r="F115" s="73" t="s">
        <v>712</v>
      </c>
      <c r="G115" s="73" t="s">
        <v>920</v>
      </c>
      <c r="H115" s="86" t="s">
        <v>921</v>
      </c>
      <c r="I115" s="87"/>
      <c r="J115" s="85"/>
      <c r="K115" s="85"/>
      <c r="L115" s="85"/>
      <c r="M115" s="85"/>
      <c r="N115" s="85"/>
      <c r="O115" s="85"/>
      <c r="P115" s="85"/>
      <c r="Q115" s="100">
        <v>0.22</v>
      </c>
      <c r="R115" s="75">
        <v>0</v>
      </c>
      <c r="S115" s="76"/>
      <c r="T115" s="76">
        <v>0</v>
      </c>
      <c r="U115" s="85"/>
      <c r="V115" s="85"/>
      <c r="W115" s="85"/>
      <c r="X115" s="85"/>
      <c r="Y115" s="76"/>
      <c r="Z115" s="76"/>
      <c r="AA115" s="76"/>
      <c r="AB115" s="76"/>
      <c r="AC115" s="77"/>
      <c r="AD115" s="75"/>
      <c r="AE115" s="75"/>
      <c r="AF115" s="75"/>
      <c r="AG115" s="75">
        <v>0</v>
      </c>
      <c r="AH115" s="75"/>
      <c r="AI115" s="75">
        <v>0</v>
      </c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 t="s">
        <v>689</v>
      </c>
      <c r="AX115" s="10" t="s">
        <v>261</v>
      </c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>
        <v>0</v>
      </c>
      <c r="BP115" s="16">
        <v>0</v>
      </c>
      <c r="BQ115" s="16">
        <v>0</v>
      </c>
      <c r="BR115" s="16">
        <v>0</v>
      </c>
      <c r="BS115" s="17">
        <v>0</v>
      </c>
      <c r="BT115" s="17">
        <v>0</v>
      </c>
      <c r="BU115" s="17">
        <v>0</v>
      </c>
      <c r="BV115" s="17">
        <v>0</v>
      </c>
    </row>
    <row r="116" spans="1:74" ht="17.399999999999999" x14ac:dyDescent="0.25">
      <c r="A116" s="69">
        <v>274</v>
      </c>
      <c r="B116" s="73" t="s">
        <v>1024</v>
      </c>
      <c r="C116" s="73" t="s">
        <v>243</v>
      </c>
      <c r="D116" s="73" t="s">
        <v>998</v>
      </c>
      <c r="E116" s="73" t="s">
        <v>712</v>
      </c>
      <c r="F116" s="73" t="s">
        <v>712</v>
      </c>
      <c r="G116" s="73" t="s">
        <v>434</v>
      </c>
      <c r="H116" s="71" t="s">
        <v>435</v>
      </c>
      <c r="I116" s="87"/>
      <c r="J116" s="85"/>
      <c r="K116" s="85"/>
      <c r="L116" s="85"/>
      <c r="M116" s="85"/>
      <c r="N116" s="85"/>
      <c r="O116" s="85"/>
      <c r="P116" s="85"/>
      <c r="Q116" s="104">
        <v>2.9</v>
      </c>
      <c r="R116" s="75">
        <v>58000</v>
      </c>
      <c r="S116" s="76"/>
      <c r="T116" s="76">
        <v>20000</v>
      </c>
      <c r="U116" s="85">
        <v>10000</v>
      </c>
      <c r="V116" s="85">
        <v>10000</v>
      </c>
      <c r="W116" s="85"/>
      <c r="X116" s="85">
        <v>10000</v>
      </c>
      <c r="Y116" s="76">
        <v>10000</v>
      </c>
      <c r="Z116" s="76"/>
      <c r="AA116" s="76">
        <v>10000</v>
      </c>
      <c r="AB116" s="76"/>
      <c r="AC116" s="77">
        <v>10000</v>
      </c>
      <c r="AD116" s="75"/>
      <c r="AE116" s="75">
        <v>10000</v>
      </c>
      <c r="AF116" s="75"/>
      <c r="AG116" s="75">
        <v>10000</v>
      </c>
      <c r="AH116" s="75"/>
      <c r="AI116" s="75">
        <v>0</v>
      </c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 t="s">
        <v>689</v>
      </c>
      <c r="AX116" s="19" t="s">
        <v>371</v>
      </c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>
        <v>29000</v>
      </c>
      <c r="BP116" s="27">
        <v>0</v>
      </c>
      <c r="BQ116" s="27">
        <v>29000</v>
      </c>
      <c r="BR116" s="27">
        <v>0</v>
      </c>
      <c r="BS116" s="28">
        <v>29000</v>
      </c>
      <c r="BT116" s="28">
        <v>0</v>
      </c>
      <c r="BU116" s="28">
        <v>29000</v>
      </c>
      <c r="BV116" s="28">
        <v>0</v>
      </c>
    </row>
    <row r="117" spans="1:74" ht="17.399999999999999" x14ac:dyDescent="0.25">
      <c r="A117" s="69">
        <v>275</v>
      </c>
      <c r="B117" s="73" t="s">
        <v>1024</v>
      </c>
      <c r="C117" s="73" t="s">
        <v>243</v>
      </c>
      <c r="D117" s="73" t="s">
        <v>998</v>
      </c>
      <c r="E117" s="73" t="s">
        <v>712</v>
      </c>
      <c r="F117" s="73" t="s">
        <v>712</v>
      </c>
      <c r="G117" s="73" t="s">
        <v>553</v>
      </c>
      <c r="H117" s="71" t="s">
        <v>554</v>
      </c>
      <c r="I117" s="87"/>
      <c r="J117" s="85"/>
      <c r="K117" s="85"/>
      <c r="L117" s="85"/>
      <c r="M117" s="85"/>
      <c r="N117" s="85"/>
      <c r="O117" s="85"/>
      <c r="P117" s="85"/>
      <c r="Q117" s="104">
        <v>2.5</v>
      </c>
      <c r="R117" s="75">
        <v>0</v>
      </c>
      <c r="S117" s="76"/>
      <c r="T117" s="76">
        <v>0</v>
      </c>
      <c r="U117" s="85"/>
      <c r="V117" s="85"/>
      <c r="W117" s="85"/>
      <c r="X117" s="85"/>
      <c r="Y117" s="76"/>
      <c r="Z117" s="76"/>
      <c r="AA117" s="76"/>
      <c r="AB117" s="76"/>
      <c r="AC117" s="77"/>
      <c r="AD117" s="75"/>
      <c r="AE117" s="75"/>
      <c r="AF117" s="75"/>
      <c r="AG117" s="75">
        <v>0</v>
      </c>
      <c r="AH117" s="75"/>
      <c r="AI117" s="75">
        <v>0</v>
      </c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 t="s">
        <v>689</v>
      </c>
      <c r="AX117" s="10" t="s">
        <v>386</v>
      </c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>
        <v>0</v>
      </c>
      <c r="BP117" s="16">
        <v>0</v>
      </c>
      <c r="BQ117" s="16">
        <v>0</v>
      </c>
      <c r="BR117" s="16">
        <v>0</v>
      </c>
      <c r="BS117" s="17">
        <v>0</v>
      </c>
      <c r="BT117" s="17">
        <v>0</v>
      </c>
      <c r="BU117" s="17">
        <v>0</v>
      </c>
      <c r="BV117" s="17">
        <v>0</v>
      </c>
    </row>
    <row r="118" spans="1:74" ht="17.399999999999999" x14ac:dyDescent="0.25">
      <c r="A118" s="69">
        <v>276</v>
      </c>
      <c r="B118" s="73" t="s">
        <v>1025</v>
      </c>
      <c r="C118" s="73" t="s">
        <v>243</v>
      </c>
      <c r="D118" s="73" t="s">
        <v>998</v>
      </c>
      <c r="E118" s="73" t="s">
        <v>712</v>
      </c>
      <c r="F118" s="73" t="s">
        <v>712</v>
      </c>
      <c r="G118" s="86" t="s">
        <v>577</v>
      </c>
      <c r="H118" s="71" t="s">
        <v>737</v>
      </c>
      <c r="I118" s="87"/>
      <c r="J118" s="85"/>
      <c r="K118" s="85"/>
      <c r="L118" s="85"/>
      <c r="M118" s="85"/>
      <c r="N118" s="85"/>
      <c r="O118" s="85"/>
      <c r="P118" s="85"/>
      <c r="Q118" s="100">
        <v>0.33</v>
      </c>
      <c r="R118" s="75">
        <v>118800</v>
      </c>
      <c r="S118" s="76">
        <v>0</v>
      </c>
      <c r="T118" s="76">
        <v>360000</v>
      </c>
      <c r="U118" s="85"/>
      <c r="V118" s="85"/>
      <c r="W118" s="85"/>
      <c r="X118" s="85"/>
      <c r="Y118" s="76">
        <v>90000</v>
      </c>
      <c r="Z118" s="76">
        <v>90000</v>
      </c>
      <c r="AA118" s="76">
        <v>90000</v>
      </c>
      <c r="AB118" s="76">
        <v>90000</v>
      </c>
      <c r="AC118" s="77">
        <v>90000</v>
      </c>
      <c r="AD118" s="75">
        <v>90000</v>
      </c>
      <c r="AE118" s="75">
        <v>90000</v>
      </c>
      <c r="AF118" s="75">
        <v>90000</v>
      </c>
      <c r="AG118" s="75">
        <v>90000</v>
      </c>
      <c r="AH118" s="75"/>
      <c r="AI118" s="75">
        <v>0</v>
      </c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 t="s">
        <v>689</v>
      </c>
      <c r="AX118" s="19" t="s">
        <v>261</v>
      </c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>
        <v>29700</v>
      </c>
      <c r="BP118" s="27">
        <v>29700</v>
      </c>
      <c r="BQ118" s="27">
        <v>29700</v>
      </c>
      <c r="BR118" s="27">
        <v>29700</v>
      </c>
      <c r="BS118" s="28">
        <v>29700</v>
      </c>
      <c r="BT118" s="28">
        <v>29700</v>
      </c>
      <c r="BU118" s="28">
        <v>29700</v>
      </c>
      <c r="BV118" s="28">
        <v>29700</v>
      </c>
    </row>
    <row r="119" spans="1:74" ht="17.399999999999999" x14ac:dyDescent="0.25">
      <c r="A119" s="69">
        <v>277</v>
      </c>
      <c r="B119" s="73" t="s">
        <v>1026</v>
      </c>
      <c r="C119" s="73" t="s">
        <v>243</v>
      </c>
      <c r="D119" s="73" t="s">
        <v>998</v>
      </c>
      <c r="E119" s="73" t="s">
        <v>712</v>
      </c>
      <c r="F119" s="73" t="s">
        <v>712</v>
      </c>
      <c r="G119" s="86" t="s">
        <v>577</v>
      </c>
      <c r="H119" s="71" t="s">
        <v>737</v>
      </c>
      <c r="I119" s="87"/>
      <c r="J119" s="85"/>
      <c r="K119" s="85"/>
      <c r="L119" s="85"/>
      <c r="M119" s="85"/>
      <c r="N119" s="85"/>
      <c r="O119" s="85"/>
      <c r="P119" s="85"/>
      <c r="Q119" s="100">
        <v>0.33</v>
      </c>
      <c r="R119" s="75">
        <v>79200</v>
      </c>
      <c r="S119" s="76">
        <v>0</v>
      </c>
      <c r="T119" s="76">
        <v>240000</v>
      </c>
      <c r="U119" s="85"/>
      <c r="V119" s="85"/>
      <c r="W119" s="85"/>
      <c r="X119" s="85"/>
      <c r="Y119" s="76">
        <v>60000</v>
      </c>
      <c r="Z119" s="76">
        <v>60000</v>
      </c>
      <c r="AA119" s="76">
        <v>60000</v>
      </c>
      <c r="AB119" s="76">
        <v>60000</v>
      </c>
      <c r="AC119" s="77">
        <v>60000</v>
      </c>
      <c r="AD119" s="75">
        <v>60000</v>
      </c>
      <c r="AE119" s="75">
        <v>60000</v>
      </c>
      <c r="AF119" s="75">
        <v>60000</v>
      </c>
      <c r="AG119" s="75">
        <v>60000</v>
      </c>
      <c r="AH119" s="75"/>
      <c r="AI119" s="75">
        <v>0</v>
      </c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 t="s">
        <v>689</v>
      </c>
      <c r="AX119" s="10" t="s">
        <v>261</v>
      </c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>
        <v>19800</v>
      </c>
      <c r="BP119" s="16">
        <v>19800</v>
      </c>
      <c r="BQ119" s="16">
        <v>19800</v>
      </c>
      <c r="BR119" s="16">
        <v>19800</v>
      </c>
      <c r="BS119" s="17">
        <v>19800</v>
      </c>
      <c r="BT119" s="17">
        <v>19800</v>
      </c>
      <c r="BU119" s="17">
        <v>19800</v>
      </c>
      <c r="BV119" s="17">
        <v>19800</v>
      </c>
    </row>
    <row r="120" spans="1:74" ht="17.399999999999999" x14ac:dyDescent="0.25">
      <c r="A120" s="69">
        <v>278</v>
      </c>
      <c r="B120" s="73" t="s">
        <v>1026</v>
      </c>
      <c r="C120" s="73" t="s">
        <v>243</v>
      </c>
      <c r="D120" s="73" t="s">
        <v>998</v>
      </c>
      <c r="E120" s="73" t="s">
        <v>712</v>
      </c>
      <c r="F120" s="73" t="s">
        <v>712</v>
      </c>
      <c r="G120" s="71" t="s">
        <v>273</v>
      </c>
      <c r="H120" s="71" t="s">
        <v>274</v>
      </c>
      <c r="I120" s="87">
        <v>2402</v>
      </c>
      <c r="J120" s="85"/>
      <c r="K120" s="85"/>
      <c r="L120" s="85"/>
      <c r="M120" s="85"/>
      <c r="N120" s="85"/>
      <c r="O120" s="85"/>
      <c r="P120" s="85"/>
      <c r="Q120" s="100">
        <v>0.16</v>
      </c>
      <c r="R120" s="75">
        <v>0</v>
      </c>
      <c r="S120" s="76"/>
      <c r="T120" s="76">
        <v>0</v>
      </c>
      <c r="U120" s="85"/>
      <c r="V120" s="85"/>
      <c r="W120" s="85"/>
      <c r="X120" s="85"/>
      <c r="Y120" s="76"/>
      <c r="Z120" s="76"/>
      <c r="AA120" s="76"/>
      <c r="AB120" s="76"/>
      <c r="AC120" s="77"/>
      <c r="AD120" s="75"/>
      <c r="AE120" s="75"/>
      <c r="AF120" s="75"/>
      <c r="AG120" s="75">
        <v>0</v>
      </c>
      <c r="AH120" s="75"/>
      <c r="AI120" s="75">
        <v>0</v>
      </c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 t="s">
        <v>689</v>
      </c>
      <c r="AX120" s="19" t="s">
        <v>261</v>
      </c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>
        <v>0</v>
      </c>
      <c r="BP120" s="27">
        <v>0</v>
      </c>
      <c r="BQ120" s="27">
        <v>0</v>
      </c>
      <c r="BR120" s="27">
        <v>0</v>
      </c>
      <c r="BS120" s="28">
        <v>0</v>
      </c>
      <c r="BT120" s="28">
        <v>0</v>
      </c>
      <c r="BU120" s="28">
        <v>0</v>
      </c>
      <c r="BV120" s="28">
        <v>0</v>
      </c>
    </row>
    <row r="121" spans="1:74" ht="17.399999999999999" x14ac:dyDescent="0.25">
      <c r="A121" s="69">
        <v>279</v>
      </c>
      <c r="B121" s="73" t="s">
        <v>1027</v>
      </c>
      <c r="C121" s="73" t="s">
        <v>243</v>
      </c>
      <c r="D121" s="73" t="s">
        <v>998</v>
      </c>
      <c r="E121" s="73" t="s">
        <v>712</v>
      </c>
      <c r="F121" s="73" t="s">
        <v>712</v>
      </c>
      <c r="G121" s="71" t="s">
        <v>1006</v>
      </c>
      <c r="H121" s="71" t="s">
        <v>1007</v>
      </c>
      <c r="I121" s="87" t="s">
        <v>1008</v>
      </c>
      <c r="J121" s="85"/>
      <c r="K121" s="85"/>
      <c r="L121" s="85"/>
      <c r="M121" s="85"/>
      <c r="N121" s="85"/>
      <c r="O121" s="85"/>
      <c r="P121" s="85"/>
      <c r="Q121" s="100">
        <v>0.25</v>
      </c>
      <c r="R121" s="75">
        <v>0</v>
      </c>
      <c r="S121" s="76"/>
      <c r="T121" s="76">
        <v>0</v>
      </c>
      <c r="U121" s="85"/>
      <c r="V121" s="85"/>
      <c r="W121" s="85"/>
      <c r="X121" s="85"/>
      <c r="Y121" s="76"/>
      <c r="Z121" s="76"/>
      <c r="AA121" s="76"/>
      <c r="AB121" s="76"/>
      <c r="AC121" s="77"/>
      <c r="AD121" s="75"/>
      <c r="AE121" s="75"/>
      <c r="AF121" s="75"/>
      <c r="AG121" s="75">
        <v>0</v>
      </c>
      <c r="AH121" s="75"/>
      <c r="AI121" s="75">
        <v>0</v>
      </c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 t="s">
        <v>689</v>
      </c>
      <c r="AX121" s="10" t="s">
        <v>261</v>
      </c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>
        <v>0</v>
      </c>
      <c r="BP121" s="16">
        <v>0</v>
      </c>
      <c r="BQ121" s="16">
        <v>0</v>
      </c>
      <c r="BR121" s="16">
        <v>0</v>
      </c>
      <c r="BS121" s="17">
        <v>0</v>
      </c>
      <c r="BT121" s="17">
        <v>0</v>
      </c>
      <c r="BU121" s="17">
        <v>0</v>
      </c>
      <c r="BV121" s="17">
        <v>0</v>
      </c>
    </row>
    <row r="122" spans="1:74" ht="17.399999999999999" x14ac:dyDescent="0.25">
      <c r="A122" s="69">
        <v>280</v>
      </c>
      <c r="B122" s="73" t="s">
        <v>1028</v>
      </c>
      <c r="C122" s="73" t="s">
        <v>243</v>
      </c>
      <c r="D122" s="73" t="s">
        <v>998</v>
      </c>
      <c r="E122" s="73" t="s">
        <v>712</v>
      </c>
      <c r="F122" s="73" t="s">
        <v>712</v>
      </c>
      <c r="G122" s="73" t="s">
        <v>349</v>
      </c>
      <c r="H122" s="71" t="s">
        <v>300</v>
      </c>
      <c r="I122" s="87">
        <v>2466</v>
      </c>
      <c r="J122" s="85"/>
      <c r="K122" s="85"/>
      <c r="L122" s="85"/>
      <c r="M122" s="85"/>
      <c r="N122" s="85"/>
      <c r="O122" s="85"/>
      <c r="P122" s="85"/>
      <c r="Q122" s="100">
        <v>0.3</v>
      </c>
      <c r="R122" s="75">
        <v>0</v>
      </c>
      <c r="S122" s="76"/>
      <c r="T122" s="76">
        <v>0</v>
      </c>
      <c r="U122" s="85"/>
      <c r="V122" s="85"/>
      <c r="W122" s="85"/>
      <c r="X122" s="85"/>
      <c r="Y122" s="76"/>
      <c r="Z122" s="76"/>
      <c r="AA122" s="76"/>
      <c r="AB122" s="76"/>
      <c r="AC122" s="77"/>
      <c r="AD122" s="75"/>
      <c r="AE122" s="75"/>
      <c r="AF122" s="75"/>
      <c r="AG122" s="75">
        <v>0</v>
      </c>
      <c r="AH122" s="75"/>
      <c r="AI122" s="75">
        <v>0</v>
      </c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 t="s">
        <v>689</v>
      </c>
      <c r="AX122" s="19" t="s">
        <v>261</v>
      </c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>
        <v>0</v>
      </c>
      <c r="BP122" s="27">
        <v>0</v>
      </c>
      <c r="BQ122" s="27">
        <v>0</v>
      </c>
      <c r="BR122" s="27">
        <v>0</v>
      </c>
      <c r="BS122" s="28">
        <v>0</v>
      </c>
      <c r="BT122" s="28">
        <v>0</v>
      </c>
      <c r="BU122" s="28">
        <v>0</v>
      </c>
      <c r="BV122" s="28">
        <v>0</v>
      </c>
    </row>
    <row r="123" spans="1:74" ht="17.399999999999999" x14ac:dyDescent="0.25">
      <c r="A123" s="69">
        <v>281</v>
      </c>
      <c r="B123" s="73" t="s">
        <v>1029</v>
      </c>
      <c r="C123" s="73" t="s">
        <v>243</v>
      </c>
      <c r="D123" s="73" t="s">
        <v>998</v>
      </c>
      <c r="E123" s="73" t="s">
        <v>712</v>
      </c>
      <c r="F123" s="73" t="s">
        <v>712</v>
      </c>
      <c r="G123" s="73" t="s">
        <v>1009</v>
      </c>
      <c r="H123" s="71" t="s">
        <v>1010</v>
      </c>
      <c r="I123" s="87">
        <v>2546</v>
      </c>
      <c r="J123" s="85"/>
      <c r="K123" s="85"/>
      <c r="L123" s="85"/>
      <c r="M123" s="85"/>
      <c r="N123" s="85"/>
      <c r="O123" s="85"/>
      <c r="P123" s="85"/>
      <c r="Q123" s="100">
        <v>1.2</v>
      </c>
      <c r="R123" s="75">
        <v>0</v>
      </c>
      <c r="S123" s="76"/>
      <c r="T123" s="76">
        <v>0</v>
      </c>
      <c r="U123" s="85"/>
      <c r="V123" s="85"/>
      <c r="W123" s="85"/>
      <c r="X123" s="85"/>
      <c r="Y123" s="76"/>
      <c r="Z123" s="76"/>
      <c r="AA123" s="76"/>
      <c r="AB123" s="76"/>
      <c r="AC123" s="77"/>
      <c r="AD123" s="75"/>
      <c r="AE123" s="75"/>
      <c r="AF123" s="75"/>
      <c r="AG123" s="75">
        <v>0</v>
      </c>
      <c r="AH123" s="75"/>
      <c r="AI123" s="75">
        <v>0</v>
      </c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 t="s">
        <v>689</v>
      </c>
      <c r="AX123" s="10" t="s">
        <v>258</v>
      </c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>
        <v>0</v>
      </c>
      <c r="BP123" s="16">
        <v>0</v>
      </c>
      <c r="BQ123" s="16">
        <v>0</v>
      </c>
      <c r="BR123" s="16">
        <v>0</v>
      </c>
      <c r="BS123" s="17">
        <v>0</v>
      </c>
      <c r="BT123" s="17">
        <v>0</v>
      </c>
      <c r="BU123" s="17">
        <v>0</v>
      </c>
      <c r="BV123" s="17">
        <v>0</v>
      </c>
    </row>
    <row r="124" spans="1:74" ht="17.399999999999999" x14ac:dyDescent="0.25">
      <c r="A124" s="69">
        <v>282</v>
      </c>
      <c r="B124" s="73" t="s">
        <v>1030</v>
      </c>
      <c r="C124" s="73" t="s">
        <v>243</v>
      </c>
      <c r="D124" s="73" t="s">
        <v>998</v>
      </c>
      <c r="E124" s="73" t="s">
        <v>712</v>
      </c>
      <c r="F124" s="73" t="s">
        <v>712</v>
      </c>
      <c r="G124" s="73" t="s">
        <v>357</v>
      </c>
      <c r="H124" s="70" t="s">
        <v>358</v>
      </c>
      <c r="I124" s="87">
        <v>2442</v>
      </c>
      <c r="J124" s="85"/>
      <c r="K124" s="85"/>
      <c r="L124" s="85"/>
      <c r="M124" s="85"/>
      <c r="N124" s="85"/>
      <c r="O124" s="85"/>
      <c r="P124" s="85"/>
      <c r="Q124" s="100">
        <v>0.28000000000000003</v>
      </c>
      <c r="R124" s="75">
        <v>100800.00000000001</v>
      </c>
      <c r="S124" s="76"/>
      <c r="T124" s="76">
        <v>360000</v>
      </c>
      <c r="U124" s="85"/>
      <c r="V124" s="85"/>
      <c r="W124" s="85"/>
      <c r="X124" s="85"/>
      <c r="Y124" s="76"/>
      <c r="Z124" s="76">
        <v>90000</v>
      </c>
      <c r="AA124" s="76">
        <v>90000</v>
      </c>
      <c r="AB124" s="76">
        <v>90000</v>
      </c>
      <c r="AC124" s="77">
        <v>90000</v>
      </c>
      <c r="AD124" s="75">
        <v>90000</v>
      </c>
      <c r="AE124" s="75">
        <v>90000</v>
      </c>
      <c r="AF124" s="75">
        <v>90000</v>
      </c>
      <c r="AG124" s="75">
        <v>90000</v>
      </c>
      <c r="AH124" s="75"/>
      <c r="AI124" s="75">
        <v>0</v>
      </c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 t="s">
        <v>689</v>
      </c>
      <c r="AX124" s="19" t="s">
        <v>261</v>
      </c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>
        <v>0</v>
      </c>
      <c r="BP124" s="27">
        <v>25200.000000000004</v>
      </c>
      <c r="BQ124" s="27">
        <v>25200.000000000004</v>
      </c>
      <c r="BR124" s="27">
        <v>25200.000000000004</v>
      </c>
      <c r="BS124" s="28">
        <v>25200.000000000004</v>
      </c>
      <c r="BT124" s="28">
        <v>25200.000000000004</v>
      </c>
      <c r="BU124" s="28">
        <v>25200.000000000004</v>
      </c>
      <c r="BV124" s="28">
        <v>25200.000000000004</v>
      </c>
    </row>
    <row r="125" spans="1:74" ht="17.399999999999999" x14ac:dyDescent="0.25">
      <c r="A125" s="69">
        <v>283</v>
      </c>
      <c r="B125" s="73" t="s">
        <v>1031</v>
      </c>
      <c r="C125" s="73" t="s">
        <v>243</v>
      </c>
      <c r="D125" s="73" t="s">
        <v>998</v>
      </c>
      <c r="E125" s="73" t="s">
        <v>712</v>
      </c>
      <c r="F125" s="73" t="s">
        <v>712</v>
      </c>
      <c r="G125" s="73" t="s">
        <v>357</v>
      </c>
      <c r="H125" s="70" t="s">
        <v>358</v>
      </c>
      <c r="I125" s="87">
        <v>2442</v>
      </c>
      <c r="J125" s="85"/>
      <c r="K125" s="85"/>
      <c r="L125" s="85"/>
      <c r="M125" s="85"/>
      <c r="N125" s="85"/>
      <c r="O125" s="85"/>
      <c r="P125" s="85"/>
      <c r="Q125" s="100">
        <v>0.28000000000000003</v>
      </c>
      <c r="R125" s="75">
        <v>67200</v>
      </c>
      <c r="S125" s="76"/>
      <c r="T125" s="76">
        <v>240000</v>
      </c>
      <c r="U125" s="85"/>
      <c r="V125" s="85"/>
      <c r="W125" s="85"/>
      <c r="X125" s="85"/>
      <c r="Y125" s="76"/>
      <c r="Z125" s="76">
        <v>60000</v>
      </c>
      <c r="AA125" s="76">
        <v>60000</v>
      </c>
      <c r="AB125" s="76">
        <v>60000</v>
      </c>
      <c r="AC125" s="77">
        <v>60000</v>
      </c>
      <c r="AD125" s="75">
        <v>60000</v>
      </c>
      <c r="AE125" s="75">
        <v>60000</v>
      </c>
      <c r="AF125" s="75">
        <v>60000</v>
      </c>
      <c r="AG125" s="75">
        <v>60000</v>
      </c>
      <c r="AH125" s="75"/>
      <c r="AI125" s="75">
        <v>0</v>
      </c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 t="s">
        <v>689</v>
      </c>
      <c r="AX125" s="10" t="s">
        <v>261</v>
      </c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>
        <v>0</v>
      </c>
      <c r="BP125" s="16">
        <v>16800</v>
      </c>
      <c r="BQ125" s="16">
        <v>16800</v>
      </c>
      <c r="BR125" s="16">
        <v>16800</v>
      </c>
      <c r="BS125" s="17">
        <v>16800</v>
      </c>
      <c r="BT125" s="17">
        <v>16800</v>
      </c>
      <c r="BU125" s="17">
        <v>16800</v>
      </c>
      <c r="BV125" s="17">
        <v>16800</v>
      </c>
    </row>
    <row r="126" spans="1:74" ht="17.399999999999999" x14ac:dyDescent="0.25">
      <c r="A126" s="69">
        <v>284</v>
      </c>
      <c r="B126" s="73" t="s">
        <v>1032</v>
      </c>
      <c r="C126" s="73" t="s">
        <v>243</v>
      </c>
      <c r="D126" s="73" t="s">
        <v>998</v>
      </c>
      <c r="E126" s="73" t="s">
        <v>712</v>
      </c>
      <c r="F126" s="73" t="s">
        <v>712</v>
      </c>
      <c r="G126" s="73" t="s">
        <v>357</v>
      </c>
      <c r="H126" s="70" t="s">
        <v>358</v>
      </c>
      <c r="I126" s="87">
        <v>2442</v>
      </c>
      <c r="J126" s="85"/>
      <c r="K126" s="85"/>
      <c r="L126" s="85"/>
      <c r="M126" s="85"/>
      <c r="N126" s="85"/>
      <c r="O126" s="85"/>
      <c r="P126" s="85"/>
      <c r="Q126" s="100">
        <v>0.28000000000000003</v>
      </c>
      <c r="R126" s="75">
        <v>67200</v>
      </c>
      <c r="S126" s="76"/>
      <c r="T126" s="76">
        <v>240000</v>
      </c>
      <c r="U126" s="85"/>
      <c r="V126" s="85"/>
      <c r="W126" s="85"/>
      <c r="X126" s="85"/>
      <c r="Y126" s="76"/>
      <c r="Z126" s="76">
        <v>60000</v>
      </c>
      <c r="AA126" s="76">
        <v>60000</v>
      </c>
      <c r="AB126" s="76">
        <v>60000</v>
      </c>
      <c r="AC126" s="77">
        <v>60000</v>
      </c>
      <c r="AD126" s="75">
        <v>60000</v>
      </c>
      <c r="AE126" s="75">
        <v>60000</v>
      </c>
      <c r="AF126" s="75">
        <v>60000</v>
      </c>
      <c r="AG126" s="75">
        <v>60000</v>
      </c>
      <c r="AH126" s="75"/>
      <c r="AI126" s="75">
        <v>0</v>
      </c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 t="s">
        <v>689</v>
      </c>
      <c r="AX126" s="19" t="s">
        <v>261</v>
      </c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>
        <v>0</v>
      </c>
      <c r="BP126" s="27">
        <v>16800</v>
      </c>
      <c r="BQ126" s="27">
        <v>16800</v>
      </c>
      <c r="BR126" s="27">
        <v>16800</v>
      </c>
      <c r="BS126" s="28">
        <v>16800</v>
      </c>
      <c r="BT126" s="28">
        <v>16800</v>
      </c>
      <c r="BU126" s="28">
        <v>16800</v>
      </c>
      <c r="BV126" s="28">
        <v>16800</v>
      </c>
    </row>
  </sheetData>
  <protectedRanges>
    <protectedRange sqref="F3:F8" name="区域1_17_1"/>
    <protectedRange sqref="E3:E8" name="区域1_13_4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V3:AV8" name="区域1_13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3:B8" name="区域1_5_1_2"/>
    <protectedRange sqref="G3:G7 I3:J8" name="区域1_5_1_1_1"/>
    <protectedRange sqref="L3:L8" name="区域1_5_2_1"/>
    <protectedRange sqref="K3:K8" name="区域1_15_2_1_1_2_1_1"/>
    <protectedRange sqref="M3:M8" name="区域1_11_6_1_1"/>
    <protectedRange sqref="N3" name="区域1_5_3_1"/>
    <protectedRange sqref="N4:N8" name="区域1_5_4_1"/>
    <protectedRange sqref="O3:O8" name="区域1_5_5_1"/>
    <protectedRange sqref="Q3 Q5:Q7" name="区域1_5_6_1"/>
    <protectedRange sqref="BA3:BA4" name="区域1_16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3:AZ3 BB3" name="区域1_20_2_1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B4 AY4:AZ4" name="区域1_21_3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5:BA8" name="区域1_6_1_1_1_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5:AZ8" name="区域1_19_1_1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B5:BB7" name="区域1_3_3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C3" name="区域1_20_2_2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C4" name="区域1_21_3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C5" name="区域1_19_1_1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30:E32 E10:E21 C10:C26 C29:C33 I9:M9 B9:G9" name="区域1_1_3_2"/>
    <protectedRange sqref="O9" name="区域1_4_2_1"/>
    <protectedRange sqref="AN10" name="区域1_6_1_2"/>
    <protectedRange sqref="P30 P14:P16" name="区域1_22_1_1_1"/>
    <protectedRange sqref="F14 L14 BC14:BE14" name="区域1_3_2_1_2_1_4"/>
    <protectedRange sqref="F16 L16 AU16:AV16 BC16:BE16 AJ16:AR16" name="区域1_16_1_1_1_2_1_2"/>
    <protectedRange sqref="B15 B30" name="区域1_10_1_1_2_2_1_1_1"/>
    <protectedRange sqref="D14 D27:D28" name="区域1_3_2_1_2_1_1_1"/>
    <protectedRange sqref="G14 I14:J14" name="区域1_3_2_1_2_1_2_1"/>
    <protectedRange sqref="G16 I16:J16" name="区域1_16_1_1_1_2_1_3_1"/>
    <protectedRange sqref="K14" name="区域1_3_2_1_2_1_3_1"/>
    <protectedRange sqref="K16" name="区域1_16_1_1_1_2_1_4_1"/>
    <protectedRange sqref="M14:M15 M30" name="区域1_10_1_4_2"/>
    <protectedRange sqref="N15 N30" name="区域1_10_1_1_2_2_1_5_1"/>
    <protectedRange sqref="O14" name="区域1_3_2_1_2_1_5_1"/>
    <protectedRange sqref="O16" name="区域1_16_1_1_1_2_1_6_1"/>
    <protectedRange sqref="Q14" name="区域1_3_2_1_2_1_6_1"/>
    <protectedRange sqref="Q16" name="区域1_16_1_1_1_2_1_7_1"/>
    <protectedRange sqref="Z14 AB14 AD14:AE14 AJ14:AU14" name="区域1_3_2_1_2_1_7_1"/>
    <protectedRange sqref="AJ16:AU16" name="区域1_16_1_1_1_2_1_8_2"/>
    <protectedRange sqref="AY31:AY32 AY17 AY19:AY20" name="区域1_9_4_1_12_1"/>
    <protectedRange sqref="BA19:BA20 BA17" name="区域1_16_1_1_1_1"/>
    <protectedRange sqref="BB19:BB20 AY19:AY20 BB17 AY17" name="区域1_16_1_1_1_2_1_11_1"/>
    <protectedRange sqref="BA15" name="区域1_16_1_2_1"/>
    <protectedRange sqref="BF15:BM15 BN15:BN16 BF30:BN30" name="区域1_16_1_1_1_2_1_14_1"/>
    <protectedRange sqref="BF14:BN14" name="区域1_3_2_1_2_1_9_1"/>
    <protectedRange sqref="BF16:BN16" name="区域1_16_1_1_1_2_1_15_1"/>
    <protectedRange sqref="G22 I22:J22" name="区域1_3_2_1_1"/>
    <protectedRange sqref="AJ10:AM10 N9:N13 AJ11:AL11 AN11:AN12 P22:Q24 D22:F23 D24:E24 P25 L10:L13 AO12:AV13 AK27:AV28 AZ26:BN26 AE22:AF22 L26:P28 Z22:AA22 F24:F28 N22:N25 L22:L25 BL31:BN32 AP10:AV11 AJ13:AN13 AJ12:AM12 AJ9:AV9 E25:E29 F10:F13 B10:B13 BL17:BN21 AY27:BN28 AY9:BN13 D10:D13 AC22 AY22:BN25 AJ22:AV26 Z24:AF26 P9:Q13 Q44:Q46 Q50:Q59 Q73:Q78 Q81:Q84 Q87:Q90 Q92:Q98" name="区域1_2_2"/>
    <protectedRange sqref="E30:E32 E10:E21 C10:C26 C29:C33 I9:M9 B9:G9" name="区域1_1_2_2"/>
    <protectedRange sqref="O9" name="区域1_4_3"/>
    <protectedRange sqref="M10:M11 O10:O13 K10:K11" name="区域1_5_7"/>
    <protectedRange sqref="AN10" name="区域1_6_3"/>
    <protectedRange sqref="G22 G25 G27:G28 I22:J22 I25:J25 I27:J28" name="区域1_3_2_2"/>
    <protectedRange sqref="B23" name="区域1_4_4_1"/>
    <protectedRange sqref="G23:G24 I23:J24" name="区域1_4_5_1"/>
    <protectedRange sqref="M29 AZ29 AZ21" name="区域1_1_1_22_7_1"/>
    <protectedRange sqref="U8" name="区域1_13_1_2_1_1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33" name="区域1_1_3_1_1"/>
    <protectedRange sqref="E33" name="区域1_1_2_1_1"/>
    <protectedRange sqref="E34:F34" name="区域1_2_5_1_1"/>
    <protectedRange sqref="Y16" name="区域1_16_1_1_1_2_1_1_1"/>
    <protectedRange sqref="Y16" name="区域1_16_1_1_1_2_1_8_1_1"/>
    <protectedRange sqref="Y24 Y9:AF9" name="区域1_2_1_1"/>
    <protectedRange sqref="X14" name="区域1_3_2_1_2_1_7_2_1_1"/>
    <protectedRange sqref="X24 X9" name="区域1_2_3_1_1"/>
    <protectedRange sqref="U16:X16 Z16:AF16" name="区域1_16_1_1_1_2_1_5_1_1"/>
    <protectedRange sqref="U14:W14 Y14 AA14 AC14 AF14" name="区域1_3_2_1_2_1_7_3_1_1"/>
    <protectedRange sqref="U16:X16 Z16:AF16" name="区域1_16_1_1_1_2_1_8_3_1_1"/>
    <protectedRange sqref="U20:X22 U9:W9 X25:Y26 Y21:Y22 U24:W26 AB22 AD22 AG22 U10:AF13 U23:AF23" name="区域1_2_4_1_1"/>
    <protectedRange sqref="AJ50:AJ56 AJ35:AJ47" name="区域1_4_1_1"/>
    <protectedRange sqref="K60:Q60 B58:B60 AY58:BN60 AJ58:AV60 U58:AF60 K58:P59" name="区域1_3_4_4"/>
    <protectedRange sqref="D60 G62 I62:J62 E60:E72 D58:E59" name="区域1_3_4_2_2"/>
    <protectedRange sqref="G70:G71 L61:L71 G67:G68 G63 G61 O61:P71 I70:J71 I67:J68 I63:J63 I61:J61" name="区域1_3_4_3_2"/>
    <protectedRange sqref="M61:N62 M65:N71" name="区域1_3_1_3_1_1"/>
    <protectedRange sqref="F61:F71" name="区域1_1_1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72:AF73" name="区域1_3_4_1_1_1"/>
    <protectedRange sqref="BB48:BD49" name="区域1_1_1_1"/>
    <protectedRange sqref="E73:E75" name="区域1_3_4_2_2_2"/>
    <protectedRange sqref="F73" name="区域1_4_5_1_16_2_1_2"/>
    <protectedRange sqref="U61:AF71" name="区域1_3_4_1_1_1_4"/>
    <protectedRange sqref="G78:G79 G82" name="区域1_9_1_3_1_4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76" name="区域1_1_1_4_3_1_1"/>
    <protectedRange sqref="G83:G84" name="区域1_3_4_3"/>
    <protectedRange sqref="G87" name="区域1_3_4_2_2_1_1"/>
    <protectedRange sqref="O76:O77" name="区域1_1_1_7_1_1"/>
    <protectedRange sqref="L76:L77" name="区域1_1_1_5_1_1_1"/>
    <protectedRange sqref="N83:P84 L83:L84" name="区域1_3_4_3_1"/>
    <protectedRange sqref="AV76:AV77" name="区域1_1_1_20_1_1_1"/>
    <protectedRange sqref="AV83:AV84 AY83:BA84" name="区域1_3_4_2"/>
    <protectedRange sqref="U83:AH84" name="区域1_3_4_3_2_1"/>
    <protectedRange sqref="G97:H97 E89:E91 E92:F94 C89:C98 G98 I97:J98 E95:E98" name="区域1_3_4_1"/>
    <protectedRange sqref="Y92:AH93 AD95:AF95 Y95:AC98 AD96:AG97 AD98:AH98" name="区域1_3_4_5"/>
    <protectedRange sqref="AW76:AW88" name="区域1_3_4_1_3_1_1"/>
    <protectedRange sqref="G81" name="区域1_9_1_3_1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99 Q101:Q102 Q109 Q112 Q114 Q122" name="区域1_2_2_1"/>
    <protectedRange sqref="B100:B101 D100:D101" name="区域1_16_1_3_1_2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07 D107" name="区域1_1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04:D104 C114 C125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06 D106" name="区域1_1_2_3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08 D108" name="区域1_9_5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00:K101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07:K107" name="区域1_17_2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04:K104" name="区域1_10_1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06:J106 G111" name="区域1_1_2_3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108:J108" name="区域1_9_5_3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108" name="区域1_11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00:L101" name="区域1_16_1_3_1_2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07" name="区域1_17_2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04" name="区域1_10_1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06" name="区域1_1_2_3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08" name="区域1_11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00:M101" name="区域1_10_1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09" name="区域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05" name="区域1_18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100" name="区域1_16_1_3_1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107" name="区域1_17_2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104" name="区域1_10_1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106" name="区域1_1_2_3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108" name="区域1_9_5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100:AF101" name="区域1_16_1_3_1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106:AF107" name="区域1_1_2_3_2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108:AF108" name="区域1_9_5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11 D111" name="区域1_16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12 D112 D114:D120" name="区域1_8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H111:J111" name="区域1_16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12:J112" name="区域1_8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111" name="区域1_16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11" name="区域1_16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12" name="区域1_8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11:Q111" name="区域1_16_2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12" name="区域1_6_1_3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112" name="区域1_8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112:AF112" name="区域1_8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14" name="区域1_16_1_3_1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15:B116" name="区域1_2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17" name="区域1_27_2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18:B119" name="区域1_27_3_3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14 I114:J114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15:J116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17:J117" name="区域1_27_2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118:J119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114" name="区域1_16_1_3_1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115:K116" name="区域1_22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117" name="区域1_27_2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118:K119" name="区域1_27_3_4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14" name="区域1_10_1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14" name="区域1_16_1_3_1_3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15:M116" name="区域1_2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17" name="区域1_10_1_2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17" name="区域1_27_2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118:L119" name="区域1_27_3_4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20" name="区域1_27_3_4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14:P114" name="区域1_16_1_3_1_3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15:Q116" name="区域1_22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17:Q117" name="区域1_27_2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18:Q119" name="区域1_27_3_4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122" name="区域1_10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22 D122 G122:L122" name="区域1_1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21 D121 I121:L121" name="区域1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26 G126:L126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23:B126 G124:H126 D123:D126 G123 I123:L126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123:B125 G124:H125 D123:D125 G123 I123:L125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21" name="区域1_10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26" name="区域1_2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123:M126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22:P122" name="区域1_1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21:P121" name="区域1_1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26:P126" name="区域1_27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23:P126" name="区域1_27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123:P125" name="区域1_7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121" name="区域1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126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123:Q126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123:Q125" name="区域1_7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</protectedRanges>
  <phoneticPr fontId="2" type="noConversion"/>
  <dataValidations count="32">
    <dataValidation type="list" errorStyle="information" allowBlank="1" showInputMessage="1" showErrorMessage="1" sqref="AV1 AV3:AV8 AV85:AV88" xr:uid="{9B93AD34-B8F2-423A-B265-08B4E7BCE8A3}">
      <formula1>"Alex,Ant,Axel,Harry,Josh,Pedro,Rubin,Serge,Tom,Torres"</formula1>
    </dataValidation>
    <dataValidation type="whole" allowBlank="1" showInputMessage="1" showErrorMessage="1" sqref="BF1:BL1 BF76:BL88" xr:uid="{7FD29DDB-32F3-4958-96BF-B62E3ACD6F48}">
      <formula1>0</formula1>
      <formula2>100000</formula2>
    </dataValidation>
    <dataValidation type="list" errorStyle="information" allowBlank="1" showInputMessage="1" showErrorMessage="1" sqref="E58:E72" xr:uid="{1F13BE0A-F269-469E-89B8-7C8667B98DDB}">
      <formula1>"Harry,Nicole,Pedro,Tom,Torres,Will,Elon,Yinan,Freya,Alex"</formula1>
    </dataValidation>
    <dataValidation allowBlank="1" showInputMessage="1" showErrorMessage="1" promptTitle="提示" prompt="请填写&quot;工商注册全称&quot;" sqref="B22 B30 B12:B16 B3:B9 B60 B83:B88 C104 B113 B110 B115:B116 C99 C114 B102:B107 B118:B119 B121:B126 C125" xr:uid="{452BAD11-B192-47AF-9D9F-6F534A7CB6D5}"/>
    <dataValidation type="list" allowBlank="1" showInputMessage="1" showErrorMessage="1" sqref="M22:M23 M65:N71 M61:N62 M9:M13 M76:M82 M110:M112" xr:uid="{EC0DBCF2-7BF3-4C15-8C64-F166D5C00126}">
      <formula1>"评估,送样,小批量,批量,终止"</formula1>
    </dataValidation>
    <dataValidation type="list" allowBlank="1" showInputMessage="1" showErrorMessage="1" sqref="AW76:AW88 AW107" xr:uid="{4CA6B7B2-78C7-4CDA-B96F-BC2644F8AACB}">
      <formula1>"1部,2部,3部"</formula1>
    </dataValidation>
    <dataValidation type="list" allowBlank="1" showInputMessage="1" showErrorMessage="1" sqref="M2" xr:uid="{605E2C5C-24A7-426E-B80F-0D82F9A0FB3B}">
      <formula1>"评估,送样,样品测试完成,DV,PV,量产,项目关闭,项目丢失"</formula1>
    </dataValidation>
    <dataValidation errorStyle="information" allowBlank="1" showInputMessage="1" showErrorMessage="1" sqref="L8 N8:O8 BC12:BN12 B10:B11 F73 B86:B88 K88 BC86:BN88 F89:F91" xr:uid="{9914937F-5600-4B78-B844-820BE7B26486}"/>
    <dataValidation type="whole" allowBlank="1" showInputMessage="1" showErrorMessage="1" promptTitle="提示" prompt="请输入整数" sqref="BF30:BL32 BF13:BL28 BH60:BL60 BF10:BL11 BH76:BL85 BF86:BL88 AV76:AV84 AY76:AY84" xr:uid="{743D3C69-4144-43E8-ACE9-913E5CA6CA30}">
      <formula1>0</formula1>
      <formula2>100000</formula2>
    </dataValidation>
    <dataValidation type="whole" allowBlank="1" showInputMessage="1" showErrorMessage="1" promptTitle="提示" prompt="请输入数字" sqref="BN30:BN32 BN13:BN28 BN58:BN59 BN10:BN11 BN86:BN88 BA76:BA84" xr:uid="{FC529D61-F704-45B4-8C86-88EFFD732660}">
      <formula1>0</formula1>
      <formula2>10000000</formula2>
    </dataValidation>
    <dataValidation type="list" allowBlank="1" showInputMessage="1" showErrorMessage="1" sqref="BA2 BA31:BA34 BA60 BA72:BA73 BA9:BA13 BA17:BA29 BA99:BA126" xr:uid="{49460E15-5E52-4A53-A694-95C46964F7C6}">
      <formula1>INDIRECT($AZ2)</formula1>
    </dataValidation>
    <dataValidation type="whole" allowBlank="1" showInputMessage="1" showErrorMessage="1" sqref="AP11:AR11 AU11" xr:uid="{ED09EFA9-3502-4067-8443-052067A7DDF7}">
      <formula1>0</formula1>
      <formula2>9</formula2>
    </dataValidation>
    <dataValidation type="list" allowBlank="1" showInputMessage="1" showErrorMessage="1" sqref="BB2 BB31:BB34 BB60 BB72:BB73 BB9:BB13 BB17:BB29" xr:uid="{26E5976A-17D2-4B94-B85B-E1AE852FE054}">
      <formula1>INDIRECT($BA2)</formula1>
    </dataValidation>
    <dataValidation type="list" allowBlank="1" showInputMessage="1" showErrorMessage="1" sqref="AZ2 AZ31:AZ34 AZ60 AZ72:AZ73 AZ9:AZ13 AZ16:AZ29 BB76:BB84 AZ99:AZ126" xr:uid="{23DFDE7A-A9AA-4A0E-869E-04AA2049CBDF}">
      <formula1>INDIRECT($AY2)</formula1>
    </dataValidation>
    <dataValidation allowBlank="1" showInputMessage="1" showErrorMessage="1" promptTitle="提示" prompt="没有竞争对手填写&quot;无&quot;_x000a_不知道竞争对手型号写&quot;N/A&quot;" sqref="O3:O5 O76:O77 O85:O88" xr:uid="{622FAD6E-5DFA-4FA4-B3A1-28C7290C159A}"/>
    <dataValidation type="whole" allowBlank="1" showInputMessage="1" showErrorMessage="1" sqref="L3:L7 L76:M77 M78:M82 M86" xr:uid="{D7428C86-3035-448A-9273-8A85E1222301}">
      <formula1>0</formula1>
      <formula2>10000000000</formula2>
    </dataValidation>
    <dataValidation type="list" allowBlank="1" showInputMessage="1" showErrorMessage="1" sqref="AM48:AM49 AZ48:AZ49" xr:uid="{8625CA34-3821-4E9B-943F-BD30F6393F9F}">
      <formula1>INDIRECT($AL48)</formula1>
    </dataValidation>
    <dataValidation type="list" allowBlank="1" showInputMessage="1" showErrorMessage="1" sqref="AN48:AN49 BA48:BA49" xr:uid="{62E5E67B-E2A8-422E-8051-8387A458611A}">
      <formula1>INDIRECT($AM48)</formula1>
    </dataValidation>
    <dataValidation type="list" allowBlank="1" showInputMessage="1" showErrorMessage="1" sqref="AO48:AO49" xr:uid="{3213DB8A-E503-43B2-83F4-8B04F65E67FD}">
      <formula1>INDIRECT($AN48)</formula1>
    </dataValidation>
    <dataValidation type="list" allowBlank="1" showInputMessage="1" showErrorMessage="1" sqref="BA15" xr:uid="{E40D1AE9-3ABF-4D50-BD95-97C241CBAF90}">
      <formula1>INDIRECT($AW16)</formula1>
    </dataValidation>
    <dataValidation type="list" allowBlank="1" showInputMessage="1" showErrorMessage="1" sqref="BB30 BB14:BB16" xr:uid="{A352A599-60FA-460A-9147-55E3922FA4D9}">
      <formula1>INDIRECT(#REF!)</formula1>
    </dataValidation>
    <dataValidation type="list" allowBlank="1" showInputMessage="1" showErrorMessage="1" sqref="BA30 BA76:BA82 BA14" xr:uid="{9606B682-D6F2-4C18-B591-D6778B3A2F35}">
      <formula1>INDIRECT($AW14)</formula1>
    </dataValidation>
    <dataValidation type="list" allowBlank="1" showInputMessage="1" showErrorMessage="1" sqref="AZ30 AZ86 AZ76:AZ82 AZ14:AZ15" xr:uid="{5B7820FF-3FE8-4BA1-B73F-2C632DA19D7D}">
      <formula1>INDIRECT($AV14)</formula1>
    </dataValidation>
    <dataValidation type="list" allowBlank="1" showInputMessage="1" showErrorMessage="1" sqref="M3:M8" xr:uid="{172E2F72-D6BB-4E28-8943-B2C3B8447F24}">
      <formula1>"量产,推进中,项目关闭,项目丢失"</formula1>
    </dataValidation>
    <dataValidation type="list" allowBlank="1" showInputMessage="1" showErrorMessage="1" sqref="M14:M21 M24:M28 M30:M34 M113:M126 M99:M109" xr:uid="{201ED0AC-2F5E-43DD-A06E-F9C94CAFC42F}">
      <formula1>"评估,送样,小批量,批量"</formula1>
    </dataValidation>
    <dataValidation type="list" errorStyle="information" allowBlank="1" showInputMessage="1" showErrorMessage="1" sqref="F3:F8 G9 I9:J9" xr:uid="{6B594E39-A599-4EFA-93A6-B9891E2F606C}">
      <formula1>"Shu,Ju,Yao,ZX"</formula1>
    </dataValidation>
    <dataValidation type="list" errorStyle="information" allowBlank="1" showInputMessage="1" showErrorMessage="1" sqref="E9:E33 E34:F34" xr:uid="{83B17F53-89CE-45FD-BD88-067E6234FA7C}">
      <formula1>"Harry,Nicole,Pedro,Tom,Torres"</formula1>
    </dataValidation>
    <dataValidation type="list" errorStyle="information" allowBlank="1" showInputMessage="1" showErrorMessage="1" sqref="E76:E88" xr:uid="{EB7DB8FC-1DA2-428C-8B58-F013E1E7EC68}">
      <formula1>"Harry,Nicole,Pedro,Tom,Torres,Ricky"</formula1>
    </dataValidation>
    <dataValidation type="list" errorStyle="information" allowBlank="1" showInputMessage="1" showErrorMessage="1" sqref="E89:E98" xr:uid="{55A74E9F-C77B-45BA-8E49-05CEC40022F9}">
      <formula1>"Harry,Nicole,Pedro,Tom,Torres,Will,Elon,Yinan,Freya,Alex,Stephen"</formula1>
    </dataValidation>
    <dataValidation type="list" errorStyle="information" allowBlank="1" showInputMessage="1" showErrorMessage="1" sqref="E99:F126" xr:uid="{F9AB95F2-6808-4F19-8162-1189A5FFDD5E}">
      <formula1>"Harry,Nicole,Pedro,Tom,Torres,Ricky,Bill"</formula1>
    </dataValidation>
    <dataValidation type="list" allowBlank="1" showInputMessage="1" showErrorMessage="1" sqref="AW108:AW116 AW119:AW126 AW99:AW106" xr:uid="{27C8B82A-041A-4977-84A2-92F2702F1D1F}">
      <formula1>"1部,2部,3部,深圳"</formula1>
    </dataValidation>
    <dataValidation type="list" allowBlank="1" showInputMessage="1" showErrorMessage="1" sqref="AV108:AV116 AV119:AV126 AV99:AV106" xr:uid="{491824FE-6022-427D-BBF4-00B7932D2EEB}">
      <formula1>"Alex,Axel,Harry,Josh,Pedro,Rubin,Serge,Tom,Torres,Bill"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预测</vt:lpstr>
      <vt:lpstr>赛卓微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2025-09-09T09:41:36Z</dcterms:modified>
</cp:coreProperties>
</file>